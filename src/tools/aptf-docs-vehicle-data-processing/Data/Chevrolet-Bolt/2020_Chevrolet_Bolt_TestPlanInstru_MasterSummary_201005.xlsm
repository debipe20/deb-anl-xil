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das\Box\Debashis-ANL\Paper\Uncertainity-Paper\data-processing\"/>
    </mc:Choice>
  </mc:AlternateContent>
  <xr:revisionPtr revIDLastSave="0" documentId="8_{1E68DB7E-BE07-4D43-A293-067E57C4D267}" xr6:coauthVersionLast="47" xr6:coauthVersionMax="47" xr10:uidLastSave="{00000000-0000-0000-0000-000000000000}"/>
  <bookViews>
    <workbookView xWindow="-120" yWindow="-120" windowWidth="29040" windowHeight="15840" activeTab="1" xr2:uid="{00000000-000D-0000-FFFF-FFFF00000000}"/>
  </bookViews>
  <sheets>
    <sheet name="TestPlan" sheetId="51" r:id="rId1"/>
    <sheet name="TestSummary" sheetId="49" r:id="rId2"/>
    <sheet name="TestSummary (2)" sheetId="75" r:id="rId3"/>
    <sheet name="J1634 Calcs" sheetId="74" r:id="rId4"/>
    <sheet name="J1634 Calcs  no precondition" sheetId="76" r:id="rId5"/>
    <sheet name="J1634ShortcutWorksheet" sheetId="32" r:id="rId6"/>
    <sheet name="AVTEReporting" sheetId="50" r:id="rId7"/>
    <sheet name="TestInfoInstru" sheetId="52" r:id="rId8"/>
    <sheet name="EPA Test Data" sheetId="71" r:id="rId9"/>
    <sheet name="Vehicle Distance" sheetId="36" r:id="rId10"/>
    <sheet name="Accessory Load" sheetId="34" r:id="rId11"/>
    <sheet name="Charge Summary" sheetId="70" r:id="rId12"/>
  </sheets>
  <externalReferences>
    <externalReference r:id="rId13"/>
  </externalReferences>
  <definedNames>
    <definedName name="A" localSheetId="3">[1]SpdtoABCcalcFocus!$Q$2</definedName>
    <definedName name="A" localSheetId="4">[1]SpdtoABCcalcFocus!$Q$2</definedName>
    <definedName name="A" localSheetId="7">[1]SpdtoABCcalcFocus!$Q$2</definedName>
    <definedName name="A" localSheetId="0">[1]SpdtoABCcalcFocus!$Q$2</definedName>
    <definedName name="A">[1]SpdtoABCcalcFocus!$Q$2</definedName>
    <definedName name="Acold" localSheetId="3">[1]SpdtoABCcalcFocus!$Q$3</definedName>
    <definedName name="Acold" localSheetId="4">[1]SpdtoABCcalcFocus!$Q$3</definedName>
    <definedName name="Acold" localSheetId="7">[1]SpdtoABCcalcFocus!$Q$3</definedName>
    <definedName name="Acold" localSheetId="0">[1]SpdtoABCcalcFocus!$Q$3</definedName>
    <definedName name="Acold">[1]SpdtoABCcalcFocus!$Q$3</definedName>
    <definedName name="B" localSheetId="3">[1]SpdtoABCcalcFocus!$R$2</definedName>
    <definedName name="B" localSheetId="4">[1]SpdtoABCcalcFocus!$R$2</definedName>
    <definedName name="B" localSheetId="7">[1]SpdtoABCcalcFocus!$R$2</definedName>
    <definedName name="B" localSheetId="0">[1]SpdtoABCcalcFocus!$R$2</definedName>
    <definedName name="B">[1]SpdtoABCcalcFocus!$R$2</definedName>
    <definedName name="Bcold" localSheetId="3">[1]SpdtoABCcalcFocus!$R$3</definedName>
    <definedName name="Bcold" localSheetId="4">[1]SpdtoABCcalcFocus!$R$3</definedName>
    <definedName name="Bcold" localSheetId="7">[1]SpdtoABCcalcFocus!$R$3</definedName>
    <definedName name="Bcold" localSheetId="0">[1]SpdtoABCcalcFocus!$R$3</definedName>
    <definedName name="Bcold">[1]SpdtoABCcalcFocus!$R$3</definedName>
    <definedName name="Ccoef" localSheetId="3">[1]SpdtoABCcalcFocus!$S$2</definedName>
    <definedName name="Ccoef" localSheetId="4">[1]SpdtoABCcalcFocus!$S$2</definedName>
    <definedName name="Ccoef" localSheetId="7">[1]SpdtoABCcalcFocus!$S$2</definedName>
    <definedName name="Ccoef" localSheetId="0">[1]SpdtoABCcalcFocus!$S$2</definedName>
    <definedName name="Ccoef">[1]SpdtoABCcalcFocus!$S$2</definedName>
    <definedName name="Ccold" localSheetId="3">[1]SpdtoABCcalcFocus!$S$3</definedName>
    <definedName name="Ccold" localSheetId="4">[1]SpdtoABCcalcFocus!$S$3</definedName>
    <definedName name="Ccold" localSheetId="7">[1]SpdtoABCcalcFocus!$S$3</definedName>
    <definedName name="Ccold" localSheetId="0">[1]SpdtoABCcalcFocus!$S$3</definedName>
    <definedName name="Ccold">[1]SpdtoABCcalcFocus!$S$3</definedName>
    <definedName name="m" localSheetId="3">[1]SpdtoABCcalcFocus!$P$2</definedName>
    <definedName name="m" localSheetId="4">[1]SpdtoABCcalcFocus!$P$2</definedName>
    <definedName name="m" localSheetId="7">[1]SpdtoABCcalcFocus!$P$2</definedName>
    <definedName name="m" localSheetId="0">[1]SpdtoABCcalcFocus!$P$2</definedName>
    <definedName name="m">[1]SpdtoABCcalcFocus!$P$2</definedName>
    <definedName name="_xlnm.Print_Area" localSheetId="10">'Accessory Load'!$A$1:$B$77</definedName>
    <definedName name="_xlnm.Print_Area" localSheetId="0">TestPlan!$A$1:$P$32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75" i="76" l="1"/>
  <c r="AO75" i="76"/>
  <c r="AY74" i="76"/>
  <c r="AU74" i="76"/>
  <c r="AS74" i="76"/>
  <c r="AQ74" i="76"/>
  <c r="AM74" i="76"/>
  <c r="AY73" i="76"/>
  <c r="AU73" i="76"/>
  <c r="AS73" i="76"/>
  <c r="AQ73" i="76"/>
  <c r="AM73" i="76"/>
  <c r="T65" i="76"/>
  <c r="T64" i="76"/>
  <c r="O63" i="76"/>
  <c r="E63" i="76"/>
  <c r="A62" i="76"/>
  <c r="A63" i="76" s="1"/>
  <c r="E61" i="76"/>
  <c r="D61" i="76"/>
  <c r="C61" i="76"/>
  <c r="AQ58" i="76"/>
  <c r="AM58" i="76"/>
  <c r="AQ57" i="76"/>
  <c r="AM57" i="76"/>
  <c r="T57" i="76"/>
  <c r="AQ56" i="76"/>
  <c r="AM56" i="76"/>
  <c r="T56" i="76"/>
  <c r="AQ55" i="76"/>
  <c r="AM55" i="76"/>
  <c r="O55" i="76"/>
  <c r="AQ54" i="76"/>
  <c r="AM54" i="76"/>
  <c r="A54" i="76"/>
  <c r="J54" i="76" s="1"/>
  <c r="AQ53" i="76"/>
  <c r="AM53" i="76"/>
  <c r="E53" i="76"/>
  <c r="D53" i="76"/>
  <c r="C53" i="76"/>
  <c r="T45" i="76"/>
  <c r="O45" i="76"/>
  <c r="T44" i="76"/>
  <c r="P43" i="76"/>
  <c r="O43" i="76"/>
  <c r="A43" i="76"/>
  <c r="E43" i="76" s="1"/>
  <c r="AF42" i="76"/>
  <c r="E42" i="76"/>
  <c r="D42" i="76"/>
  <c r="C42" i="76"/>
  <c r="AF41" i="76"/>
  <c r="AO37" i="76"/>
  <c r="AK37" i="76"/>
  <c r="T35" i="76"/>
  <c r="O35" i="76"/>
  <c r="P35" i="76" s="1"/>
  <c r="T34" i="76"/>
  <c r="O33" i="76"/>
  <c r="P63" i="76" s="1"/>
  <c r="H33" i="76"/>
  <c r="C33" i="76"/>
  <c r="A33" i="76"/>
  <c r="E32" i="76"/>
  <c r="D32" i="76"/>
  <c r="C32" i="76"/>
  <c r="T28" i="76"/>
  <c r="T27" i="76"/>
  <c r="O26" i="76"/>
  <c r="A25" i="76"/>
  <c r="A26" i="76" s="1"/>
  <c r="B26" i="76" s="1"/>
  <c r="E24" i="76"/>
  <c r="D24" i="76"/>
  <c r="C24" i="76"/>
  <c r="B24" i="76"/>
  <c r="T20" i="76"/>
  <c r="T19" i="76"/>
  <c r="P18" i="76"/>
  <c r="O18" i="76"/>
  <c r="A18" i="76"/>
  <c r="E17" i="76"/>
  <c r="D17" i="76"/>
  <c r="C17" i="76"/>
  <c r="T13" i="76"/>
  <c r="T12" i="76"/>
  <c r="P11" i="76"/>
  <c r="O11" i="76"/>
  <c r="A11" i="76"/>
  <c r="J11" i="76" s="1"/>
  <c r="E10" i="76"/>
  <c r="D10" i="76"/>
  <c r="C10" i="76"/>
  <c r="K6" i="76"/>
  <c r="J6" i="76"/>
  <c r="I6" i="76"/>
  <c r="H6" i="76"/>
  <c r="G6" i="76"/>
  <c r="F6" i="76"/>
  <c r="E6" i="76"/>
  <c r="D6" i="76"/>
  <c r="C6" i="76"/>
  <c r="B6" i="76"/>
  <c r="A12" i="76" l="1"/>
  <c r="A13" i="76" s="1"/>
  <c r="H43" i="76"/>
  <c r="I54" i="76"/>
  <c r="C11" i="76"/>
  <c r="D18" i="76"/>
  <c r="C43" i="76"/>
  <c r="I43" i="76"/>
  <c r="AW57" i="76" s="1"/>
  <c r="A44" i="76"/>
  <c r="D11" i="76"/>
  <c r="H18" i="76"/>
  <c r="C25" i="76"/>
  <c r="D33" i="76"/>
  <c r="J33" i="76"/>
  <c r="AT57" i="76" s="1"/>
  <c r="D43" i="76"/>
  <c r="D54" i="76"/>
  <c r="H11" i="76"/>
  <c r="A55" i="76"/>
  <c r="F33" i="76"/>
  <c r="H54" i="76"/>
  <c r="J62" i="76"/>
  <c r="E13" i="76"/>
  <c r="D13" i="76"/>
  <c r="C13" i="76"/>
  <c r="E18" i="76"/>
  <c r="I18" i="76"/>
  <c r="A19" i="76"/>
  <c r="A64" i="76"/>
  <c r="C63" i="76"/>
  <c r="D63" i="76"/>
  <c r="I11" i="76"/>
  <c r="F18" i="76"/>
  <c r="J18" i="76"/>
  <c r="E11" i="76"/>
  <c r="F11" i="76"/>
  <c r="D12" i="76"/>
  <c r="C18" i="76"/>
  <c r="E26" i="76"/>
  <c r="D26" i="76"/>
  <c r="A27" i="76"/>
  <c r="C26" i="76"/>
  <c r="P26" i="76"/>
  <c r="P33" i="76"/>
  <c r="P55" i="76"/>
  <c r="D25" i="76"/>
  <c r="H25" i="76"/>
  <c r="E33" i="76"/>
  <c r="I33" i="76"/>
  <c r="AS57" i="76" s="1"/>
  <c r="AU57" i="76" s="1"/>
  <c r="A34" i="76"/>
  <c r="J43" i="76"/>
  <c r="AX57" i="76" s="1"/>
  <c r="F43" i="76"/>
  <c r="P45" i="76"/>
  <c r="E54" i="76"/>
  <c r="E62" i="76"/>
  <c r="E25" i="76"/>
  <c r="I25" i="76"/>
  <c r="C54" i="76"/>
  <c r="F54" i="76"/>
  <c r="F62" i="76"/>
  <c r="B25" i="76"/>
  <c r="F25" i="76"/>
  <c r="J25" i="76"/>
  <c r="H62" i="76"/>
  <c r="D62" i="76"/>
  <c r="C62" i="76"/>
  <c r="I62" i="76"/>
  <c r="BQ63" i="75"/>
  <c r="BP63" i="75"/>
  <c r="BN63" i="75"/>
  <c r="BM63" i="75"/>
  <c r="BG63" i="75"/>
  <c r="BF63" i="75"/>
  <c r="BC63" i="75"/>
  <c r="BB63" i="75"/>
  <c r="AY63" i="75"/>
  <c r="AX63" i="75"/>
  <c r="AU63" i="75"/>
  <c r="AT63" i="75"/>
  <c r="AQ63" i="75"/>
  <c r="AP63" i="75"/>
  <c r="AM63" i="75"/>
  <c r="AL63" i="75"/>
  <c r="AI63" i="75"/>
  <c r="AH63" i="75"/>
  <c r="AE63" i="75"/>
  <c r="AD63" i="75"/>
  <c r="AA63" i="75"/>
  <c r="Z63" i="75"/>
  <c r="W63" i="75"/>
  <c r="V63" i="75"/>
  <c r="U63" i="75"/>
  <c r="T63" i="75"/>
  <c r="R63" i="75"/>
  <c r="M63" i="75"/>
  <c r="L63" i="75"/>
  <c r="K63" i="75"/>
  <c r="J63" i="75"/>
  <c r="F63" i="75"/>
  <c r="S62" i="75"/>
  <c r="S63" i="75" s="1"/>
  <c r="F62" i="75"/>
  <c r="BR61" i="75"/>
  <c r="BR63" i="75" s="1"/>
  <c r="BR62" i="75" s="1"/>
  <c r="BO61" i="75"/>
  <c r="BO63" i="75" s="1"/>
  <c r="BO62" i="75" s="1"/>
  <c r="BL61" i="75"/>
  <c r="BL63" i="75" s="1"/>
  <c r="BL62" i="75" s="1"/>
  <c r="BH61" i="75"/>
  <c r="BH63" i="75" s="1"/>
  <c r="BH62" i="75" s="1"/>
  <c r="BI62" i="75" s="1"/>
  <c r="BD61" i="75"/>
  <c r="AZ61" i="75"/>
  <c r="AZ63" i="75" s="1"/>
  <c r="AV61" i="75"/>
  <c r="AV63" i="75" s="1"/>
  <c r="AV62" i="75" s="1"/>
  <c r="AW62" i="75" s="1"/>
  <c r="AR61" i="75"/>
  <c r="AR63" i="75" s="1"/>
  <c r="AR62" i="75" s="1"/>
  <c r="AS62" i="75" s="1"/>
  <c r="AN61" i="75"/>
  <c r="AN63" i="75" s="1"/>
  <c r="AO63" i="75" s="1"/>
  <c r="AJ61" i="75"/>
  <c r="AJ63" i="75" s="1"/>
  <c r="AJ62" i="75" s="1"/>
  <c r="AK62" i="75" s="1"/>
  <c r="AF61" i="75"/>
  <c r="AB61" i="75"/>
  <c r="AB63" i="75" s="1"/>
  <c r="AB62" i="75" s="1"/>
  <c r="AC62" i="75" s="1"/>
  <c r="X61" i="75"/>
  <c r="S61" i="75"/>
  <c r="F61" i="75"/>
  <c r="D60" i="75"/>
  <c r="BR19" i="75"/>
  <c r="BO19" i="75"/>
  <c r="BL19" i="75"/>
  <c r="BH19" i="75"/>
  <c r="BI19" i="75" s="1"/>
  <c r="BD19" i="75"/>
  <c r="BE19" i="75" s="1"/>
  <c r="AZ19" i="75"/>
  <c r="BA19" i="75" s="1"/>
  <c r="AV19" i="75"/>
  <c r="AW19" i="75" s="1"/>
  <c r="AR19" i="75"/>
  <c r="AS19" i="75" s="1"/>
  <c r="AN19" i="75"/>
  <c r="AO19" i="75" s="1"/>
  <c r="AJ19" i="75"/>
  <c r="AK19" i="75" s="1"/>
  <c r="AF19" i="75"/>
  <c r="AG19" i="75" s="1"/>
  <c r="AB19" i="75"/>
  <c r="AC19" i="75" s="1"/>
  <c r="X19" i="75"/>
  <c r="Y19" i="75" s="1"/>
  <c r="S19" i="75"/>
  <c r="F19" i="75"/>
  <c r="BR18" i="75"/>
  <c r="BO18" i="75"/>
  <c r="BL18" i="75"/>
  <c r="BH18" i="75"/>
  <c r="BI18" i="75" s="1"/>
  <c r="BD18" i="75"/>
  <c r="BE18" i="75" s="1"/>
  <c r="AZ18" i="75"/>
  <c r="BA18" i="75" s="1"/>
  <c r="AV18" i="75"/>
  <c r="AW18" i="75" s="1"/>
  <c r="AR18" i="75"/>
  <c r="AS18" i="75" s="1"/>
  <c r="AN18" i="75"/>
  <c r="AO18" i="75" s="1"/>
  <c r="AJ18" i="75"/>
  <c r="AK18" i="75" s="1"/>
  <c r="AF18" i="75"/>
  <c r="AG18" i="75" s="1"/>
  <c r="AB18" i="75"/>
  <c r="AC18" i="75" s="1"/>
  <c r="X18" i="75"/>
  <c r="Y18" i="75" s="1"/>
  <c r="S18" i="75"/>
  <c r="F18" i="75"/>
  <c r="BR17" i="75"/>
  <c r="BO17" i="75"/>
  <c r="BL17" i="75"/>
  <c r="BH17" i="75"/>
  <c r="BI17" i="75" s="1"/>
  <c r="BD17" i="75"/>
  <c r="BE17" i="75" s="1"/>
  <c r="AZ17" i="75"/>
  <c r="BA17" i="75" s="1"/>
  <c r="AV17" i="75"/>
  <c r="AW17" i="75" s="1"/>
  <c r="AR17" i="75"/>
  <c r="AS17" i="75" s="1"/>
  <c r="AN17" i="75"/>
  <c r="AO17" i="75" s="1"/>
  <c r="AJ17" i="75"/>
  <c r="AK17" i="75" s="1"/>
  <c r="AF17" i="75"/>
  <c r="AG17" i="75" s="1"/>
  <c r="AB17" i="75"/>
  <c r="AC17" i="75" s="1"/>
  <c r="X17" i="75"/>
  <c r="Y17" i="75" s="1"/>
  <c r="S17" i="75"/>
  <c r="F17" i="75"/>
  <c r="BR16" i="75"/>
  <c r="BO16" i="75"/>
  <c r="BL16" i="75"/>
  <c r="BH16" i="75"/>
  <c r="BI16" i="75" s="1"/>
  <c r="BD16" i="75"/>
  <c r="BE16" i="75" s="1"/>
  <c r="AZ16" i="75"/>
  <c r="BA16" i="75" s="1"/>
  <c r="AV16" i="75"/>
  <c r="AW16" i="75" s="1"/>
  <c r="AR16" i="75"/>
  <c r="AS16" i="75" s="1"/>
  <c r="AN16" i="75"/>
  <c r="AO16" i="75" s="1"/>
  <c r="AJ16" i="75"/>
  <c r="AK16" i="75" s="1"/>
  <c r="AF16" i="75"/>
  <c r="AG16" i="75" s="1"/>
  <c r="AB16" i="75"/>
  <c r="AC16" i="75" s="1"/>
  <c r="Y16" i="75"/>
  <c r="X16" i="75"/>
  <c r="S16" i="75"/>
  <c r="F16" i="75"/>
  <c r="BR15" i="75"/>
  <c r="BO15" i="75"/>
  <c r="BL15" i="75"/>
  <c r="BH15" i="75"/>
  <c r="BI15" i="75" s="1"/>
  <c r="BD15" i="75"/>
  <c r="BE15" i="75" s="1"/>
  <c r="AZ15" i="75"/>
  <c r="BA15" i="75" s="1"/>
  <c r="AV15" i="75"/>
  <c r="AW15" i="75" s="1"/>
  <c r="AR15" i="75"/>
  <c r="AS15" i="75" s="1"/>
  <c r="AN15" i="75"/>
  <c r="AO15" i="75" s="1"/>
  <c r="AJ15" i="75"/>
  <c r="AK15" i="75" s="1"/>
  <c r="AF15" i="75"/>
  <c r="AG15" i="75" s="1"/>
  <c r="AB15" i="75"/>
  <c r="AC15" i="75" s="1"/>
  <c r="X15" i="75"/>
  <c r="Y15" i="75" s="1"/>
  <c r="S15" i="75"/>
  <c r="F15" i="75"/>
  <c r="BR14" i="75"/>
  <c r="BO14" i="75"/>
  <c r="BL14" i="75"/>
  <c r="BH14" i="75"/>
  <c r="BI14" i="75" s="1"/>
  <c r="BD14" i="75"/>
  <c r="BE14" i="75" s="1"/>
  <c r="AZ14" i="75"/>
  <c r="BA14" i="75" s="1"/>
  <c r="AV14" i="75"/>
  <c r="AW14" i="75" s="1"/>
  <c r="AR14" i="75"/>
  <c r="AS14" i="75" s="1"/>
  <c r="AN14" i="75"/>
  <c r="AO14" i="75" s="1"/>
  <c r="AJ14" i="75"/>
  <c r="AK14" i="75" s="1"/>
  <c r="AF14" i="75"/>
  <c r="AG14" i="75" s="1"/>
  <c r="AB14" i="75"/>
  <c r="AC14" i="75" s="1"/>
  <c r="X14" i="75"/>
  <c r="Y14" i="75" s="1"/>
  <c r="S14" i="75"/>
  <c r="F14" i="75"/>
  <c r="BR13" i="75"/>
  <c r="BO13" i="75"/>
  <c r="BL13" i="75"/>
  <c r="BH13" i="75"/>
  <c r="BI13" i="75" s="1"/>
  <c r="BD13" i="75"/>
  <c r="BE13" i="75" s="1"/>
  <c r="AZ13" i="75"/>
  <c r="BA13" i="75" s="1"/>
  <c r="AV13" i="75"/>
  <c r="AW13" i="75" s="1"/>
  <c r="AR13" i="75"/>
  <c r="AS13" i="75" s="1"/>
  <c r="AN13" i="75"/>
  <c r="AO13" i="75" s="1"/>
  <c r="AJ13" i="75"/>
  <c r="AK13" i="75" s="1"/>
  <c r="AF13" i="75"/>
  <c r="AG13" i="75" s="1"/>
  <c r="AB13" i="75"/>
  <c r="AC13" i="75" s="1"/>
  <c r="X13" i="75"/>
  <c r="Y13" i="75" s="1"/>
  <c r="S13" i="75"/>
  <c r="F13" i="75"/>
  <c r="BR12" i="75"/>
  <c r="BO12" i="75"/>
  <c r="BL12" i="75"/>
  <c r="BH12" i="75"/>
  <c r="BI12" i="75" s="1"/>
  <c r="BD12" i="75"/>
  <c r="BE12" i="75" s="1"/>
  <c r="AZ12" i="75"/>
  <c r="BA12" i="75" s="1"/>
  <c r="AV12" i="75"/>
  <c r="AW12" i="75" s="1"/>
  <c r="AR12" i="75"/>
  <c r="AS12" i="75" s="1"/>
  <c r="AN12" i="75"/>
  <c r="AO12" i="75" s="1"/>
  <c r="AJ12" i="75"/>
  <c r="AK12" i="75" s="1"/>
  <c r="AF12" i="75"/>
  <c r="AG12" i="75" s="1"/>
  <c r="AB12" i="75"/>
  <c r="AC12" i="75" s="1"/>
  <c r="X12" i="75"/>
  <c r="Y12" i="75" s="1"/>
  <c r="S12" i="75"/>
  <c r="F12" i="75"/>
  <c r="BR11" i="75"/>
  <c r="BO11" i="75"/>
  <c r="BL11" i="75"/>
  <c r="BH11" i="75"/>
  <c r="BI11" i="75" s="1"/>
  <c r="BD11" i="75"/>
  <c r="BE11" i="75" s="1"/>
  <c r="AZ11" i="75"/>
  <c r="BA11" i="75" s="1"/>
  <c r="AV11" i="75"/>
  <c r="AW11" i="75" s="1"/>
  <c r="AR11" i="75"/>
  <c r="AS11" i="75" s="1"/>
  <c r="AN11" i="75"/>
  <c r="AO11" i="75" s="1"/>
  <c r="AJ11" i="75"/>
  <c r="AK11" i="75" s="1"/>
  <c r="AF11" i="75"/>
  <c r="AG11" i="75" s="1"/>
  <c r="AB11" i="75"/>
  <c r="AC11" i="75" s="1"/>
  <c r="X11" i="75"/>
  <c r="Y11" i="75" s="1"/>
  <c r="S11" i="75"/>
  <c r="F11" i="75"/>
  <c r="BR10" i="75"/>
  <c r="BO10" i="75"/>
  <c r="BL10" i="75"/>
  <c r="BH10" i="75"/>
  <c r="BI10" i="75" s="1"/>
  <c r="BD10" i="75"/>
  <c r="BE10" i="75" s="1"/>
  <c r="AZ10" i="75"/>
  <c r="BA10" i="75" s="1"/>
  <c r="AV10" i="75"/>
  <c r="AW10" i="75" s="1"/>
  <c r="AR10" i="75"/>
  <c r="AS10" i="75" s="1"/>
  <c r="AN10" i="75"/>
  <c r="AO10" i="75" s="1"/>
  <c r="AK10" i="75"/>
  <c r="AJ10" i="75"/>
  <c r="AF10" i="75"/>
  <c r="AG10" i="75" s="1"/>
  <c r="AB10" i="75"/>
  <c r="AC10" i="75" s="1"/>
  <c r="X10" i="75"/>
  <c r="Y10" i="75" s="1"/>
  <c r="S10" i="75"/>
  <c r="F10" i="75"/>
  <c r="AL3" i="75"/>
  <c r="B3" i="75"/>
  <c r="B2" i="75"/>
  <c r="AO61" i="75" l="1"/>
  <c r="D44" i="76"/>
  <c r="A45" i="76"/>
  <c r="AC63" i="75"/>
  <c r="E44" i="76"/>
  <c r="C12" i="76"/>
  <c r="AY57" i="76"/>
  <c r="E12" i="76"/>
  <c r="C44" i="76"/>
  <c r="A56" i="76"/>
  <c r="D55" i="76"/>
  <c r="E55" i="76"/>
  <c r="C55" i="76"/>
  <c r="E45" i="76"/>
  <c r="A46" i="76"/>
  <c r="C34" i="76"/>
  <c r="A35" i="76"/>
  <c r="E34" i="76"/>
  <c r="D34" i="76"/>
  <c r="C19" i="76"/>
  <c r="A20" i="76"/>
  <c r="D19" i="76"/>
  <c r="E19" i="76"/>
  <c r="E64" i="76"/>
  <c r="D64" i="76"/>
  <c r="C64" i="76"/>
  <c r="C27" i="76"/>
  <c r="B27" i="76"/>
  <c r="E27" i="76"/>
  <c r="D27" i="76"/>
  <c r="BD57" i="76"/>
  <c r="BC57" i="76"/>
  <c r="AW61" i="75"/>
  <c r="AW63" i="75"/>
  <c r="AS63" i="75"/>
  <c r="BI63" i="75"/>
  <c r="AN62" i="75"/>
  <c r="AO62" i="75" s="1"/>
  <c r="AZ62" i="75"/>
  <c r="BA62" i="75" s="1"/>
  <c r="BA63" i="75"/>
  <c r="AF63" i="75"/>
  <c r="AG61" i="75"/>
  <c r="BD63" i="75"/>
  <c r="BE61" i="75"/>
  <c r="X63" i="75"/>
  <c r="Y61" i="75"/>
  <c r="AK63" i="75"/>
  <c r="AC61" i="75"/>
  <c r="AK61" i="75"/>
  <c r="AS61" i="75"/>
  <c r="BA61" i="75"/>
  <c r="BI61" i="75"/>
  <c r="BR296" i="49"/>
  <c r="BO296" i="49"/>
  <c r="BL296" i="49"/>
  <c r="BH296" i="49"/>
  <c r="BI296" i="49" s="1"/>
  <c r="BD296" i="49"/>
  <c r="BE296" i="49" s="1"/>
  <c r="AZ296" i="49"/>
  <c r="BA296" i="49" s="1"/>
  <c r="AV296" i="49"/>
  <c r="AW296" i="49" s="1"/>
  <c r="AR296" i="49"/>
  <c r="AS296" i="49" s="1"/>
  <c r="AN296" i="49"/>
  <c r="AO296" i="49" s="1"/>
  <c r="AJ296" i="49"/>
  <c r="AK296" i="49" s="1"/>
  <c r="AF296" i="49"/>
  <c r="AG296" i="49" s="1"/>
  <c r="AB296" i="49"/>
  <c r="AC296" i="49" s="1"/>
  <c r="X296" i="49"/>
  <c r="Y296" i="49" s="1"/>
  <c r="S296" i="49"/>
  <c r="F296" i="49"/>
  <c r="BR295" i="49"/>
  <c r="BO295" i="49"/>
  <c r="BL295" i="49"/>
  <c r="BH295" i="49"/>
  <c r="BI295" i="49" s="1"/>
  <c r="BD295" i="49"/>
  <c r="BE295" i="49" s="1"/>
  <c r="AZ295" i="49"/>
  <c r="BA295" i="49" s="1"/>
  <c r="AV295" i="49"/>
  <c r="AW295" i="49" s="1"/>
  <c r="AR295" i="49"/>
  <c r="AS295" i="49" s="1"/>
  <c r="AN295" i="49"/>
  <c r="AO295" i="49" s="1"/>
  <c r="AJ295" i="49"/>
  <c r="AK295" i="49" s="1"/>
  <c r="AF295" i="49"/>
  <c r="AG295" i="49" s="1"/>
  <c r="AB295" i="49"/>
  <c r="AC295" i="49" s="1"/>
  <c r="X295" i="49"/>
  <c r="Y295" i="49" s="1"/>
  <c r="S295" i="49"/>
  <c r="F295" i="49"/>
  <c r="BR294" i="49"/>
  <c r="BO294" i="49"/>
  <c r="BL294" i="49"/>
  <c r="BH294" i="49"/>
  <c r="BI294" i="49" s="1"/>
  <c r="BD294" i="49"/>
  <c r="BE294" i="49" s="1"/>
  <c r="AZ294" i="49"/>
  <c r="BA294" i="49" s="1"/>
  <c r="AV294" i="49"/>
  <c r="AW294" i="49" s="1"/>
  <c r="AR294" i="49"/>
  <c r="AS294" i="49" s="1"/>
  <c r="AN294" i="49"/>
  <c r="AO294" i="49" s="1"/>
  <c r="AJ294" i="49"/>
  <c r="AK294" i="49" s="1"/>
  <c r="AF294" i="49"/>
  <c r="AG294" i="49" s="1"/>
  <c r="AB294" i="49"/>
  <c r="AC294" i="49" s="1"/>
  <c r="X294" i="49"/>
  <c r="Y294" i="49" s="1"/>
  <c r="S294" i="49"/>
  <c r="F294" i="49"/>
  <c r="BR293" i="49"/>
  <c r="BO293" i="49"/>
  <c r="BL293" i="49"/>
  <c r="BH293" i="49"/>
  <c r="BI293" i="49" s="1"/>
  <c r="BD293" i="49"/>
  <c r="BE293" i="49" s="1"/>
  <c r="AZ293" i="49"/>
  <c r="BA293" i="49" s="1"/>
  <c r="AV293" i="49"/>
  <c r="AW293" i="49" s="1"/>
  <c r="AR293" i="49"/>
  <c r="AS293" i="49" s="1"/>
  <c r="AN293" i="49"/>
  <c r="AO293" i="49" s="1"/>
  <c r="AJ293" i="49"/>
  <c r="AK293" i="49" s="1"/>
  <c r="AF293" i="49"/>
  <c r="AG293" i="49" s="1"/>
  <c r="AB293" i="49"/>
  <c r="AC293" i="49" s="1"/>
  <c r="X293" i="49"/>
  <c r="Y293" i="49" s="1"/>
  <c r="S293" i="49"/>
  <c r="F293" i="49"/>
  <c r="BR292" i="49"/>
  <c r="BO292" i="49"/>
  <c r="BL292" i="49"/>
  <c r="BH292" i="49"/>
  <c r="BI292" i="49" s="1"/>
  <c r="BD292" i="49"/>
  <c r="BE292" i="49" s="1"/>
  <c r="AZ292" i="49"/>
  <c r="BA292" i="49" s="1"/>
  <c r="AV292" i="49"/>
  <c r="AW292" i="49" s="1"/>
  <c r="AR292" i="49"/>
  <c r="AS292" i="49" s="1"/>
  <c r="AN292" i="49"/>
  <c r="AO292" i="49" s="1"/>
  <c r="AJ292" i="49"/>
  <c r="AK292" i="49" s="1"/>
  <c r="AF292" i="49"/>
  <c r="AG292" i="49" s="1"/>
  <c r="AB292" i="49"/>
  <c r="AC292" i="49" s="1"/>
  <c r="X292" i="49"/>
  <c r="Y292" i="49" s="1"/>
  <c r="S292" i="49"/>
  <c r="F292" i="49"/>
  <c r="BR291" i="49"/>
  <c r="BO291" i="49"/>
  <c r="BL291" i="49"/>
  <c r="BH291" i="49"/>
  <c r="BI291" i="49" s="1"/>
  <c r="BD291" i="49"/>
  <c r="BE291" i="49" s="1"/>
  <c r="AZ291" i="49"/>
  <c r="BA291" i="49" s="1"/>
  <c r="AV291" i="49"/>
  <c r="AW291" i="49" s="1"/>
  <c r="AR291" i="49"/>
  <c r="AS291" i="49" s="1"/>
  <c r="AN291" i="49"/>
  <c r="AO291" i="49" s="1"/>
  <c r="AJ291" i="49"/>
  <c r="AK291" i="49" s="1"/>
  <c r="AF291" i="49"/>
  <c r="AG291" i="49" s="1"/>
  <c r="AB291" i="49"/>
  <c r="AC291" i="49" s="1"/>
  <c r="X291" i="49"/>
  <c r="Y291" i="49" s="1"/>
  <c r="S291" i="49"/>
  <c r="F291" i="49"/>
  <c r="BR290" i="49"/>
  <c r="BO290" i="49"/>
  <c r="BL290" i="49"/>
  <c r="BH290" i="49"/>
  <c r="BI290" i="49" s="1"/>
  <c r="BD290" i="49"/>
  <c r="BE290" i="49" s="1"/>
  <c r="AZ290" i="49"/>
  <c r="BA290" i="49" s="1"/>
  <c r="AV290" i="49"/>
  <c r="AW290" i="49" s="1"/>
  <c r="AR290" i="49"/>
  <c r="AS290" i="49" s="1"/>
  <c r="AN290" i="49"/>
  <c r="AO290" i="49" s="1"/>
  <c r="AJ290" i="49"/>
  <c r="AK290" i="49" s="1"/>
  <c r="AF290" i="49"/>
  <c r="AG290" i="49" s="1"/>
  <c r="AB290" i="49"/>
  <c r="AC290" i="49" s="1"/>
  <c r="X290" i="49"/>
  <c r="Y290" i="49" s="1"/>
  <c r="S290" i="49"/>
  <c r="F290" i="49"/>
  <c r="BR289" i="49"/>
  <c r="BO289" i="49"/>
  <c r="BL289" i="49"/>
  <c r="BH289" i="49"/>
  <c r="BI289" i="49" s="1"/>
  <c r="BD289" i="49"/>
  <c r="BE289" i="49" s="1"/>
  <c r="AZ289" i="49"/>
  <c r="BA289" i="49" s="1"/>
  <c r="AV289" i="49"/>
  <c r="AW289" i="49" s="1"/>
  <c r="AR289" i="49"/>
  <c r="AS289" i="49" s="1"/>
  <c r="AN289" i="49"/>
  <c r="AO289" i="49" s="1"/>
  <c r="AJ289" i="49"/>
  <c r="AK289" i="49" s="1"/>
  <c r="AF289" i="49"/>
  <c r="AG289" i="49" s="1"/>
  <c r="AB289" i="49"/>
  <c r="AC289" i="49" s="1"/>
  <c r="X289" i="49"/>
  <c r="Y289" i="49" s="1"/>
  <c r="S289" i="49"/>
  <c r="F289" i="49"/>
  <c r="BR288" i="49"/>
  <c r="BO288" i="49"/>
  <c r="BL288" i="49"/>
  <c r="BH288" i="49"/>
  <c r="BI288" i="49" s="1"/>
  <c r="BD288" i="49"/>
  <c r="BE288" i="49" s="1"/>
  <c r="AZ288" i="49"/>
  <c r="BA288" i="49" s="1"/>
  <c r="AV288" i="49"/>
  <c r="AW288" i="49" s="1"/>
  <c r="AR288" i="49"/>
  <c r="AS288" i="49" s="1"/>
  <c r="AN288" i="49"/>
  <c r="AO288" i="49" s="1"/>
  <c r="AJ288" i="49"/>
  <c r="AK288" i="49" s="1"/>
  <c r="AF288" i="49"/>
  <c r="AG288" i="49" s="1"/>
  <c r="AB288" i="49"/>
  <c r="AC288" i="49" s="1"/>
  <c r="X288" i="49"/>
  <c r="Y288" i="49" s="1"/>
  <c r="S288" i="49"/>
  <c r="F288" i="49"/>
  <c r="BR287" i="49"/>
  <c r="BO287" i="49"/>
  <c r="BL287" i="49"/>
  <c r="BH287" i="49"/>
  <c r="BI287" i="49" s="1"/>
  <c r="BD287" i="49"/>
  <c r="BE287" i="49" s="1"/>
  <c r="AZ287" i="49"/>
  <c r="BA287" i="49" s="1"/>
  <c r="AV287" i="49"/>
  <c r="AW287" i="49" s="1"/>
  <c r="AR287" i="49"/>
  <c r="AS287" i="49" s="1"/>
  <c r="AN287" i="49"/>
  <c r="AO287" i="49" s="1"/>
  <c r="AJ287" i="49"/>
  <c r="AK287" i="49" s="1"/>
  <c r="AF287" i="49"/>
  <c r="AG287" i="49" s="1"/>
  <c r="AB287" i="49"/>
  <c r="AC287" i="49" s="1"/>
  <c r="X287" i="49"/>
  <c r="Y287" i="49" s="1"/>
  <c r="S287" i="49"/>
  <c r="F287" i="49"/>
  <c r="C45" i="76" l="1"/>
  <c r="D45" i="76"/>
  <c r="E56" i="76"/>
  <c r="D56" i="76"/>
  <c r="C56" i="76"/>
  <c r="D46" i="76"/>
  <c r="E46" i="76"/>
  <c r="C46" i="76"/>
  <c r="A47" i="76"/>
  <c r="D35" i="76"/>
  <c r="E35" i="76"/>
  <c r="C35" i="76"/>
  <c r="A36" i="76"/>
  <c r="E20" i="76"/>
  <c r="D20" i="76"/>
  <c r="C20" i="76"/>
  <c r="Y63" i="75"/>
  <c r="X62" i="75"/>
  <c r="Y62" i="75" s="1"/>
  <c r="BE63" i="75"/>
  <c r="BD62" i="75"/>
  <c r="BE62" i="75" s="1"/>
  <c r="AF62" i="75"/>
  <c r="AG62" i="75" s="1"/>
  <c r="AG63" i="75"/>
  <c r="A48" i="76" l="1"/>
  <c r="D47" i="76"/>
  <c r="E47" i="76"/>
  <c r="C47" i="76"/>
  <c r="C36" i="76"/>
  <c r="E36" i="76"/>
  <c r="D36" i="76"/>
  <c r="A37" i="76"/>
  <c r="O11" i="74"/>
  <c r="A11" i="74"/>
  <c r="A12" i="74" s="1"/>
  <c r="A13" i="74" s="1"/>
  <c r="F264" i="49"/>
  <c r="F265" i="49"/>
  <c r="F266" i="49"/>
  <c r="F267" i="49"/>
  <c r="F268" i="49"/>
  <c r="F269" i="49"/>
  <c r="F270" i="49"/>
  <c r="F271" i="49"/>
  <c r="F272" i="49"/>
  <c r="F273" i="49"/>
  <c r="F274" i="49"/>
  <c r="F275" i="49"/>
  <c r="F276" i="49"/>
  <c r="F277" i="49"/>
  <c r="F278" i="49"/>
  <c r="F279" i="49"/>
  <c r="F280" i="49"/>
  <c r="F281" i="49"/>
  <c r="F282" i="49"/>
  <c r="F283" i="49"/>
  <c r="F284" i="49"/>
  <c r="F285" i="49"/>
  <c r="F263" i="49"/>
  <c r="BR285" i="49"/>
  <c r="BO285" i="49"/>
  <c r="O10" i="76" s="1"/>
  <c r="T14" i="76" s="1"/>
  <c r="AD74" i="76" s="1"/>
  <c r="BL285" i="49"/>
  <c r="BH285" i="49"/>
  <c r="BI285" i="49" s="1"/>
  <c r="BD285" i="49"/>
  <c r="BE285" i="49" s="1"/>
  <c r="AZ285" i="49"/>
  <c r="BA285" i="49" s="1"/>
  <c r="AV285" i="49"/>
  <c r="AW285" i="49" s="1"/>
  <c r="AR285" i="49"/>
  <c r="AS285" i="49" s="1"/>
  <c r="AN285" i="49"/>
  <c r="AO285" i="49" s="1"/>
  <c r="AJ285" i="49"/>
  <c r="AK285" i="49" s="1"/>
  <c r="AF285" i="49"/>
  <c r="AG285" i="49" s="1"/>
  <c r="AB285" i="49"/>
  <c r="AC285" i="49" s="1"/>
  <c r="X285" i="49"/>
  <c r="Y285" i="49" s="1"/>
  <c r="S285" i="49"/>
  <c r="BR284" i="49"/>
  <c r="BO284" i="49"/>
  <c r="BL284" i="49"/>
  <c r="BH284" i="49"/>
  <c r="BI284" i="49" s="1"/>
  <c r="BD284" i="49"/>
  <c r="BE284" i="49" s="1"/>
  <c r="AZ284" i="49"/>
  <c r="BA284" i="49" s="1"/>
  <c r="AV284" i="49"/>
  <c r="AW284" i="49" s="1"/>
  <c r="AR284" i="49"/>
  <c r="AS284" i="49" s="1"/>
  <c r="AN284" i="49"/>
  <c r="AO284" i="49" s="1"/>
  <c r="AJ284" i="49"/>
  <c r="AK284" i="49" s="1"/>
  <c r="AF284" i="49"/>
  <c r="AG284" i="49" s="1"/>
  <c r="AB284" i="49"/>
  <c r="AC284" i="49" s="1"/>
  <c r="X284" i="49"/>
  <c r="Y284" i="49" s="1"/>
  <c r="BQ283" i="49"/>
  <c r="BP283" i="49"/>
  <c r="BN283" i="49"/>
  <c r="BM283" i="49"/>
  <c r="BG283" i="49"/>
  <c r="BF283" i="49"/>
  <c r="BC283" i="49"/>
  <c r="BB283" i="49"/>
  <c r="AY283" i="49"/>
  <c r="AX283" i="49"/>
  <c r="AU283" i="49"/>
  <c r="AT283" i="49"/>
  <c r="AQ283" i="49"/>
  <c r="AP283" i="49"/>
  <c r="AM283" i="49"/>
  <c r="AL283" i="49"/>
  <c r="AI283" i="49"/>
  <c r="AH283" i="49"/>
  <c r="AE283" i="49"/>
  <c r="AD283" i="49"/>
  <c r="AA283" i="49"/>
  <c r="Z283" i="49"/>
  <c r="W283" i="49"/>
  <c r="V283" i="49"/>
  <c r="U283" i="49"/>
  <c r="T283" i="49"/>
  <c r="R283" i="49"/>
  <c r="S284" i="49" s="1"/>
  <c r="M283" i="49"/>
  <c r="L283" i="49"/>
  <c r="K283" i="49"/>
  <c r="J283" i="49"/>
  <c r="BR282" i="49"/>
  <c r="BO282" i="49"/>
  <c r="BL282" i="49"/>
  <c r="BH282" i="49"/>
  <c r="BI282" i="49" s="1"/>
  <c r="BD282" i="49"/>
  <c r="BE282" i="49" s="1"/>
  <c r="AZ282" i="49"/>
  <c r="BA282" i="49" s="1"/>
  <c r="AV282" i="49"/>
  <c r="AW282" i="49" s="1"/>
  <c r="AR282" i="49"/>
  <c r="AS282" i="49" s="1"/>
  <c r="AN282" i="49"/>
  <c r="AO282" i="49" s="1"/>
  <c r="AJ282" i="49"/>
  <c r="AK282" i="49" s="1"/>
  <c r="AF282" i="49"/>
  <c r="AG282" i="49" s="1"/>
  <c r="AB282" i="49"/>
  <c r="AC282" i="49" s="1"/>
  <c r="X282" i="49"/>
  <c r="Y282" i="49" s="1"/>
  <c r="S282" i="49"/>
  <c r="S283" i="49" s="1"/>
  <c r="BR281" i="49"/>
  <c r="BO281" i="49"/>
  <c r="BO283" i="49" s="1"/>
  <c r="BL281" i="49"/>
  <c r="BL283" i="49" s="1"/>
  <c r="BH281" i="49"/>
  <c r="BI281" i="49" s="1"/>
  <c r="BD281" i="49"/>
  <c r="AZ281" i="49"/>
  <c r="BA281" i="49" s="1"/>
  <c r="AV281" i="49"/>
  <c r="AW281" i="49" s="1"/>
  <c r="AR281" i="49"/>
  <c r="AS281" i="49" s="1"/>
  <c r="AN281" i="49"/>
  <c r="AJ281" i="49"/>
  <c r="AK281" i="49" s="1"/>
  <c r="AF281" i="49"/>
  <c r="AB281" i="49"/>
  <c r="AC281" i="49" s="1"/>
  <c r="X281" i="49"/>
  <c r="X283" i="49" s="1"/>
  <c r="S281" i="49"/>
  <c r="BR280" i="49"/>
  <c r="BO280" i="49"/>
  <c r="BL280" i="49"/>
  <c r="BH280" i="49"/>
  <c r="BI280" i="49" s="1"/>
  <c r="BD280" i="49"/>
  <c r="BE280" i="49" s="1"/>
  <c r="AZ280" i="49"/>
  <c r="BA280" i="49" s="1"/>
  <c r="AV280" i="49"/>
  <c r="AW280" i="49" s="1"/>
  <c r="AR280" i="49"/>
  <c r="AS280" i="49" s="1"/>
  <c r="AN280" i="49"/>
  <c r="AO280" i="49" s="1"/>
  <c r="AJ280" i="49"/>
  <c r="AK280" i="49" s="1"/>
  <c r="AF280" i="49"/>
  <c r="AG280" i="49" s="1"/>
  <c r="AB280" i="49"/>
  <c r="AC280" i="49" s="1"/>
  <c r="X280" i="49"/>
  <c r="Y280" i="49" s="1"/>
  <c r="BQ279" i="49"/>
  <c r="BP279" i="49"/>
  <c r="BN279" i="49"/>
  <c r="BM279" i="49"/>
  <c r="BG279" i="49"/>
  <c r="BF279" i="49"/>
  <c r="BC279" i="49"/>
  <c r="BB279" i="49"/>
  <c r="AY279" i="49"/>
  <c r="AX279" i="49"/>
  <c r="AU279" i="49"/>
  <c r="AT279" i="49"/>
  <c r="AQ279" i="49"/>
  <c r="AP279" i="49"/>
  <c r="AM279" i="49"/>
  <c r="AL279" i="49"/>
  <c r="AI279" i="49"/>
  <c r="AH279" i="49"/>
  <c r="AE279" i="49"/>
  <c r="AD279" i="49"/>
  <c r="AA279" i="49"/>
  <c r="Z279" i="49"/>
  <c r="W279" i="49"/>
  <c r="V279" i="49"/>
  <c r="U279" i="49"/>
  <c r="T279" i="49"/>
  <c r="R279" i="49"/>
  <c r="S280" i="49" s="1"/>
  <c r="M279" i="49"/>
  <c r="L279" i="49"/>
  <c r="K279" i="49"/>
  <c r="J279" i="49"/>
  <c r="BR278" i="49"/>
  <c r="BO278" i="49"/>
  <c r="BL278" i="49"/>
  <c r="BH278" i="49"/>
  <c r="BI278" i="49" s="1"/>
  <c r="BD278" i="49"/>
  <c r="BE278" i="49" s="1"/>
  <c r="AZ278" i="49"/>
  <c r="BA278" i="49" s="1"/>
  <c r="AV278" i="49"/>
  <c r="AW278" i="49" s="1"/>
  <c r="AR278" i="49"/>
  <c r="AS278" i="49" s="1"/>
  <c r="AN278" i="49"/>
  <c r="AO278" i="49" s="1"/>
  <c r="AJ278" i="49"/>
  <c r="AK278" i="49" s="1"/>
  <c r="AF278" i="49"/>
  <c r="AG278" i="49" s="1"/>
  <c r="AB278" i="49"/>
  <c r="AC278" i="49" s="1"/>
  <c r="X278" i="49"/>
  <c r="Y278" i="49" s="1"/>
  <c r="S278" i="49"/>
  <c r="S279" i="49" s="1"/>
  <c r="BR277" i="49"/>
  <c r="BO277" i="49"/>
  <c r="BL277" i="49"/>
  <c r="BH277" i="49"/>
  <c r="BI277" i="49" s="1"/>
  <c r="BD277" i="49"/>
  <c r="BE277" i="49" s="1"/>
  <c r="AZ277" i="49"/>
  <c r="BA277" i="49" s="1"/>
  <c r="AV277" i="49"/>
  <c r="AR277" i="49"/>
  <c r="AS277" i="49" s="1"/>
  <c r="AN277" i="49"/>
  <c r="AJ277" i="49"/>
  <c r="AK277" i="49" s="1"/>
  <c r="AF277" i="49"/>
  <c r="AG277" i="49" s="1"/>
  <c r="AB277" i="49"/>
  <c r="AC277" i="49" s="1"/>
  <c r="X277" i="49"/>
  <c r="X279" i="49" s="1"/>
  <c r="BQ276" i="49"/>
  <c r="BP276" i="49"/>
  <c r="BN276" i="49"/>
  <c r="BM276" i="49"/>
  <c r="BG276" i="49"/>
  <c r="BF276" i="49"/>
  <c r="BC276" i="49"/>
  <c r="BB276" i="49"/>
  <c r="AY276" i="49"/>
  <c r="AX276" i="49"/>
  <c r="AU276" i="49"/>
  <c r="AT276" i="49"/>
  <c r="AQ276" i="49"/>
  <c r="AP276" i="49"/>
  <c r="AM276" i="49"/>
  <c r="AL276" i="49"/>
  <c r="AI276" i="49"/>
  <c r="AH276" i="49"/>
  <c r="AE276" i="49"/>
  <c r="AD276" i="49"/>
  <c r="AA276" i="49"/>
  <c r="Z276" i="49"/>
  <c r="W276" i="49"/>
  <c r="V276" i="49"/>
  <c r="U276" i="49"/>
  <c r="T276" i="49"/>
  <c r="R276" i="49"/>
  <c r="S277" i="49" s="1"/>
  <c r="M276" i="49"/>
  <c r="L276" i="49"/>
  <c r="K276" i="49"/>
  <c r="J276" i="49"/>
  <c r="BR275" i="49"/>
  <c r="BR274" i="49" s="1"/>
  <c r="BR276" i="49" s="1"/>
  <c r="BO275" i="49"/>
  <c r="BO274" i="49" s="1"/>
  <c r="BO276" i="49" s="1"/>
  <c r="BL275" i="49"/>
  <c r="BL274" i="49" s="1"/>
  <c r="BL276" i="49" s="1"/>
  <c r="BH275" i="49"/>
  <c r="BI275" i="49" s="1"/>
  <c r="BD275" i="49"/>
  <c r="BE275" i="49" s="1"/>
  <c r="AZ275" i="49"/>
  <c r="BA275" i="49" s="1"/>
  <c r="AV275" i="49"/>
  <c r="AW275" i="49" s="1"/>
  <c r="AR275" i="49"/>
  <c r="AS275" i="49" s="1"/>
  <c r="AN275" i="49"/>
  <c r="AO275" i="49" s="1"/>
  <c r="AJ275" i="49"/>
  <c r="AK275" i="49" s="1"/>
  <c r="AF275" i="49"/>
  <c r="AG275" i="49" s="1"/>
  <c r="AB275" i="49"/>
  <c r="AC275" i="49" s="1"/>
  <c r="X275" i="49"/>
  <c r="Y275" i="49" s="1"/>
  <c r="S275" i="49"/>
  <c r="S276" i="49" s="1"/>
  <c r="S274" i="49"/>
  <c r="BR273" i="49"/>
  <c r="BO273" i="49"/>
  <c r="BL273" i="49"/>
  <c r="BH273" i="49"/>
  <c r="BI273" i="49" s="1"/>
  <c r="BD273" i="49"/>
  <c r="BE273" i="49" s="1"/>
  <c r="AZ273" i="49"/>
  <c r="BA273" i="49" s="1"/>
  <c r="AV273" i="49"/>
  <c r="AW273" i="49" s="1"/>
  <c r="AR273" i="49"/>
  <c r="AS273" i="49" s="1"/>
  <c r="AN273" i="49"/>
  <c r="AO273" i="49" s="1"/>
  <c r="AJ273" i="49"/>
  <c r="AK273" i="49" s="1"/>
  <c r="AF273" i="49"/>
  <c r="AG273" i="49" s="1"/>
  <c r="AB273" i="49"/>
  <c r="AC273" i="49" s="1"/>
  <c r="X273" i="49"/>
  <c r="Y273" i="49" s="1"/>
  <c r="BQ272" i="49"/>
  <c r="BP272" i="49"/>
  <c r="BN272" i="49"/>
  <c r="BM272" i="49"/>
  <c r="BG272" i="49"/>
  <c r="BF272" i="49"/>
  <c r="BC272" i="49"/>
  <c r="BB272" i="49"/>
  <c r="AY272" i="49"/>
  <c r="AX272" i="49"/>
  <c r="AU272" i="49"/>
  <c r="AT272" i="49"/>
  <c r="AQ272" i="49"/>
  <c r="AP272" i="49"/>
  <c r="AM272" i="49"/>
  <c r="AL272" i="49"/>
  <c r="AI272" i="49"/>
  <c r="AH272" i="49"/>
  <c r="AE272" i="49"/>
  <c r="AD272" i="49"/>
  <c r="AA272" i="49"/>
  <c r="Z272" i="49"/>
  <c r="W272" i="49"/>
  <c r="I13" i="76" s="1"/>
  <c r="V272" i="49"/>
  <c r="H13" i="76" s="1"/>
  <c r="U272" i="49"/>
  <c r="J13" i="76" s="1"/>
  <c r="T272" i="49"/>
  <c r="R272" i="49"/>
  <c r="S273" i="49" s="1"/>
  <c r="M272" i="49"/>
  <c r="L272" i="49"/>
  <c r="K272" i="49"/>
  <c r="J272" i="49"/>
  <c r="F13" i="76" s="1"/>
  <c r="BR271" i="49"/>
  <c r="BR270" i="49" s="1"/>
  <c r="BR272" i="49" s="1"/>
  <c r="BO271" i="49"/>
  <c r="BO270" i="49" s="1"/>
  <c r="BO272" i="49" s="1"/>
  <c r="BL271" i="49"/>
  <c r="BL270" i="49" s="1"/>
  <c r="BL272" i="49" s="1"/>
  <c r="BH271" i="49"/>
  <c r="BI271" i="49" s="1"/>
  <c r="BD271" i="49"/>
  <c r="BE271" i="49" s="1"/>
  <c r="AZ271" i="49"/>
  <c r="BA271" i="49" s="1"/>
  <c r="AV271" i="49"/>
  <c r="AV270" i="49" s="1"/>
  <c r="AW270" i="49" s="1"/>
  <c r="AR271" i="49"/>
  <c r="AS271" i="49" s="1"/>
  <c r="AN271" i="49"/>
  <c r="AN270" i="49" s="1"/>
  <c r="AO270" i="49" s="1"/>
  <c r="AJ271" i="49"/>
  <c r="AK271" i="49" s="1"/>
  <c r="AF271" i="49"/>
  <c r="AF270" i="49" s="1"/>
  <c r="AG270" i="49" s="1"/>
  <c r="AB271" i="49"/>
  <c r="AC271" i="49" s="1"/>
  <c r="X271" i="49"/>
  <c r="Y271" i="49" s="1"/>
  <c r="S271" i="49"/>
  <c r="S272" i="49" s="1"/>
  <c r="BQ269" i="49"/>
  <c r="BP269" i="49"/>
  <c r="BN269" i="49"/>
  <c r="BM269" i="49"/>
  <c r="BG269" i="49"/>
  <c r="BF269" i="49"/>
  <c r="BC269" i="49"/>
  <c r="BB269" i="49"/>
  <c r="AY269" i="49"/>
  <c r="AX269" i="49"/>
  <c r="AU269" i="49"/>
  <c r="AT269" i="49"/>
  <c r="AQ269" i="49"/>
  <c r="AP269" i="49"/>
  <c r="AM269" i="49"/>
  <c r="AL269" i="49"/>
  <c r="AI269" i="49"/>
  <c r="AH269" i="49"/>
  <c r="AE269" i="49"/>
  <c r="AD269" i="49"/>
  <c r="AA269" i="49"/>
  <c r="Z269" i="49"/>
  <c r="W269" i="49"/>
  <c r="I12" i="76" s="1"/>
  <c r="V269" i="49"/>
  <c r="H12" i="76" s="1"/>
  <c r="U269" i="49"/>
  <c r="J12" i="76" s="1"/>
  <c r="T269" i="49"/>
  <c r="R269" i="49"/>
  <c r="S270" i="49" s="1"/>
  <c r="M269" i="49"/>
  <c r="L269" i="49"/>
  <c r="K269" i="49"/>
  <c r="J269" i="49"/>
  <c r="F12" i="76" s="1"/>
  <c r="BR268" i="49"/>
  <c r="BO268" i="49"/>
  <c r="BL268" i="49"/>
  <c r="BH268" i="49"/>
  <c r="BI268" i="49" s="1"/>
  <c r="BD268" i="49"/>
  <c r="BE268" i="49" s="1"/>
  <c r="AZ268" i="49"/>
  <c r="BA268" i="49" s="1"/>
  <c r="AV268" i="49"/>
  <c r="AW268" i="49" s="1"/>
  <c r="AR268" i="49"/>
  <c r="AS268" i="49" s="1"/>
  <c r="AN268" i="49"/>
  <c r="AO268" i="49" s="1"/>
  <c r="AJ268" i="49"/>
  <c r="AK268" i="49" s="1"/>
  <c r="AF268" i="49"/>
  <c r="AG268" i="49" s="1"/>
  <c r="AB268" i="49"/>
  <c r="AC268" i="49" s="1"/>
  <c r="X268" i="49"/>
  <c r="Y268" i="49" s="1"/>
  <c r="S268" i="49"/>
  <c r="S269" i="49" s="1"/>
  <c r="BR267" i="49"/>
  <c r="BO267" i="49"/>
  <c r="BL267" i="49"/>
  <c r="BL269" i="49" s="1"/>
  <c r="BH267" i="49"/>
  <c r="BD267" i="49"/>
  <c r="BE267" i="49" s="1"/>
  <c r="AZ267" i="49"/>
  <c r="AV267" i="49"/>
  <c r="AW267" i="49" s="1"/>
  <c r="AR267" i="49"/>
  <c r="AN267" i="49"/>
  <c r="AO267" i="49" s="1"/>
  <c r="AJ267" i="49"/>
  <c r="AF267" i="49"/>
  <c r="AG267" i="49" s="1"/>
  <c r="AB267" i="49"/>
  <c r="X267" i="49"/>
  <c r="Y267" i="49" s="1"/>
  <c r="S267" i="49"/>
  <c r="BR266" i="49"/>
  <c r="BO266" i="49"/>
  <c r="BL266" i="49"/>
  <c r="BH266" i="49"/>
  <c r="BI266" i="49" s="1"/>
  <c r="BD266" i="49"/>
  <c r="BE266" i="49" s="1"/>
  <c r="AZ266" i="49"/>
  <c r="BA266" i="49" s="1"/>
  <c r="AV266" i="49"/>
  <c r="AW266" i="49" s="1"/>
  <c r="AR266" i="49"/>
  <c r="AS266" i="49" s="1"/>
  <c r="AN266" i="49"/>
  <c r="AO266" i="49" s="1"/>
  <c r="AJ266" i="49"/>
  <c r="AK266" i="49" s="1"/>
  <c r="AF266" i="49"/>
  <c r="AG266" i="49" s="1"/>
  <c r="AB266" i="49"/>
  <c r="AC266" i="49" s="1"/>
  <c r="X266" i="49"/>
  <c r="Y266" i="49" s="1"/>
  <c r="BQ265" i="49"/>
  <c r="BP265" i="49"/>
  <c r="BN265" i="49"/>
  <c r="BM265" i="49"/>
  <c r="BG265" i="49"/>
  <c r="BF265" i="49"/>
  <c r="BC265" i="49"/>
  <c r="BB265" i="49"/>
  <c r="AY265" i="49"/>
  <c r="AX265" i="49"/>
  <c r="AU265" i="49"/>
  <c r="AT265" i="49"/>
  <c r="AQ265" i="49"/>
  <c r="AP265" i="49"/>
  <c r="AM265" i="49"/>
  <c r="AL265" i="49"/>
  <c r="AI265" i="49"/>
  <c r="AH265" i="49"/>
  <c r="AE265" i="49"/>
  <c r="AD265" i="49"/>
  <c r="AA265" i="49"/>
  <c r="Z265" i="49"/>
  <c r="W265" i="49"/>
  <c r="I10" i="76" s="1"/>
  <c r="V265" i="49"/>
  <c r="H10" i="76" s="1"/>
  <c r="U265" i="49"/>
  <c r="J10" i="76" s="1"/>
  <c r="T265" i="49"/>
  <c r="R265" i="49"/>
  <c r="M265" i="49"/>
  <c r="L265" i="49"/>
  <c r="K265" i="49"/>
  <c r="J265" i="49"/>
  <c r="F10" i="76" s="1"/>
  <c r="BR264" i="49"/>
  <c r="BO264" i="49"/>
  <c r="BL264" i="49"/>
  <c r="BH264" i="49"/>
  <c r="BI264" i="49" s="1"/>
  <c r="BD264" i="49"/>
  <c r="BE264" i="49" s="1"/>
  <c r="AZ264" i="49"/>
  <c r="BA264" i="49" s="1"/>
  <c r="AV264" i="49"/>
  <c r="AW264" i="49" s="1"/>
  <c r="AR264" i="49"/>
  <c r="AS264" i="49" s="1"/>
  <c r="AN264" i="49"/>
  <c r="AO264" i="49" s="1"/>
  <c r="AJ264" i="49"/>
  <c r="AK264" i="49" s="1"/>
  <c r="AF264" i="49"/>
  <c r="AG264" i="49" s="1"/>
  <c r="AB264" i="49"/>
  <c r="AC264" i="49" s="1"/>
  <c r="X264" i="49"/>
  <c r="Y264" i="49" s="1"/>
  <c r="S264" i="49"/>
  <c r="S265" i="49" s="1"/>
  <c r="BR263" i="49"/>
  <c r="BO263" i="49"/>
  <c r="BL263" i="49"/>
  <c r="BH263" i="49"/>
  <c r="BI263" i="49" s="1"/>
  <c r="BD263" i="49"/>
  <c r="BE263" i="49" s="1"/>
  <c r="AZ263" i="49"/>
  <c r="AV263" i="49"/>
  <c r="AW263" i="49" s="1"/>
  <c r="AR263" i="49"/>
  <c r="AN263" i="49"/>
  <c r="AO263" i="49" s="1"/>
  <c r="AJ263" i="49"/>
  <c r="AK263" i="49" s="1"/>
  <c r="AF263" i="49"/>
  <c r="AG263" i="49" s="1"/>
  <c r="AB263" i="49"/>
  <c r="AC263" i="49" s="1"/>
  <c r="X263" i="49"/>
  <c r="Y263" i="49" s="1"/>
  <c r="S263" i="49"/>
  <c r="A264" i="49"/>
  <c r="A265" i="49" s="1"/>
  <c r="O26" i="74"/>
  <c r="O18" i="74"/>
  <c r="A25" i="74"/>
  <c r="A26" i="74" s="1"/>
  <c r="A27" i="74" s="1"/>
  <c r="BO279" i="49" l="1"/>
  <c r="BR279" i="49"/>
  <c r="A266" i="49"/>
  <c r="B10" i="76"/>
  <c r="O10" i="74"/>
  <c r="G11" i="76"/>
  <c r="K11" i="76"/>
  <c r="U11" i="76"/>
  <c r="C37" i="76"/>
  <c r="D37" i="76"/>
  <c r="A38" i="76"/>
  <c r="E37" i="76"/>
  <c r="I48" i="76"/>
  <c r="E48" i="76"/>
  <c r="J48" i="76"/>
  <c r="D48" i="76"/>
  <c r="H48" i="76"/>
  <c r="C48" i="76"/>
  <c r="A49" i="76"/>
  <c r="F48" i="76"/>
  <c r="BR283" i="49"/>
  <c r="BD283" i="49"/>
  <c r="AN283" i="49"/>
  <c r="AF283" i="49"/>
  <c r="AG283" i="49" s="1"/>
  <c r="BL279" i="49"/>
  <c r="AV279" i="49"/>
  <c r="AW279" i="49" s="1"/>
  <c r="AN279" i="49"/>
  <c r="AO279" i="49" s="1"/>
  <c r="BH270" i="49"/>
  <c r="BH272" i="49" s="1"/>
  <c r="BI272" i="49" s="1"/>
  <c r="BR269" i="49"/>
  <c r="BO269" i="49"/>
  <c r="BH269" i="49"/>
  <c r="BI269" i="49" s="1"/>
  <c r="AZ269" i="49"/>
  <c r="BA269" i="49" s="1"/>
  <c r="AR269" i="49"/>
  <c r="AS269" i="49" s="1"/>
  <c r="AJ269" i="49"/>
  <c r="AK269" i="49" s="1"/>
  <c r="AB269" i="49"/>
  <c r="BR265" i="49"/>
  <c r="BO265" i="49"/>
  <c r="BL265" i="49"/>
  <c r="AZ265" i="49"/>
  <c r="BA265" i="49" s="1"/>
  <c r="AR265" i="49"/>
  <c r="AS265" i="49" s="1"/>
  <c r="Y283" i="49"/>
  <c r="BH283" i="49"/>
  <c r="BI283" i="49" s="1"/>
  <c r="BE281" i="49"/>
  <c r="AZ283" i="49"/>
  <c r="BA283" i="49" s="1"/>
  <c r="AV283" i="49"/>
  <c r="AR283" i="49"/>
  <c r="AS283" i="49" s="1"/>
  <c r="AO281" i="49"/>
  <c r="AJ283" i="49"/>
  <c r="AK283" i="49" s="1"/>
  <c r="AG281" i="49"/>
  <c r="AB283" i="49"/>
  <c r="AC283" i="49" s="1"/>
  <c r="Y281" i="49"/>
  <c r="AO283" i="49"/>
  <c r="AW283" i="49"/>
  <c r="BE283" i="49"/>
  <c r="BH279" i="49"/>
  <c r="BI279" i="49" s="1"/>
  <c r="BD279" i="49"/>
  <c r="BE279" i="49" s="1"/>
  <c r="AZ279" i="49"/>
  <c r="BA279" i="49" s="1"/>
  <c r="AW277" i="49"/>
  <c r="AR279" i="49"/>
  <c r="AS279" i="49" s="1"/>
  <c r="AO277" i="49"/>
  <c r="AJ279" i="49"/>
  <c r="AK279" i="49" s="1"/>
  <c r="AF279" i="49"/>
  <c r="AG279" i="49" s="1"/>
  <c r="AB279" i="49"/>
  <c r="Y277" i="49"/>
  <c r="Y279" i="49"/>
  <c r="AC279" i="49"/>
  <c r="BH274" i="49"/>
  <c r="BH276" i="49" s="1"/>
  <c r="BI276" i="49" s="1"/>
  <c r="BD274" i="49"/>
  <c r="BE274" i="49" s="1"/>
  <c r="AZ274" i="49"/>
  <c r="AZ276" i="49" s="1"/>
  <c r="BA276" i="49" s="1"/>
  <c r="AV274" i="49"/>
  <c r="AW274" i="49" s="1"/>
  <c r="AR274" i="49"/>
  <c r="AR276" i="49" s="1"/>
  <c r="AS276" i="49" s="1"/>
  <c r="AN274" i="49"/>
  <c r="AO274" i="49" s="1"/>
  <c r="AJ274" i="49"/>
  <c r="AK274" i="49" s="1"/>
  <c r="AF274" i="49"/>
  <c r="AG274" i="49" s="1"/>
  <c r="AB274" i="49"/>
  <c r="AB276" i="49" s="1"/>
  <c r="AC276" i="49" s="1"/>
  <c r="X274" i="49"/>
  <c r="Y274" i="49" s="1"/>
  <c r="BI274" i="49"/>
  <c r="BD276" i="49"/>
  <c r="BE276" i="49" s="1"/>
  <c r="BD270" i="49"/>
  <c r="BE270" i="49" s="1"/>
  <c r="AZ270" i="49"/>
  <c r="BA270" i="49" s="1"/>
  <c r="AW271" i="49"/>
  <c r="AR270" i="49"/>
  <c r="AS270" i="49" s="1"/>
  <c r="AO271" i="49"/>
  <c r="AJ270" i="49"/>
  <c r="AK270" i="49" s="1"/>
  <c r="AG271" i="49"/>
  <c r="AB270" i="49"/>
  <c r="AC270" i="49" s="1"/>
  <c r="X270" i="49"/>
  <c r="Y270" i="49" s="1"/>
  <c r="AV272" i="49"/>
  <c r="AW272" i="49" s="1"/>
  <c r="AN272" i="49"/>
  <c r="AO272" i="49" s="1"/>
  <c r="AF272" i="49"/>
  <c r="AG272" i="49" s="1"/>
  <c r="AC269" i="49"/>
  <c r="BI267" i="49"/>
  <c r="BD269" i="49"/>
  <c r="BE269" i="49" s="1"/>
  <c r="BA267" i="49"/>
  <c r="AV269" i="49"/>
  <c r="AW269" i="49" s="1"/>
  <c r="AS267" i="49"/>
  <c r="AN269" i="49"/>
  <c r="AO269" i="49" s="1"/>
  <c r="AK267" i="49"/>
  <c r="AF269" i="49"/>
  <c r="AG269" i="49" s="1"/>
  <c r="AC267" i="49"/>
  <c r="X269" i="49"/>
  <c r="Y269" i="49" s="1"/>
  <c r="BH265" i="49"/>
  <c r="BI265" i="49" s="1"/>
  <c r="BD265" i="49"/>
  <c r="BE265" i="49" s="1"/>
  <c r="BA263" i="49"/>
  <c r="AV265" i="49"/>
  <c r="AW265" i="49" s="1"/>
  <c r="AS263" i="49"/>
  <c r="AN265" i="49"/>
  <c r="AO265" i="49" s="1"/>
  <c r="AJ265" i="49"/>
  <c r="AK265" i="49" s="1"/>
  <c r="AF265" i="49"/>
  <c r="AG265" i="49" s="1"/>
  <c r="AB265" i="49"/>
  <c r="AC265" i="49" s="1"/>
  <c r="X265" i="49"/>
  <c r="Y265" i="49" s="1"/>
  <c r="S266" i="49"/>
  <c r="F259" i="49"/>
  <c r="F260" i="49"/>
  <c r="F261" i="49"/>
  <c r="F252" i="49"/>
  <c r="F253" i="49"/>
  <c r="F254" i="49"/>
  <c r="F255" i="49"/>
  <c r="F256" i="49"/>
  <c r="F257" i="49"/>
  <c r="F258" i="49"/>
  <c r="F251" i="49"/>
  <c r="F248" i="49"/>
  <c r="F247" i="49"/>
  <c r="BQ261" i="49"/>
  <c r="BP261" i="49"/>
  <c r="BN261" i="49"/>
  <c r="BM261" i="49"/>
  <c r="BG261" i="49"/>
  <c r="BF261" i="49"/>
  <c r="BC261" i="49"/>
  <c r="BB261" i="49"/>
  <c r="AY261" i="49"/>
  <c r="AX261" i="49"/>
  <c r="AU261" i="49"/>
  <c r="AT261" i="49"/>
  <c r="AQ261" i="49"/>
  <c r="AP261" i="49"/>
  <c r="AM261" i="49"/>
  <c r="AL261" i="49"/>
  <c r="AI261" i="49"/>
  <c r="AH261" i="49"/>
  <c r="AE261" i="49"/>
  <c r="AD261" i="49"/>
  <c r="AA261" i="49"/>
  <c r="Z261" i="49"/>
  <c r="W261" i="49"/>
  <c r="I27" i="76" s="1"/>
  <c r="V261" i="49"/>
  <c r="H27" i="76" s="1"/>
  <c r="U261" i="49"/>
  <c r="J27" i="76" s="1"/>
  <c r="T261" i="49"/>
  <c r="R261" i="49"/>
  <c r="M261" i="49"/>
  <c r="L261" i="49"/>
  <c r="K261" i="49"/>
  <c r="J261" i="49"/>
  <c r="F27" i="76" s="1"/>
  <c r="BR260" i="49"/>
  <c r="BR259" i="49" s="1"/>
  <c r="BR261" i="49" s="1"/>
  <c r="BO260" i="49"/>
  <c r="BO259" i="49" s="1"/>
  <c r="BO261" i="49" s="1"/>
  <c r="BL260" i="49"/>
  <c r="BL259" i="49" s="1"/>
  <c r="BL261" i="49" s="1"/>
  <c r="BH260" i="49"/>
  <c r="BI260" i="49" s="1"/>
  <c r="BD260" i="49"/>
  <c r="BE260" i="49" s="1"/>
  <c r="AZ260" i="49"/>
  <c r="BA260" i="49" s="1"/>
  <c r="AV260" i="49"/>
  <c r="AW260" i="49" s="1"/>
  <c r="AR260" i="49"/>
  <c r="AR259" i="49" s="1"/>
  <c r="AS259" i="49" s="1"/>
  <c r="AN260" i="49"/>
  <c r="AN259" i="49" s="1"/>
  <c r="AO259" i="49" s="1"/>
  <c r="AJ260" i="49"/>
  <c r="AK260" i="49" s="1"/>
  <c r="AF260" i="49"/>
  <c r="AG260" i="49" s="1"/>
  <c r="AB260" i="49"/>
  <c r="AB259" i="49" s="1"/>
  <c r="AB261" i="49" s="1"/>
  <c r="X260" i="49"/>
  <c r="Y260" i="49" s="1"/>
  <c r="S260" i="49"/>
  <c r="S261" i="49" s="1"/>
  <c r="BQ258" i="49"/>
  <c r="BP258" i="49"/>
  <c r="BN258" i="49"/>
  <c r="BM258" i="49"/>
  <c r="BG258" i="49"/>
  <c r="BF258" i="49"/>
  <c r="BC258" i="49"/>
  <c r="BB258" i="49"/>
  <c r="AY258" i="49"/>
  <c r="AX258" i="49"/>
  <c r="AU258" i="49"/>
  <c r="AT258" i="49"/>
  <c r="AQ258" i="49"/>
  <c r="AP258" i="49"/>
  <c r="AM258" i="49"/>
  <c r="AL258" i="49"/>
  <c r="AI258" i="49"/>
  <c r="AH258" i="49"/>
  <c r="AE258" i="49"/>
  <c r="AD258" i="49"/>
  <c r="AA258" i="49"/>
  <c r="Z258" i="49"/>
  <c r="W258" i="49"/>
  <c r="I26" i="76" s="1"/>
  <c r="V258" i="49"/>
  <c r="H26" i="76" s="1"/>
  <c r="U258" i="49"/>
  <c r="J26" i="76" s="1"/>
  <c r="T258" i="49"/>
  <c r="R258" i="49"/>
  <c r="S259" i="49" s="1"/>
  <c r="M258" i="49"/>
  <c r="L258" i="49"/>
  <c r="K258" i="49"/>
  <c r="J258" i="49"/>
  <c r="F26" i="76" s="1"/>
  <c r="BR257" i="49"/>
  <c r="BO257" i="49"/>
  <c r="BL257" i="49"/>
  <c r="BH257" i="49"/>
  <c r="BI257" i="49" s="1"/>
  <c r="BD257" i="49"/>
  <c r="BE257" i="49" s="1"/>
  <c r="AZ257" i="49"/>
  <c r="BA257" i="49" s="1"/>
  <c r="AV257" i="49"/>
  <c r="AW257" i="49" s="1"/>
  <c r="AR257" i="49"/>
  <c r="AS257" i="49" s="1"/>
  <c r="AN257" i="49"/>
  <c r="AO257" i="49" s="1"/>
  <c r="AJ257" i="49"/>
  <c r="AK257" i="49" s="1"/>
  <c r="AF257" i="49"/>
  <c r="AG257" i="49" s="1"/>
  <c r="AB257" i="49"/>
  <c r="AC257" i="49" s="1"/>
  <c r="X257" i="49"/>
  <c r="Y257" i="49" s="1"/>
  <c r="S257" i="49"/>
  <c r="S258" i="49" s="1"/>
  <c r="BR256" i="49"/>
  <c r="BO256" i="49"/>
  <c r="BL256" i="49"/>
  <c r="BH256" i="49"/>
  <c r="BD256" i="49"/>
  <c r="BE256" i="49" s="1"/>
  <c r="AZ256" i="49"/>
  <c r="AV256" i="49"/>
  <c r="AR256" i="49"/>
  <c r="AS256" i="49" s="1"/>
  <c r="AN256" i="49"/>
  <c r="AO256" i="49" s="1"/>
  <c r="AJ256" i="49"/>
  <c r="AF256" i="49"/>
  <c r="AG256" i="49" s="1"/>
  <c r="AB256" i="49"/>
  <c r="X256" i="49"/>
  <c r="Y256" i="49" s="1"/>
  <c r="S256" i="49"/>
  <c r="BR255" i="49"/>
  <c r="BO255" i="49"/>
  <c r="BL255" i="49"/>
  <c r="BH255" i="49"/>
  <c r="BI255" i="49" s="1"/>
  <c r="BD255" i="49"/>
  <c r="BE255" i="49" s="1"/>
  <c r="AZ255" i="49"/>
  <c r="BA255" i="49" s="1"/>
  <c r="AV255" i="49"/>
  <c r="AW255" i="49" s="1"/>
  <c r="AR255" i="49"/>
  <c r="AS255" i="49" s="1"/>
  <c r="AN255" i="49"/>
  <c r="AO255" i="49" s="1"/>
  <c r="AJ255" i="49"/>
  <c r="AK255" i="49" s="1"/>
  <c r="AF255" i="49"/>
  <c r="AG255" i="49" s="1"/>
  <c r="AB255" i="49"/>
  <c r="AC255" i="49" s="1"/>
  <c r="X255" i="49"/>
  <c r="Y255" i="49" s="1"/>
  <c r="BQ254" i="49"/>
  <c r="BP254" i="49"/>
  <c r="BN254" i="49"/>
  <c r="BM254" i="49"/>
  <c r="BG254" i="49"/>
  <c r="BF254" i="49"/>
  <c r="BC254" i="49"/>
  <c r="BB254" i="49"/>
  <c r="AY254" i="49"/>
  <c r="AX254" i="49"/>
  <c r="AU254" i="49"/>
  <c r="AT254" i="49"/>
  <c r="AQ254" i="49"/>
  <c r="AP254" i="49"/>
  <c r="AM254" i="49"/>
  <c r="AL254" i="49"/>
  <c r="AI254" i="49"/>
  <c r="AH254" i="49"/>
  <c r="AE254" i="49"/>
  <c r="AD254" i="49"/>
  <c r="AA254" i="49"/>
  <c r="Z254" i="49"/>
  <c r="W254" i="49"/>
  <c r="I24" i="76" s="1"/>
  <c r="V254" i="49"/>
  <c r="H24" i="76" s="1"/>
  <c r="U254" i="49"/>
  <c r="J24" i="76" s="1"/>
  <c r="T254" i="49"/>
  <c r="R254" i="49"/>
  <c r="M254" i="49"/>
  <c r="L254" i="49"/>
  <c r="K254" i="49"/>
  <c r="J254" i="49"/>
  <c r="F24" i="76" s="1"/>
  <c r="BR253" i="49"/>
  <c r="BO253" i="49"/>
  <c r="BL253" i="49"/>
  <c r="BH253" i="49"/>
  <c r="BI253" i="49" s="1"/>
  <c r="BD253" i="49"/>
  <c r="BE253" i="49" s="1"/>
  <c r="AZ253" i="49"/>
  <c r="BA253" i="49" s="1"/>
  <c r="AV253" i="49"/>
  <c r="AW253" i="49" s="1"/>
  <c r="AR253" i="49"/>
  <c r="AS253" i="49" s="1"/>
  <c r="AN253" i="49"/>
  <c r="AO253" i="49" s="1"/>
  <c r="AJ253" i="49"/>
  <c r="AK253" i="49" s="1"/>
  <c r="AF253" i="49"/>
  <c r="AG253" i="49" s="1"/>
  <c r="AB253" i="49"/>
  <c r="AC253" i="49" s="1"/>
  <c r="X253" i="49"/>
  <c r="Y253" i="49" s="1"/>
  <c r="S253" i="49"/>
  <c r="S254" i="49" s="1"/>
  <c r="BR252" i="49"/>
  <c r="BO252" i="49"/>
  <c r="BL252" i="49"/>
  <c r="BH252" i="49"/>
  <c r="BI252" i="49" s="1"/>
  <c r="BD252" i="49"/>
  <c r="BE252" i="49" s="1"/>
  <c r="AZ252" i="49"/>
  <c r="BA252" i="49" s="1"/>
  <c r="AV252" i="49"/>
  <c r="AW252" i="49" s="1"/>
  <c r="AR252" i="49"/>
  <c r="AS252" i="49" s="1"/>
  <c r="AN252" i="49"/>
  <c r="AO252" i="49" s="1"/>
  <c r="AJ252" i="49"/>
  <c r="AK252" i="49" s="1"/>
  <c r="AF252" i="49"/>
  <c r="AG252" i="49" s="1"/>
  <c r="AB252" i="49"/>
  <c r="AC252" i="49" s="1"/>
  <c r="X252" i="49"/>
  <c r="Y252" i="49" s="1"/>
  <c r="S252" i="49"/>
  <c r="BR251" i="49"/>
  <c r="BO251" i="49"/>
  <c r="BL251" i="49"/>
  <c r="BH251" i="49"/>
  <c r="BI251" i="49" s="1"/>
  <c r="BD251" i="49"/>
  <c r="BE251" i="49" s="1"/>
  <c r="AZ251" i="49"/>
  <c r="BA251" i="49" s="1"/>
  <c r="AV251" i="49"/>
  <c r="AW251" i="49" s="1"/>
  <c r="AR251" i="49"/>
  <c r="AS251" i="49" s="1"/>
  <c r="AN251" i="49"/>
  <c r="AO251" i="49" s="1"/>
  <c r="AJ251" i="49"/>
  <c r="AK251" i="49" s="1"/>
  <c r="AF251" i="49"/>
  <c r="AG251" i="49" s="1"/>
  <c r="AB251" i="49"/>
  <c r="AC251" i="49" s="1"/>
  <c r="X251" i="49"/>
  <c r="Y251" i="49" s="1"/>
  <c r="S251" i="49"/>
  <c r="BR248" i="49"/>
  <c r="BO248" i="49"/>
  <c r="BL248" i="49"/>
  <c r="BH248" i="49"/>
  <c r="BI248" i="49" s="1"/>
  <c r="BD248" i="49"/>
  <c r="BE248" i="49" s="1"/>
  <c r="AZ248" i="49"/>
  <c r="BA248" i="49" s="1"/>
  <c r="AV248" i="49"/>
  <c r="AW248" i="49" s="1"/>
  <c r="AR248" i="49"/>
  <c r="AS248" i="49" s="1"/>
  <c r="AN248" i="49"/>
  <c r="AO248" i="49" s="1"/>
  <c r="AJ248" i="49"/>
  <c r="AK248" i="49" s="1"/>
  <c r="AF248" i="49"/>
  <c r="AG248" i="49" s="1"/>
  <c r="AB248" i="49"/>
  <c r="AC248" i="49" s="1"/>
  <c r="X248" i="49"/>
  <c r="Y248" i="49" s="1"/>
  <c r="S248" i="49"/>
  <c r="BR247" i="49"/>
  <c r="BO247" i="49"/>
  <c r="BL247" i="49"/>
  <c r="BH247" i="49"/>
  <c r="BI247" i="49" s="1"/>
  <c r="BD247" i="49"/>
  <c r="BE247" i="49" s="1"/>
  <c r="AZ247" i="49"/>
  <c r="BA247" i="49" s="1"/>
  <c r="AV247" i="49"/>
  <c r="AW247" i="49" s="1"/>
  <c r="AR247" i="49"/>
  <c r="AS247" i="49" s="1"/>
  <c r="AN247" i="49"/>
  <c r="AO247" i="49" s="1"/>
  <c r="AJ247" i="49"/>
  <c r="AK247" i="49" s="1"/>
  <c r="AF247" i="49"/>
  <c r="AG247" i="49" s="1"/>
  <c r="AB247" i="49"/>
  <c r="AC247" i="49" s="1"/>
  <c r="X247" i="49"/>
  <c r="Y247" i="49" s="1"/>
  <c r="S247" i="49"/>
  <c r="U26" i="76" l="1"/>
  <c r="G12" i="76"/>
  <c r="K12" i="76"/>
  <c r="AD9" i="76" s="1"/>
  <c r="O25" i="76"/>
  <c r="T29" i="76" s="1"/>
  <c r="AF74" i="76" s="1"/>
  <c r="O25" i="74"/>
  <c r="AD8" i="76"/>
  <c r="W12" i="76"/>
  <c r="BD272" i="49"/>
  <c r="BE272" i="49" s="1"/>
  <c r="K25" i="76"/>
  <c r="G25" i="76"/>
  <c r="V11" i="76"/>
  <c r="BI270" i="49"/>
  <c r="A267" i="49"/>
  <c r="A268" i="49" s="1"/>
  <c r="A269" i="49" s="1"/>
  <c r="B11" i="76"/>
  <c r="K10" i="76"/>
  <c r="AD7" i="76" s="1"/>
  <c r="G10" i="76"/>
  <c r="D49" i="76"/>
  <c r="C49" i="76"/>
  <c r="E49" i="76"/>
  <c r="A39" i="76"/>
  <c r="J38" i="76"/>
  <c r="AT58" i="76" s="1"/>
  <c r="F38" i="76"/>
  <c r="H38" i="76"/>
  <c r="C38" i="76"/>
  <c r="E38" i="76"/>
  <c r="I38" i="76"/>
  <c r="AS58" i="76" s="1"/>
  <c r="D38" i="76"/>
  <c r="X276" i="49"/>
  <c r="Y276" i="49" s="1"/>
  <c r="BA274" i="49"/>
  <c r="AJ276" i="49"/>
  <c r="AK276" i="49" s="1"/>
  <c r="AF276" i="49"/>
  <c r="AG276" i="49" s="1"/>
  <c r="AZ272" i="49"/>
  <c r="BA272" i="49" s="1"/>
  <c r="AB272" i="49"/>
  <c r="AC272" i="49" s="1"/>
  <c r="X272" i="49"/>
  <c r="Y272" i="49" s="1"/>
  <c r="AV276" i="49"/>
  <c r="AW276" i="49" s="1"/>
  <c r="AS274" i="49"/>
  <c r="AN276" i="49"/>
  <c r="AO276" i="49" s="1"/>
  <c r="AC274" i="49"/>
  <c r="AR272" i="49"/>
  <c r="AS272" i="49" s="1"/>
  <c r="AJ272" i="49"/>
  <c r="AK272" i="49" s="1"/>
  <c r="BR258" i="49"/>
  <c r="BO258" i="49"/>
  <c r="BL258" i="49"/>
  <c r="BH258" i="49"/>
  <c r="BI258" i="49" s="1"/>
  <c r="AZ258" i="49"/>
  <c r="BA258" i="49" s="1"/>
  <c r="AV258" i="49"/>
  <c r="AJ258" i="49"/>
  <c r="AK258" i="49" s="1"/>
  <c r="AB258" i="49"/>
  <c r="AC258" i="49" s="1"/>
  <c r="BR254" i="49"/>
  <c r="BO254" i="49"/>
  <c r="BL254" i="49"/>
  <c r="BH259" i="49"/>
  <c r="BH261" i="49" s="1"/>
  <c r="BI261" i="49" s="1"/>
  <c r="BD259" i="49"/>
  <c r="BE259" i="49" s="1"/>
  <c r="AZ259" i="49"/>
  <c r="BA259" i="49" s="1"/>
  <c r="AS260" i="49"/>
  <c r="AJ259" i="49"/>
  <c r="AK259" i="49" s="1"/>
  <c r="AF259" i="49"/>
  <c r="AG259" i="49" s="1"/>
  <c r="AC260" i="49"/>
  <c r="X259" i="49"/>
  <c r="Y259" i="49" s="1"/>
  <c r="BD261" i="49"/>
  <c r="BE261" i="49" s="1"/>
  <c r="AR261" i="49"/>
  <c r="AS261" i="49" s="1"/>
  <c r="AN261" i="49"/>
  <c r="AO261" i="49" s="1"/>
  <c r="AC259" i="49"/>
  <c r="AC261" i="49"/>
  <c r="BI256" i="49"/>
  <c r="BD258" i="49"/>
  <c r="BE258" i="49" s="1"/>
  <c r="BA256" i="49"/>
  <c r="AW256" i="49"/>
  <c r="AR258" i="49"/>
  <c r="AS258" i="49" s="1"/>
  <c r="AN258" i="49"/>
  <c r="AO258" i="49" s="1"/>
  <c r="AK256" i="49"/>
  <c r="AF258" i="49"/>
  <c r="AG258" i="49" s="1"/>
  <c r="AC256" i="49"/>
  <c r="X258" i="49"/>
  <c r="Y258" i="49" s="1"/>
  <c r="AW258" i="49"/>
  <c r="BH254" i="49"/>
  <c r="BI254" i="49" s="1"/>
  <c r="BD254" i="49"/>
  <c r="BE254" i="49" s="1"/>
  <c r="AZ254" i="49"/>
  <c r="BA254" i="49" s="1"/>
  <c r="AV254" i="49"/>
  <c r="AW254" i="49" s="1"/>
  <c r="AR254" i="49"/>
  <c r="AS254" i="49" s="1"/>
  <c r="AN254" i="49"/>
  <c r="AO254" i="49" s="1"/>
  <c r="AJ254" i="49"/>
  <c r="AK254" i="49" s="1"/>
  <c r="AF254" i="49"/>
  <c r="AG254" i="49" s="1"/>
  <c r="AB254" i="49"/>
  <c r="AC254" i="49" s="1"/>
  <c r="X254" i="49"/>
  <c r="Y254" i="49" s="1"/>
  <c r="S255" i="49"/>
  <c r="AV259" i="49"/>
  <c r="AO260" i="49"/>
  <c r="F224" i="49"/>
  <c r="F225" i="49"/>
  <c r="F226" i="49"/>
  <c r="F227" i="49"/>
  <c r="F228" i="49"/>
  <c r="F229" i="49"/>
  <c r="F230" i="49"/>
  <c r="F231" i="49"/>
  <c r="F232" i="49"/>
  <c r="F233" i="49"/>
  <c r="F234" i="49"/>
  <c r="F235" i="49"/>
  <c r="F236" i="49"/>
  <c r="F237" i="49"/>
  <c r="F238" i="49"/>
  <c r="F239" i="49"/>
  <c r="F240" i="49"/>
  <c r="F241" i="49"/>
  <c r="F242" i="49"/>
  <c r="F243" i="49"/>
  <c r="F244" i="49"/>
  <c r="F245" i="49"/>
  <c r="F223" i="49"/>
  <c r="K13" i="76" l="1"/>
  <c r="G13" i="76"/>
  <c r="K24" i="76"/>
  <c r="AF7" i="76" s="1"/>
  <c r="G24" i="76"/>
  <c r="AU58" i="76"/>
  <c r="W11" i="76"/>
  <c r="AF8" i="76"/>
  <c r="W27" i="76"/>
  <c r="A270" i="49"/>
  <c r="A271" i="49" s="1"/>
  <c r="A272" i="49" s="1"/>
  <c r="B12" i="76"/>
  <c r="K26" i="76"/>
  <c r="AF9" i="76" s="1"/>
  <c r="G26" i="76"/>
  <c r="X12" i="76"/>
  <c r="AD38" i="76" s="1"/>
  <c r="Y12" i="76"/>
  <c r="AD14" i="76" s="1"/>
  <c r="V26" i="76"/>
  <c r="E39" i="76"/>
  <c r="D39" i="76"/>
  <c r="C39" i="76"/>
  <c r="BC58" i="76"/>
  <c r="BD58" i="76"/>
  <c r="AJ261" i="49"/>
  <c r="AK261" i="49" s="1"/>
  <c r="BI259" i="49"/>
  <c r="AZ261" i="49"/>
  <c r="BA261" i="49" s="1"/>
  <c r="AF261" i="49"/>
  <c r="AG261" i="49" s="1"/>
  <c r="X261" i="49"/>
  <c r="Y261" i="49" s="1"/>
  <c r="AW259" i="49"/>
  <c r="AV261" i="49"/>
  <c r="AW261" i="49" s="1"/>
  <c r="W26" i="76" l="1"/>
  <c r="K27" i="76"/>
  <c r="G27" i="76"/>
  <c r="A273" i="49"/>
  <c r="A274" i="49" s="1"/>
  <c r="A275" i="49" s="1"/>
  <c r="A276" i="49" s="1"/>
  <c r="A277" i="49" s="1"/>
  <c r="A278" i="49" s="1"/>
  <c r="A279" i="49" s="1"/>
  <c r="A280" i="49" s="1"/>
  <c r="A281" i="49" s="1"/>
  <c r="A282" i="49" s="1"/>
  <c r="A283" i="49" s="1"/>
  <c r="A284" i="49" s="1"/>
  <c r="A285" i="49" s="1"/>
  <c r="B13" i="76"/>
  <c r="Y27" i="76"/>
  <c r="AF14" i="76" s="1"/>
  <c r="X27" i="76"/>
  <c r="AF38" i="76" s="1"/>
  <c r="Y11" i="76"/>
  <c r="AD13" i="76" s="1"/>
  <c r="X11" i="76"/>
  <c r="AD37" i="76" s="1"/>
  <c r="AD10" i="76"/>
  <c r="W13" i="76"/>
  <c r="A62" i="74"/>
  <c r="A63" i="74" s="1"/>
  <c r="A64" i="74" s="1"/>
  <c r="A54" i="74"/>
  <c r="A55" i="74" s="1"/>
  <c r="A56" i="74" s="1"/>
  <c r="BR245" i="49"/>
  <c r="BO245" i="49"/>
  <c r="BL245" i="49"/>
  <c r="BH245" i="49"/>
  <c r="BI245" i="49" s="1"/>
  <c r="BD245" i="49"/>
  <c r="BE245" i="49" s="1"/>
  <c r="AZ245" i="49"/>
  <c r="BA245" i="49" s="1"/>
  <c r="AV245" i="49"/>
  <c r="AW245" i="49" s="1"/>
  <c r="AR245" i="49"/>
  <c r="AS245" i="49" s="1"/>
  <c r="AN245" i="49"/>
  <c r="AO245" i="49" s="1"/>
  <c r="AJ245" i="49"/>
  <c r="AK245" i="49" s="1"/>
  <c r="AF245" i="49"/>
  <c r="AG245" i="49" s="1"/>
  <c r="AB245" i="49"/>
  <c r="AC245" i="49" s="1"/>
  <c r="X245" i="49"/>
  <c r="Y245" i="49" s="1"/>
  <c r="S245" i="49"/>
  <c r="Y26" i="76" l="1"/>
  <c r="AF13" i="76" s="1"/>
  <c r="X26" i="76"/>
  <c r="AF37" i="76" s="1"/>
  <c r="O17" i="76"/>
  <c r="T21" i="76" s="1"/>
  <c r="AE74" i="76" s="1"/>
  <c r="O17" i="74"/>
  <c r="Y13" i="76"/>
  <c r="AD15" i="76" s="1"/>
  <c r="X13" i="76"/>
  <c r="AD39" i="76" s="1"/>
  <c r="AF10" i="76"/>
  <c r="W28" i="76"/>
  <c r="BR244" i="49"/>
  <c r="BO244" i="49"/>
  <c r="BL244" i="49"/>
  <c r="BH244" i="49"/>
  <c r="BI244" i="49" s="1"/>
  <c r="BD244" i="49"/>
  <c r="BE244" i="49" s="1"/>
  <c r="AZ244" i="49"/>
  <c r="BA244" i="49" s="1"/>
  <c r="AV244" i="49"/>
  <c r="AW244" i="49" s="1"/>
  <c r="AR244" i="49"/>
  <c r="AS244" i="49" s="1"/>
  <c r="AN244" i="49"/>
  <c r="AO244" i="49" s="1"/>
  <c r="AJ244" i="49"/>
  <c r="AK244" i="49" s="1"/>
  <c r="AF244" i="49"/>
  <c r="AG244" i="49" s="1"/>
  <c r="AB244" i="49"/>
  <c r="AC244" i="49" s="1"/>
  <c r="X244" i="49"/>
  <c r="Y244" i="49" s="1"/>
  <c r="BQ243" i="49"/>
  <c r="BP243" i="49"/>
  <c r="BN243" i="49"/>
  <c r="BM243" i="49"/>
  <c r="BG243" i="49"/>
  <c r="BF243" i="49"/>
  <c r="BC243" i="49"/>
  <c r="BB243" i="49"/>
  <c r="AY243" i="49"/>
  <c r="AX243" i="49"/>
  <c r="AU243" i="49"/>
  <c r="AT243" i="49"/>
  <c r="AQ243" i="49"/>
  <c r="AP243" i="49"/>
  <c r="AM243" i="49"/>
  <c r="AL243" i="49"/>
  <c r="AI243" i="49"/>
  <c r="AH243" i="49"/>
  <c r="AE243" i="49"/>
  <c r="AD243" i="49"/>
  <c r="AA243" i="49"/>
  <c r="Z243" i="49"/>
  <c r="W243" i="49"/>
  <c r="V243" i="49"/>
  <c r="U243" i="49"/>
  <c r="T243" i="49"/>
  <c r="R243" i="49"/>
  <c r="S244" i="49" s="1"/>
  <c r="M243" i="49"/>
  <c r="L243" i="49"/>
  <c r="K243" i="49"/>
  <c r="J243" i="49"/>
  <c r="BR242" i="49"/>
  <c r="BO242" i="49"/>
  <c r="BL242" i="49"/>
  <c r="BH242" i="49"/>
  <c r="BI242" i="49" s="1"/>
  <c r="BD242" i="49"/>
  <c r="BE242" i="49" s="1"/>
  <c r="AZ242" i="49"/>
  <c r="BA242" i="49" s="1"/>
  <c r="AV242" i="49"/>
  <c r="AW242" i="49" s="1"/>
  <c r="AR242" i="49"/>
  <c r="AN242" i="49"/>
  <c r="AO242" i="49" s="1"/>
  <c r="AJ242" i="49"/>
  <c r="AK242" i="49" s="1"/>
  <c r="AF242" i="49"/>
  <c r="AG242" i="49" s="1"/>
  <c r="AB242" i="49"/>
  <c r="AC242" i="49" s="1"/>
  <c r="X242" i="49"/>
  <c r="Y242" i="49" s="1"/>
  <c r="S242" i="49"/>
  <c r="S243" i="49" s="1"/>
  <c r="BR241" i="49"/>
  <c r="BO241" i="49"/>
  <c r="BL241" i="49"/>
  <c r="BH241" i="49"/>
  <c r="BD241" i="49"/>
  <c r="BE241" i="49" s="1"/>
  <c r="AZ241" i="49"/>
  <c r="AV241" i="49"/>
  <c r="AW241" i="49" s="1"/>
  <c r="AR241" i="49"/>
  <c r="AS241" i="49" s="1"/>
  <c r="AN241" i="49"/>
  <c r="AO241" i="49" s="1"/>
  <c r="AJ241" i="49"/>
  <c r="AK241" i="49" s="1"/>
  <c r="AF241" i="49"/>
  <c r="AG241" i="49" s="1"/>
  <c r="AB241" i="49"/>
  <c r="AC241" i="49" s="1"/>
  <c r="X241" i="49"/>
  <c r="Y241" i="49" s="1"/>
  <c r="S241" i="49"/>
  <c r="BR240" i="49"/>
  <c r="BO240" i="49"/>
  <c r="BL240" i="49"/>
  <c r="BH240" i="49"/>
  <c r="BI240" i="49" s="1"/>
  <c r="BD240" i="49"/>
  <c r="BE240" i="49" s="1"/>
  <c r="AZ240" i="49"/>
  <c r="BA240" i="49" s="1"/>
  <c r="AV240" i="49"/>
  <c r="AW240" i="49" s="1"/>
  <c r="AR240" i="49"/>
  <c r="AS240" i="49" s="1"/>
  <c r="AN240" i="49"/>
  <c r="AO240" i="49" s="1"/>
  <c r="AJ240" i="49"/>
  <c r="AK240" i="49" s="1"/>
  <c r="AF240" i="49"/>
  <c r="AG240" i="49" s="1"/>
  <c r="AB240" i="49"/>
  <c r="AC240" i="49" s="1"/>
  <c r="X240" i="49"/>
  <c r="Y240" i="49" s="1"/>
  <c r="BQ239" i="49"/>
  <c r="BP239" i="49"/>
  <c r="BN239" i="49"/>
  <c r="BM239" i="49"/>
  <c r="BG239" i="49"/>
  <c r="BF239" i="49"/>
  <c r="BC239" i="49"/>
  <c r="BB239" i="49"/>
  <c r="AY239" i="49"/>
  <c r="AX239" i="49"/>
  <c r="AU239" i="49"/>
  <c r="AT239" i="49"/>
  <c r="AQ239" i="49"/>
  <c r="AP239" i="49"/>
  <c r="AM239" i="49"/>
  <c r="AL239" i="49"/>
  <c r="AI239" i="49"/>
  <c r="AH239" i="49"/>
  <c r="AE239" i="49"/>
  <c r="AD239" i="49"/>
  <c r="AA239" i="49"/>
  <c r="Z239" i="49"/>
  <c r="W239" i="49"/>
  <c r="V239" i="49"/>
  <c r="U239" i="49"/>
  <c r="T239" i="49"/>
  <c r="R239" i="49"/>
  <c r="S240" i="49" s="1"/>
  <c r="M239" i="49"/>
  <c r="L239" i="49"/>
  <c r="K239" i="49"/>
  <c r="J239" i="49"/>
  <c r="BR238" i="49"/>
  <c r="BO238" i="49"/>
  <c r="BL238" i="49"/>
  <c r="BH238" i="49"/>
  <c r="BI238" i="49" s="1"/>
  <c r="BD238" i="49"/>
  <c r="BE238" i="49" s="1"/>
  <c r="AZ238" i="49"/>
  <c r="BA238" i="49" s="1"/>
  <c r="AV238" i="49"/>
  <c r="AW238" i="49" s="1"/>
  <c r="AR238" i="49"/>
  <c r="AS238" i="49" s="1"/>
  <c r="AN238" i="49"/>
  <c r="AO238" i="49" s="1"/>
  <c r="AJ238" i="49"/>
  <c r="AK238" i="49" s="1"/>
  <c r="AF238" i="49"/>
  <c r="AG238" i="49" s="1"/>
  <c r="AB238" i="49"/>
  <c r="AC238" i="49" s="1"/>
  <c r="X238" i="49"/>
  <c r="Y238" i="49" s="1"/>
  <c r="S238" i="49"/>
  <c r="S239" i="49" s="1"/>
  <c r="BR237" i="49"/>
  <c r="BO237" i="49"/>
  <c r="BL237" i="49"/>
  <c r="BH237" i="49"/>
  <c r="BD237" i="49"/>
  <c r="BE237" i="49" s="1"/>
  <c r="AZ237" i="49"/>
  <c r="BA237" i="49" s="1"/>
  <c r="AV237" i="49"/>
  <c r="AW237" i="49" s="1"/>
  <c r="AR237" i="49"/>
  <c r="AN237" i="49"/>
  <c r="AO237" i="49" s="1"/>
  <c r="AJ237" i="49"/>
  <c r="AF237" i="49"/>
  <c r="AG237" i="49" s="1"/>
  <c r="AB237" i="49"/>
  <c r="X237" i="49"/>
  <c r="Y237" i="49" s="1"/>
  <c r="BQ236" i="49"/>
  <c r="BP236" i="49"/>
  <c r="BN236" i="49"/>
  <c r="BM236" i="49"/>
  <c r="BG236" i="49"/>
  <c r="BF236" i="49"/>
  <c r="BC236" i="49"/>
  <c r="BB236" i="49"/>
  <c r="AY236" i="49"/>
  <c r="AX236" i="49"/>
  <c r="AU236" i="49"/>
  <c r="AT236" i="49"/>
  <c r="AQ236" i="49"/>
  <c r="AP236" i="49"/>
  <c r="AM236" i="49"/>
  <c r="AL236" i="49"/>
  <c r="AI236" i="49"/>
  <c r="AH236" i="49"/>
  <c r="AE236" i="49"/>
  <c r="AD236" i="49"/>
  <c r="AA236" i="49"/>
  <c r="Z236" i="49"/>
  <c r="W236" i="49"/>
  <c r="V236" i="49"/>
  <c r="U236" i="49"/>
  <c r="T236" i="49"/>
  <c r="S236" i="49"/>
  <c r="R236" i="49"/>
  <c r="S237" i="49" s="1"/>
  <c r="M236" i="49"/>
  <c r="L236" i="49"/>
  <c r="K236" i="49"/>
  <c r="J236" i="49"/>
  <c r="BR235" i="49"/>
  <c r="BR234" i="49" s="1"/>
  <c r="BR236" i="49" s="1"/>
  <c r="BO235" i="49"/>
  <c r="BO234" i="49" s="1"/>
  <c r="BO236" i="49" s="1"/>
  <c r="BL235" i="49"/>
  <c r="BL234" i="49" s="1"/>
  <c r="BL236" i="49" s="1"/>
  <c r="BH235" i="49"/>
  <c r="BH234" i="49" s="1"/>
  <c r="BI234" i="49" s="1"/>
  <c r="BD235" i="49"/>
  <c r="BE235" i="49" s="1"/>
  <c r="AZ235" i="49"/>
  <c r="BA235" i="49" s="1"/>
  <c r="AV235" i="49"/>
  <c r="AW235" i="49" s="1"/>
  <c r="AR235" i="49"/>
  <c r="AR234" i="49" s="1"/>
  <c r="AS234" i="49" s="1"/>
  <c r="AN235" i="49"/>
  <c r="AN234" i="49" s="1"/>
  <c r="AO234" i="49" s="1"/>
  <c r="AJ235" i="49"/>
  <c r="AJ234" i="49" s="1"/>
  <c r="AK234" i="49" s="1"/>
  <c r="AF235" i="49"/>
  <c r="AG235" i="49" s="1"/>
  <c r="AB235" i="49"/>
  <c r="AC235" i="49" s="1"/>
  <c r="X235" i="49"/>
  <c r="Y235" i="49" s="1"/>
  <c r="S235" i="49"/>
  <c r="S234" i="49"/>
  <c r="BR233" i="49"/>
  <c r="BO233" i="49"/>
  <c r="BL233" i="49"/>
  <c r="BH233" i="49"/>
  <c r="BI233" i="49" s="1"/>
  <c r="BD233" i="49"/>
  <c r="BE233" i="49" s="1"/>
  <c r="AZ233" i="49"/>
  <c r="BA233" i="49" s="1"/>
  <c r="AV233" i="49"/>
  <c r="AW233" i="49" s="1"/>
  <c r="AR233" i="49"/>
  <c r="AS233" i="49" s="1"/>
  <c r="AN233" i="49"/>
  <c r="AO233" i="49" s="1"/>
  <c r="AJ233" i="49"/>
  <c r="AK233" i="49" s="1"/>
  <c r="AF233" i="49"/>
  <c r="AG233" i="49" s="1"/>
  <c r="AB233" i="49"/>
  <c r="AC233" i="49" s="1"/>
  <c r="X233" i="49"/>
  <c r="Y233" i="49" s="1"/>
  <c r="BQ232" i="49"/>
  <c r="BP232" i="49"/>
  <c r="BN232" i="49"/>
  <c r="BM232" i="49"/>
  <c r="BG232" i="49"/>
  <c r="BF232" i="49"/>
  <c r="BC232" i="49"/>
  <c r="BB232" i="49"/>
  <c r="AY232" i="49"/>
  <c r="AX232" i="49"/>
  <c r="AU232" i="49"/>
  <c r="AT232" i="49"/>
  <c r="AQ232" i="49"/>
  <c r="AP232" i="49"/>
  <c r="AM232" i="49"/>
  <c r="AL232" i="49"/>
  <c r="AI232" i="49"/>
  <c r="AH232" i="49"/>
  <c r="AE232" i="49"/>
  <c r="AD232" i="49"/>
  <c r="AA232" i="49"/>
  <c r="Z232" i="49"/>
  <c r="W232" i="49"/>
  <c r="I20" i="76" s="1"/>
  <c r="V232" i="49"/>
  <c r="H20" i="76" s="1"/>
  <c r="U232" i="49"/>
  <c r="J20" i="76" s="1"/>
  <c r="T232" i="49"/>
  <c r="R232" i="49"/>
  <c r="M232" i="49"/>
  <c r="L232" i="49"/>
  <c r="K232" i="49"/>
  <c r="J232" i="49"/>
  <c r="F20" i="76" s="1"/>
  <c r="BR231" i="49"/>
  <c r="BR230" i="49" s="1"/>
  <c r="BR232" i="49" s="1"/>
  <c r="BO231" i="49"/>
  <c r="BO230" i="49" s="1"/>
  <c r="BO232" i="49" s="1"/>
  <c r="BL231" i="49"/>
  <c r="BL230" i="49" s="1"/>
  <c r="BL232" i="49" s="1"/>
  <c r="BH231" i="49"/>
  <c r="BI231" i="49" s="1"/>
  <c r="BD231" i="49"/>
  <c r="BE231" i="49" s="1"/>
  <c r="AZ231" i="49"/>
  <c r="AZ230" i="49" s="1"/>
  <c r="AZ232" i="49" s="1"/>
  <c r="AV231" i="49"/>
  <c r="AV230" i="49" s="1"/>
  <c r="AW230" i="49" s="1"/>
  <c r="AR231" i="49"/>
  <c r="AR230" i="49" s="1"/>
  <c r="AS230" i="49" s="1"/>
  <c r="AN231" i="49"/>
  <c r="AN230" i="49" s="1"/>
  <c r="AO230" i="49" s="1"/>
  <c r="AJ231" i="49"/>
  <c r="AK231" i="49" s="1"/>
  <c r="AF231" i="49"/>
  <c r="AF230" i="49" s="1"/>
  <c r="AG230" i="49" s="1"/>
  <c r="AB231" i="49"/>
  <c r="AB230" i="49" s="1"/>
  <c r="AC230" i="49" s="1"/>
  <c r="X231" i="49"/>
  <c r="X230" i="49" s="1"/>
  <c r="Y230" i="49" s="1"/>
  <c r="S231" i="49"/>
  <c r="S232" i="49" s="1"/>
  <c r="BQ229" i="49"/>
  <c r="BP229" i="49"/>
  <c r="BN229" i="49"/>
  <c r="BM229" i="49"/>
  <c r="BG229" i="49"/>
  <c r="BF229" i="49"/>
  <c r="BC229" i="49"/>
  <c r="BB229" i="49"/>
  <c r="AY229" i="49"/>
  <c r="AX229" i="49"/>
  <c r="AU229" i="49"/>
  <c r="AT229" i="49"/>
  <c r="AQ229" i="49"/>
  <c r="AP229" i="49"/>
  <c r="AM229" i="49"/>
  <c r="AL229" i="49"/>
  <c r="AI229" i="49"/>
  <c r="AH229" i="49"/>
  <c r="AE229" i="49"/>
  <c r="AD229" i="49"/>
  <c r="AA229" i="49"/>
  <c r="Z229" i="49"/>
  <c r="W229" i="49"/>
  <c r="I19" i="76" s="1"/>
  <c r="V229" i="49"/>
  <c r="H19" i="76" s="1"/>
  <c r="U229" i="49"/>
  <c r="J19" i="76" s="1"/>
  <c r="T229" i="49"/>
  <c r="R229" i="49"/>
  <c r="S230" i="49" s="1"/>
  <c r="M229" i="49"/>
  <c r="L229" i="49"/>
  <c r="K229" i="49"/>
  <c r="J229" i="49"/>
  <c r="F19" i="76" s="1"/>
  <c r="BR228" i="49"/>
  <c r="BO228" i="49"/>
  <c r="BL228" i="49"/>
  <c r="BH228" i="49"/>
  <c r="BI228" i="49" s="1"/>
  <c r="BD228" i="49"/>
  <c r="BE228" i="49" s="1"/>
  <c r="AZ228" i="49"/>
  <c r="BA228" i="49" s="1"/>
  <c r="AV228" i="49"/>
  <c r="AW228" i="49" s="1"/>
  <c r="AR228" i="49"/>
  <c r="AS228" i="49" s="1"/>
  <c r="AN228" i="49"/>
  <c r="AO228" i="49" s="1"/>
  <c r="AJ228" i="49"/>
  <c r="AK228" i="49" s="1"/>
  <c r="AF228" i="49"/>
  <c r="AG228" i="49" s="1"/>
  <c r="AB228" i="49"/>
  <c r="AC228" i="49" s="1"/>
  <c r="X228" i="49"/>
  <c r="Y228" i="49" s="1"/>
  <c r="S228" i="49"/>
  <c r="S229" i="49" s="1"/>
  <c r="BR227" i="49"/>
  <c r="BO227" i="49"/>
  <c r="BL227" i="49"/>
  <c r="BL229" i="49" s="1"/>
  <c r="BH227" i="49"/>
  <c r="BI227" i="49" s="1"/>
  <c r="BD227" i="49"/>
  <c r="BE227" i="49" s="1"/>
  <c r="AZ227" i="49"/>
  <c r="AV227" i="49"/>
  <c r="AW227" i="49" s="1"/>
  <c r="AR227" i="49"/>
  <c r="AS227" i="49" s="1"/>
  <c r="AN227" i="49"/>
  <c r="AO227" i="49" s="1"/>
  <c r="AJ227" i="49"/>
  <c r="AK227" i="49" s="1"/>
  <c r="AF227" i="49"/>
  <c r="AG227" i="49" s="1"/>
  <c r="AB227" i="49"/>
  <c r="AC227" i="49" s="1"/>
  <c r="X227" i="49"/>
  <c r="Y227" i="49" s="1"/>
  <c r="S227" i="49"/>
  <c r="BR226" i="49"/>
  <c r="BO226" i="49"/>
  <c r="BL226" i="49"/>
  <c r="BH226" i="49"/>
  <c r="BI226" i="49" s="1"/>
  <c r="BD226" i="49"/>
  <c r="BE226" i="49" s="1"/>
  <c r="AZ226" i="49"/>
  <c r="BA226" i="49" s="1"/>
  <c r="AV226" i="49"/>
  <c r="AW226" i="49" s="1"/>
  <c r="AR226" i="49"/>
  <c r="AS226" i="49" s="1"/>
  <c r="AN226" i="49"/>
  <c r="AO226" i="49" s="1"/>
  <c r="AJ226" i="49"/>
  <c r="AK226" i="49" s="1"/>
  <c r="AF226" i="49"/>
  <c r="AG226" i="49" s="1"/>
  <c r="AB226" i="49"/>
  <c r="AC226" i="49" s="1"/>
  <c r="X226" i="49"/>
  <c r="Y226" i="49" s="1"/>
  <c r="BQ225" i="49"/>
  <c r="BP225" i="49"/>
  <c r="BN225" i="49"/>
  <c r="BM225" i="49"/>
  <c r="BG225" i="49"/>
  <c r="BF225" i="49"/>
  <c r="BC225" i="49"/>
  <c r="BB225" i="49"/>
  <c r="AY225" i="49"/>
  <c r="AX225" i="49"/>
  <c r="AU225" i="49"/>
  <c r="AT225" i="49"/>
  <c r="AQ225" i="49"/>
  <c r="AP225" i="49"/>
  <c r="AM225" i="49"/>
  <c r="AL225" i="49"/>
  <c r="AI225" i="49"/>
  <c r="AH225" i="49"/>
  <c r="AE225" i="49"/>
  <c r="AD225" i="49"/>
  <c r="AA225" i="49"/>
  <c r="Z225" i="49"/>
  <c r="W225" i="49"/>
  <c r="I17" i="76" s="1"/>
  <c r="V225" i="49"/>
  <c r="H17" i="76" s="1"/>
  <c r="U225" i="49"/>
  <c r="J17" i="76" s="1"/>
  <c r="T225" i="49"/>
  <c r="R225" i="49"/>
  <c r="M225" i="49"/>
  <c r="L225" i="49"/>
  <c r="K225" i="49"/>
  <c r="J225" i="49"/>
  <c r="F17" i="76" s="1"/>
  <c r="BR224" i="49"/>
  <c r="BO224" i="49"/>
  <c r="BL224" i="49"/>
  <c r="BH224" i="49"/>
  <c r="BI224" i="49" s="1"/>
  <c r="BD224" i="49"/>
  <c r="BE224" i="49" s="1"/>
  <c r="AZ224" i="49"/>
  <c r="BA224" i="49" s="1"/>
  <c r="AV224" i="49"/>
  <c r="AW224" i="49" s="1"/>
  <c r="AR224" i="49"/>
  <c r="AS224" i="49" s="1"/>
  <c r="AN224" i="49"/>
  <c r="AO224" i="49" s="1"/>
  <c r="AJ224" i="49"/>
  <c r="AK224" i="49" s="1"/>
  <c r="AF224" i="49"/>
  <c r="AG224" i="49" s="1"/>
  <c r="AB224" i="49"/>
  <c r="AC224" i="49" s="1"/>
  <c r="X224" i="49"/>
  <c r="Y224" i="49" s="1"/>
  <c r="S224" i="49"/>
  <c r="S225" i="49" s="1"/>
  <c r="BR223" i="49"/>
  <c r="BO223" i="49"/>
  <c r="BL223" i="49"/>
  <c r="BH223" i="49"/>
  <c r="BD223" i="49"/>
  <c r="BE223" i="49" s="1"/>
  <c r="AZ223" i="49"/>
  <c r="AV223" i="49"/>
  <c r="AW223" i="49" s="1"/>
  <c r="AR223" i="49"/>
  <c r="AS223" i="49" s="1"/>
  <c r="AN223" i="49"/>
  <c r="AO223" i="49" s="1"/>
  <c r="AJ223" i="49"/>
  <c r="AJ225" i="49" s="1"/>
  <c r="AF223" i="49"/>
  <c r="AG223" i="49" s="1"/>
  <c r="AB223" i="49"/>
  <c r="AC223" i="49" s="1"/>
  <c r="X223" i="49"/>
  <c r="Y223" i="49" s="1"/>
  <c r="S223" i="49"/>
  <c r="D7" i="32"/>
  <c r="U24" i="32"/>
  <c r="T24" i="32"/>
  <c r="BR243" i="49" l="1"/>
  <c r="BH230" i="49"/>
  <c r="BI230" i="49" s="1"/>
  <c r="AR243" i="49"/>
  <c r="BL239" i="49"/>
  <c r="G18" i="76"/>
  <c r="K18" i="76"/>
  <c r="U18" i="76"/>
  <c r="BO225" i="49"/>
  <c r="Y28" i="76"/>
  <c r="AF15" i="76" s="1"/>
  <c r="X28" i="76"/>
  <c r="AF39" i="76" s="1"/>
  <c r="BH243" i="49"/>
  <c r="BI243" i="49" s="1"/>
  <c r="AJ239" i="49"/>
  <c r="AK239" i="49" s="1"/>
  <c r="BO239" i="49"/>
  <c r="BI241" i="49"/>
  <c r="BO243" i="49"/>
  <c r="BL243" i="49"/>
  <c r="AZ243" i="49"/>
  <c r="AS242" i="49"/>
  <c r="BD243" i="49"/>
  <c r="BE243" i="49" s="1"/>
  <c r="AB243" i="49"/>
  <c r="AC243" i="49" s="1"/>
  <c r="BR239" i="49"/>
  <c r="BH239" i="49"/>
  <c r="AR239" i="49"/>
  <c r="AS239" i="49" s="1"/>
  <c r="AB239" i="49"/>
  <c r="AC239" i="49" s="1"/>
  <c r="BD234" i="49"/>
  <c r="BE234" i="49" s="1"/>
  <c r="AZ234" i="49"/>
  <c r="BA234" i="49" s="1"/>
  <c r="AS235" i="49"/>
  <c r="AB234" i="49"/>
  <c r="AC234" i="49" s="1"/>
  <c r="BA241" i="49"/>
  <c r="AV243" i="49"/>
  <c r="AW243" i="49" s="1"/>
  <c r="AN243" i="49"/>
  <c r="AO243" i="49" s="1"/>
  <c r="AJ243" i="49"/>
  <c r="AK243" i="49" s="1"/>
  <c r="AF243" i="49"/>
  <c r="AG243" i="49" s="1"/>
  <c r="X243" i="49"/>
  <c r="Y243" i="49" s="1"/>
  <c r="BI239" i="49"/>
  <c r="BI237" i="49"/>
  <c r="BD239" i="49"/>
  <c r="BE239" i="49" s="1"/>
  <c r="AZ239" i="49"/>
  <c r="BA239" i="49" s="1"/>
  <c r="AV239" i="49"/>
  <c r="AW239" i="49" s="1"/>
  <c r="AS237" i="49"/>
  <c r="AN239" i="49"/>
  <c r="AO239" i="49" s="1"/>
  <c r="AK237" i="49"/>
  <c r="AF239" i="49"/>
  <c r="AG239" i="49" s="1"/>
  <c r="AC237" i="49"/>
  <c r="X239" i="49"/>
  <c r="Y239" i="49" s="1"/>
  <c r="BI235" i="49"/>
  <c r="AK235" i="49"/>
  <c r="AF234" i="49"/>
  <c r="AG234" i="49" s="1"/>
  <c r="X234" i="49"/>
  <c r="Y234" i="49" s="1"/>
  <c r="BH236" i="49"/>
  <c r="BI236" i="49" s="1"/>
  <c r="AZ236" i="49"/>
  <c r="BA236" i="49" s="1"/>
  <c r="AR236" i="49"/>
  <c r="AS236" i="49" s="1"/>
  <c r="AN236" i="49"/>
  <c r="AO236" i="49" s="1"/>
  <c r="AJ236" i="49"/>
  <c r="AK236" i="49" s="1"/>
  <c r="AS243" i="49"/>
  <c r="BA243" i="49"/>
  <c r="AV234" i="49"/>
  <c r="AO235" i="49"/>
  <c r="BA231" i="49"/>
  <c r="BR229" i="49"/>
  <c r="BO229" i="49"/>
  <c r="AZ229" i="49"/>
  <c r="BA229" i="49" s="1"/>
  <c r="BR225" i="49"/>
  <c r="BL225" i="49"/>
  <c r="BH225" i="49"/>
  <c r="BI225" i="49" s="1"/>
  <c r="AZ225" i="49"/>
  <c r="AR225" i="49"/>
  <c r="BD230" i="49"/>
  <c r="BE230" i="49" s="1"/>
  <c r="AW231" i="49"/>
  <c r="AS231" i="49"/>
  <c r="AO231" i="49"/>
  <c r="AJ230" i="49"/>
  <c r="AK230" i="49" s="1"/>
  <c r="AG231" i="49"/>
  <c r="AC231" i="49"/>
  <c r="Y231" i="49"/>
  <c r="BH232" i="49"/>
  <c r="BI232" i="49" s="1"/>
  <c r="BA230" i="49"/>
  <c r="AV232" i="49"/>
  <c r="AW232" i="49" s="1"/>
  <c r="AR232" i="49"/>
  <c r="AS232" i="49" s="1"/>
  <c r="AN232" i="49"/>
  <c r="AO232" i="49" s="1"/>
  <c r="AF232" i="49"/>
  <c r="AG232" i="49" s="1"/>
  <c r="AB232" i="49"/>
  <c r="AC232" i="49" s="1"/>
  <c r="X232" i="49"/>
  <c r="Y232" i="49" s="1"/>
  <c r="S233" i="49"/>
  <c r="BH229" i="49"/>
  <c r="BI229" i="49" s="1"/>
  <c r="BD229" i="49"/>
  <c r="BE229" i="49" s="1"/>
  <c r="BA227" i="49"/>
  <c r="AV229" i="49"/>
  <c r="AW229" i="49" s="1"/>
  <c r="AR229" i="49"/>
  <c r="AS229" i="49" s="1"/>
  <c r="AN229" i="49"/>
  <c r="AO229" i="49" s="1"/>
  <c r="AJ229" i="49"/>
  <c r="AK229" i="49" s="1"/>
  <c r="AF229" i="49"/>
  <c r="AG229" i="49" s="1"/>
  <c r="AB229" i="49"/>
  <c r="AC229" i="49" s="1"/>
  <c r="X229" i="49"/>
  <c r="BI223" i="49"/>
  <c r="BD225" i="49"/>
  <c r="BE225" i="49" s="1"/>
  <c r="BA223" i="49"/>
  <c r="AV225" i="49"/>
  <c r="AW225" i="49" s="1"/>
  <c r="AN225" i="49"/>
  <c r="AO225" i="49" s="1"/>
  <c r="AK223" i="49"/>
  <c r="AF225" i="49"/>
  <c r="AG225" i="49" s="1"/>
  <c r="AB225" i="49"/>
  <c r="AC225" i="49" s="1"/>
  <c r="X225" i="49"/>
  <c r="Y225" i="49" s="1"/>
  <c r="S226" i="49"/>
  <c r="BA232" i="49"/>
  <c r="Y229" i="49"/>
  <c r="AK225" i="49"/>
  <c r="AS225" i="49"/>
  <c r="BA225" i="49"/>
  <c r="A224" i="49"/>
  <c r="A225" i="49" s="1"/>
  <c r="F220" i="49"/>
  <c r="F221" i="49"/>
  <c r="F213" i="49"/>
  <c r="F214" i="49"/>
  <c r="F215" i="49"/>
  <c r="F216" i="49"/>
  <c r="F217" i="49"/>
  <c r="F218" i="49"/>
  <c r="F219" i="49"/>
  <c r="F212" i="49"/>
  <c r="BQ221" i="49"/>
  <c r="BP221" i="49"/>
  <c r="BN221" i="49"/>
  <c r="BM221" i="49"/>
  <c r="BG221" i="49"/>
  <c r="BF221" i="49"/>
  <c r="BC221" i="49"/>
  <c r="BB221" i="49"/>
  <c r="AY221" i="49"/>
  <c r="AX221" i="49"/>
  <c r="AU221" i="49"/>
  <c r="AT221" i="49"/>
  <c r="AQ221" i="49"/>
  <c r="AP221" i="49"/>
  <c r="AM221" i="49"/>
  <c r="AL221" i="49"/>
  <c r="AI221" i="49"/>
  <c r="AH221" i="49"/>
  <c r="AE221" i="49"/>
  <c r="AD221" i="49"/>
  <c r="AA221" i="49"/>
  <c r="Z221" i="49"/>
  <c r="W221" i="49"/>
  <c r="I64" i="76" s="1"/>
  <c r="V221" i="49"/>
  <c r="H64" i="76" s="1"/>
  <c r="U221" i="49"/>
  <c r="J64" i="76" s="1"/>
  <c r="T221" i="49"/>
  <c r="R221" i="49"/>
  <c r="M221" i="49"/>
  <c r="L221" i="49"/>
  <c r="K221" i="49"/>
  <c r="J221" i="49"/>
  <c r="F64" i="76" s="1"/>
  <c r="BR220" i="49"/>
  <c r="BR219" i="49" s="1"/>
  <c r="BR221" i="49" s="1"/>
  <c r="BO220" i="49"/>
  <c r="BO219" i="49" s="1"/>
  <c r="BO221" i="49" s="1"/>
  <c r="BL220" i="49"/>
  <c r="BL219" i="49" s="1"/>
  <c r="BL221" i="49" s="1"/>
  <c r="BH220" i="49"/>
  <c r="BI220" i="49" s="1"/>
  <c r="BD220" i="49"/>
  <c r="BE220" i="49" s="1"/>
  <c r="AZ220" i="49"/>
  <c r="BA220" i="49" s="1"/>
  <c r="AV220" i="49"/>
  <c r="AW220" i="49" s="1"/>
  <c r="AR220" i="49"/>
  <c r="AR219" i="49" s="1"/>
  <c r="AS219" i="49" s="1"/>
  <c r="AN220" i="49"/>
  <c r="AO220" i="49" s="1"/>
  <c r="AJ220" i="49"/>
  <c r="AK220" i="49" s="1"/>
  <c r="AF220" i="49"/>
  <c r="AG220" i="49" s="1"/>
  <c r="AB220" i="49"/>
  <c r="AC220" i="49" s="1"/>
  <c r="X220" i="49"/>
  <c r="Y220" i="49" s="1"/>
  <c r="S220" i="49"/>
  <c r="S221" i="49" s="1"/>
  <c r="BQ218" i="49"/>
  <c r="BP218" i="49"/>
  <c r="BN218" i="49"/>
  <c r="BM218" i="49"/>
  <c r="BG218" i="49"/>
  <c r="BF218" i="49"/>
  <c r="BC218" i="49"/>
  <c r="BB218" i="49"/>
  <c r="AY218" i="49"/>
  <c r="AX218" i="49"/>
  <c r="AU218" i="49"/>
  <c r="AT218" i="49"/>
  <c r="AQ218" i="49"/>
  <c r="AP218" i="49"/>
  <c r="AM218" i="49"/>
  <c r="AL218" i="49"/>
  <c r="AI218" i="49"/>
  <c r="AH218" i="49"/>
  <c r="AE218" i="49"/>
  <c r="AD218" i="49"/>
  <c r="AA218" i="49"/>
  <c r="Z218" i="49"/>
  <c r="W218" i="49"/>
  <c r="I63" i="76" s="1"/>
  <c r="V218" i="49"/>
  <c r="H63" i="76" s="1"/>
  <c r="U218" i="49"/>
  <c r="J63" i="76" s="1"/>
  <c r="T218" i="49"/>
  <c r="R218" i="49"/>
  <c r="M218" i="49"/>
  <c r="L218" i="49"/>
  <c r="K218" i="49"/>
  <c r="J218" i="49"/>
  <c r="F63" i="76" s="1"/>
  <c r="BR217" i="49"/>
  <c r="BO217" i="49"/>
  <c r="BL217" i="49"/>
  <c r="BH217" i="49"/>
  <c r="BI217" i="49" s="1"/>
  <c r="BD217" i="49"/>
  <c r="BE217" i="49" s="1"/>
  <c r="AZ217" i="49"/>
  <c r="BA217" i="49" s="1"/>
  <c r="AV217" i="49"/>
  <c r="AW217" i="49" s="1"/>
  <c r="AR217" i="49"/>
  <c r="AS217" i="49" s="1"/>
  <c r="AN217" i="49"/>
  <c r="AO217" i="49" s="1"/>
  <c r="AJ217" i="49"/>
  <c r="AK217" i="49" s="1"/>
  <c r="AF217" i="49"/>
  <c r="AG217" i="49" s="1"/>
  <c r="AB217" i="49"/>
  <c r="AC217" i="49" s="1"/>
  <c r="X217" i="49"/>
  <c r="Y217" i="49" s="1"/>
  <c r="S217" i="49"/>
  <c r="S218" i="49" s="1"/>
  <c r="BR216" i="49"/>
  <c r="BO216" i="49"/>
  <c r="BL216" i="49"/>
  <c r="BH216" i="49"/>
  <c r="BD216" i="49"/>
  <c r="BE216" i="49" s="1"/>
  <c r="AZ216" i="49"/>
  <c r="BA216" i="49" s="1"/>
  <c r="AV216" i="49"/>
  <c r="AW216" i="49" s="1"/>
  <c r="AR216" i="49"/>
  <c r="AS216" i="49" s="1"/>
  <c r="AN216" i="49"/>
  <c r="AO216" i="49" s="1"/>
  <c r="AJ216" i="49"/>
  <c r="AF216" i="49"/>
  <c r="AG216" i="49" s="1"/>
  <c r="AB216" i="49"/>
  <c r="X216" i="49"/>
  <c r="Y216" i="49" s="1"/>
  <c r="S216" i="49"/>
  <c r="BR215" i="49"/>
  <c r="BO215" i="49"/>
  <c r="BL215" i="49"/>
  <c r="BH215" i="49"/>
  <c r="BI215" i="49" s="1"/>
  <c r="BD215" i="49"/>
  <c r="BE215" i="49" s="1"/>
  <c r="AZ215" i="49"/>
  <c r="BA215" i="49" s="1"/>
  <c r="AV215" i="49"/>
  <c r="AW215" i="49" s="1"/>
  <c r="AR215" i="49"/>
  <c r="AS215" i="49" s="1"/>
  <c r="AN215" i="49"/>
  <c r="AO215" i="49" s="1"/>
  <c r="AJ215" i="49"/>
  <c r="AK215" i="49" s="1"/>
  <c r="AF215" i="49"/>
  <c r="AG215" i="49" s="1"/>
  <c r="AB215" i="49"/>
  <c r="AC215" i="49" s="1"/>
  <c r="X215" i="49"/>
  <c r="Y215" i="49" s="1"/>
  <c r="BQ214" i="49"/>
  <c r="BP214" i="49"/>
  <c r="BN214" i="49"/>
  <c r="BM214" i="49"/>
  <c r="BG214" i="49"/>
  <c r="BF214" i="49"/>
  <c r="BC214" i="49"/>
  <c r="BB214" i="49"/>
  <c r="AY214" i="49"/>
  <c r="AX214" i="49"/>
  <c r="AU214" i="49"/>
  <c r="AT214" i="49"/>
  <c r="AQ214" i="49"/>
  <c r="AP214" i="49"/>
  <c r="AM214" i="49"/>
  <c r="AL214" i="49"/>
  <c r="AI214" i="49"/>
  <c r="AH214" i="49"/>
  <c r="AE214" i="49"/>
  <c r="AD214" i="49"/>
  <c r="AA214" i="49"/>
  <c r="Z214" i="49"/>
  <c r="W214" i="49"/>
  <c r="I61" i="76" s="1"/>
  <c r="V214" i="49"/>
  <c r="H61" i="76" s="1"/>
  <c r="U214" i="49"/>
  <c r="J61" i="76" s="1"/>
  <c r="T214" i="49"/>
  <c r="R214" i="49"/>
  <c r="M214" i="49"/>
  <c r="L214" i="49"/>
  <c r="K214" i="49"/>
  <c r="J214" i="49"/>
  <c r="F61" i="76" s="1"/>
  <c r="BR213" i="49"/>
  <c r="BO213" i="49"/>
  <c r="BL213" i="49"/>
  <c r="BH213" i="49"/>
  <c r="BI213" i="49" s="1"/>
  <c r="BD213" i="49"/>
  <c r="BE213" i="49" s="1"/>
  <c r="AZ213" i="49"/>
  <c r="BA213" i="49" s="1"/>
  <c r="AV213" i="49"/>
  <c r="AW213" i="49" s="1"/>
  <c r="AR213" i="49"/>
  <c r="AS213" i="49" s="1"/>
  <c r="AN213" i="49"/>
  <c r="AO213" i="49" s="1"/>
  <c r="AJ213" i="49"/>
  <c r="AK213" i="49" s="1"/>
  <c r="AF213" i="49"/>
  <c r="AG213" i="49" s="1"/>
  <c r="AB213" i="49"/>
  <c r="AC213" i="49" s="1"/>
  <c r="X213" i="49"/>
  <c r="Y213" i="49" s="1"/>
  <c r="S213" i="49"/>
  <c r="S214" i="49" s="1"/>
  <c r="BR212" i="49"/>
  <c r="BO212" i="49"/>
  <c r="BL212" i="49"/>
  <c r="BL214" i="49" s="1"/>
  <c r="BH212" i="49"/>
  <c r="BI212" i="49" s="1"/>
  <c r="BD212" i="49"/>
  <c r="BE212" i="49" s="1"/>
  <c r="AZ212" i="49"/>
  <c r="AV212" i="49"/>
  <c r="AW212" i="49" s="1"/>
  <c r="AR212" i="49"/>
  <c r="AS212" i="49" s="1"/>
  <c r="AN212" i="49"/>
  <c r="AO212" i="49" s="1"/>
  <c r="AJ212" i="49"/>
  <c r="AF212" i="49"/>
  <c r="AG212" i="49" s="1"/>
  <c r="AB212" i="49"/>
  <c r="AC212" i="49" s="1"/>
  <c r="X212" i="49"/>
  <c r="Y212" i="49" s="1"/>
  <c r="S212" i="49"/>
  <c r="A213" i="49"/>
  <c r="A214" i="49" s="1"/>
  <c r="BQ197" i="49"/>
  <c r="BP197" i="49"/>
  <c r="BN197" i="49"/>
  <c r="BM197" i="49"/>
  <c r="BG197" i="49"/>
  <c r="BF197" i="49"/>
  <c r="BC197" i="49"/>
  <c r="BB197" i="49"/>
  <c r="AY197" i="49"/>
  <c r="AX197" i="49"/>
  <c r="AU197" i="49"/>
  <c r="AT197" i="49"/>
  <c r="AQ197" i="49"/>
  <c r="AP197" i="49"/>
  <c r="AM197" i="49"/>
  <c r="AL197" i="49"/>
  <c r="AI197" i="49"/>
  <c r="AH197" i="49"/>
  <c r="AE197" i="49"/>
  <c r="AD197" i="49"/>
  <c r="AA197" i="49"/>
  <c r="Z197" i="49"/>
  <c r="W197" i="49"/>
  <c r="I56" i="76" s="1"/>
  <c r="V197" i="49"/>
  <c r="H56" i="76" s="1"/>
  <c r="U197" i="49"/>
  <c r="J56" i="76" s="1"/>
  <c r="T197" i="49"/>
  <c r="R197" i="49"/>
  <c r="M197" i="49"/>
  <c r="L197" i="49"/>
  <c r="K197" i="49"/>
  <c r="J197" i="49"/>
  <c r="F56" i="76" s="1"/>
  <c r="BR196" i="49"/>
  <c r="BR195" i="49" s="1"/>
  <c r="BR197" i="49" s="1"/>
  <c r="BO196" i="49"/>
  <c r="BO195" i="49" s="1"/>
  <c r="BO197" i="49" s="1"/>
  <c r="BL196" i="49"/>
  <c r="BL195" i="49" s="1"/>
  <c r="BL197" i="49" s="1"/>
  <c r="BH196" i="49"/>
  <c r="BH195" i="49" s="1"/>
  <c r="BH197" i="49" s="1"/>
  <c r="BD196" i="49"/>
  <c r="BE196" i="49" s="1"/>
  <c r="AZ196" i="49"/>
  <c r="AZ195" i="49" s="1"/>
  <c r="BA195" i="49" s="1"/>
  <c r="AV196" i="49"/>
  <c r="AW196" i="49" s="1"/>
  <c r="AR196" i="49"/>
  <c r="AS196" i="49" s="1"/>
  <c r="AN196" i="49"/>
  <c r="AO196" i="49" s="1"/>
  <c r="AJ196" i="49"/>
  <c r="AK196" i="49" s="1"/>
  <c r="AF196" i="49"/>
  <c r="AG196" i="49" s="1"/>
  <c r="AB196" i="49"/>
  <c r="AB195" i="49" s="1"/>
  <c r="AC195" i="49" s="1"/>
  <c r="X196" i="49"/>
  <c r="Y196" i="49" s="1"/>
  <c r="S196" i="49"/>
  <c r="S197" i="49" s="1"/>
  <c r="A215" i="49" l="1"/>
  <c r="B61" i="76"/>
  <c r="G17" i="76"/>
  <c r="K17" i="76"/>
  <c r="AE7" i="76" s="1"/>
  <c r="K62" i="76"/>
  <c r="G62" i="76"/>
  <c r="AJ214" i="49"/>
  <c r="AK214" i="49" s="1"/>
  <c r="U63" i="76"/>
  <c r="BD236" i="49"/>
  <c r="BE236" i="49" s="1"/>
  <c r="G20" i="76"/>
  <c r="K20" i="76"/>
  <c r="A226" i="49"/>
  <c r="B17" i="76"/>
  <c r="V18" i="76"/>
  <c r="W18" i="76" s="1"/>
  <c r="AE8" i="76"/>
  <c r="W19" i="76"/>
  <c r="G19" i="76"/>
  <c r="K19" i="76"/>
  <c r="AE9" i="76" s="1"/>
  <c r="AJ232" i="49"/>
  <c r="AK232" i="49" s="1"/>
  <c r="AB236" i="49"/>
  <c r="AC236" i="49" s="1"/>
  <c r="AF236" i="49"/>
  <c r="AG236" i="49" s="1"/>
  <c r="X236" i="49"/>
  <c r="Y236" i="49" s="1"/>
  <c r="AW234" i="49"/>
  <c r="AV236" i="49"/>
  <c r="AW236" i="49" s="1"/>
  <c r="BD232" i="49"/>
  <c r="BE232" i="49" s="1"/>
  <c r="BH219" i="49"/>
  <c r="BI219" i="49" s="1"/>
  <c r="AV219" i="49"/>
  <c r="AW219" i="49" s="1"/>
  <c r="AN219" i="49"/>
  <c r="AO219" i="49" s="1"/>
  <c r="BR218" i="49"/>
  <c r="BO218" i="49"/>
  <c r="BL218" i="49"/>
  <c r="BH218" i="49"/>
  <c r="BI218" i="49" s="1"/>
  <c r="AJ218" i="49"/>
  <c r="AK218" i="49" s="1"/>
  <c r="AB218" i="49"/>
  <c r="AC218" i="49" s="1"/>
  <c r="BR214" i="49"/>
  <c r="BO214" i="49"/>
  <c r="AZ214" i="49"/>
  <c r="BA214" i="49" s="1"/>
  <c r="BD219" i="49"/>
  <c r="BE219" i="49" s="1"/>
  <c r="AZ219" i="49"/>
  <c r="BA219" i="49" s="1"/>
  <c r="AS220" i="49"/>
  <c r="AJ219" i="49"/>
  <c r="AK219" i="49" s="1"/>
  <c r="AF219" i="49"/>
  <c r="AG219" i="49" s="1"/>
  <c r="AB219" i="49"/>
  <c r="AC219" i="49" s="1"/>
  <c r="X219" i="49"/>
  <c r="Y219" i="49" s="1"/>
  <c r="AV221" i="49"/>
  <c r="AW221" i="49" s="1"/>
  <c r="AR221" i="49"/>
  <c r="AS221" i="49" s="1"/>
  <c r="AN221" i="49"/>
  <c r="AO221" i="49" s="1"/>
  <c r="BI216" i="49"/>
  <c r="BD218" i="49"/>
  <c r="BE218" i="49" s="1"/>
  <c r="AZ218" i="49"/>
  <c r="BA218" i="49" s="1"/>
  <c r="AV218" i="49"/>
  <c r="AW218" i="49" s="1"/>
  <c r="AR218" i="49"/>
  <c r="AS218" i="49" s="1"/>
  <c r="AN218" i="49"/>
  <c r="AO218" i="49" s="1"/>
  <c r="AK216" i="49"/>
  <c r="AF218" i="49"/>
  <c r="AG218" i="49" s="1"/>
  <c r="AC216" i="49"/>
  <c r="X218" i="49"/>
  <c r="Y218" i="49" s="1"/>
  <c r="S219" i="49"/>
  <c r="BH214" i="49"/>
  <c r="BI214" i="49" s="1"/>
  <c r="BD214" i="49"/>
  <c r="BE214" i="49" s="1"/>
  <c r="BA212" i="49"/>
  <c r="AV214" i="49"/>
  <c r="AW214" i="49" s="1"/>
  <c r="AR214" i="49"/>
  <c r="AS214" i="49" s="1"/>
  <c r="AN214" i="49"/>
  <c r="AO214" i="49" s="1"/>
  <c r="AK212" i="49"/>
  <c r="AF214" i="49"/>
  <c r="AG214" i="49" s="1"/>
  <c r="AB214" i="49"/>
  <c r="AC214" i="49" s="1"/>
  <c r="X214" i="49"/>
  <c r="Y214" i="49" s="1"/>
  <c r="S215" i="49"/>
  <c r="BI196" i="49"/>
  <c r="BD195" i="49"/>
  <c r="BE195" i="49" s="1"/>
  <c r="BA196" i="49"/>
  <c r="AV195" i="49"/>
  <c r="AW195" i="49" s="1"/>
  <c r="AR195" i="49"/>
  <c r="AS195" i="49" s="1"/>
  <c r="AN195" i="49"/>
  <c r="AO195" i="49" s="1"/>
  <c r="AJ195" i="49"/>
  <c r="AK195" i="49" s="1"/>
  <c r="AF195" i="49"/>
  <c r="AG195" i="49" s="1"/>
  <c r="AC196" i="49"/>
  <c r="X195" i="49"/>
  <c r="Y195" i="49" s="1"/>
  <c r="BI195" i="49"/>
  <c r="BI197" i="49"/>
  <c r="AZ197" i="49"/>
  <c r="BA197" i="49" s="1"/>
  <c r="AB197" i="49"/>
  <c r="AC197" i="49" s="1"/>
  <c r="O55" i="74"/>
  <c r="X18" i="76" l="1"/>
  <c r="AE37" i="76" s="1"/>
  <c r="Y18" i="76"/>
  <c r="AE13" i="76" s="1"/>
  <c r="Y19" i="76"/>
  <c r="AE14" i="76" s="1"/>
  <c r="X19" i="76"/>
  <c r="AE38" i="76" s="1"/>
  <c r="A227" i="49"/>
  <c r="A228" i="49" s="1"/>
  <c r="A229" i="49" s="1"/>
  <c r="B18" i="76"/>
  <c r="V63" i="76"/>
  <c r="K61" i="76"/>
  <c r="AI7" i="76" s="1"/>
  <c r="G61" i="76"/>
  <c r="AE10" i="76"/>
  <c r="W20" i="76"/>
  <c r="AI8" i="76"/>
  <c r="W64" i="76"/>
  <c r="AN197" i="49"/>
  <c r="AO197" i="49" s="1"/>
  <c r="K63" i="76"/>
  <c r="AI9" i="76" s="1"/>
  <c r="G63" i="76"/>
  <c r="A216" i="49"/>
  <c r="A217" i="49" s="1"/>
  <c r="A218" i="49" s="1"/>
  <c r="B62" i="76"/>
  <c r="BH221" i="49"/>
  <c r="BI221" i="49" s="1"/>
  <c r="BD221" i="49"/>
  <c r="BE221" i="49" s="1"/>
  <c r="AJ221" i="49"/>
  <c r="AK221" i="49" s="1"/>
  <c r="X221" i="49"/>
  <c r="Y221" i="49" s="1"/>
  <c r="AZ221" i="49"/>
  <c r="BA221" i="49" s="1"/>
  <c r="AF221" i="49"/>
  <c r="AG221" i="49" s="1"/>
  <c r="AB221" i="49"/>
  <c r="AC221" i="49" s="1"/>
  <c r="AR197" i="49"/>
  <c r="AS197" i="49" s="1"/>
  <c r="BD197" i="49"/>
  <c r="BE197" i="49" s="1"/>
  <c r="AV197" i="49"/>
  <c r="AW197" i="49" s="1"/>
  <c r="AJ197" i="49"/>
  <c r="AK197" i="49" s="1"/>
  <c r="AF197" i="49"/>
  <c r="AG197" i="49" s="1"/>
  <c r="X197" i="49"/>
  <c r="Y197" i="49" s="1"/>
  <c r="F207" i="49"/>
  <c r="F208" i="49"/>
  <c r="F209" i="49"/>
  <c r="F210" i="49"/>
  <c r="BR210" i="49"/>
  <c r="BO210" i="49"/>
  <c r="BL210" i="49"/>
  <c r="BH210" i="49"/>
  <c r="BI210" i="49" s="1"/>
  <c r="BD210" i="49"/>
  <c r="BE210" i="49" s="1"/>
  <c r="AZ210" i="49"/>
  <c r="BA210" i="49" s="1"/>
  <c r="AV210" i="49"/>
  <c r="AW210" i="49" s="1"/>
  <c r="AR210" i="49"/>
  <c r="AS210" i="49" s="1"/>
  <c r="AN210" i="49"/>
  <c r="AO210" i="49" s="1"/>
  <c r="AJ210" i="49"/>
  <c r="AK210" i="49" s="1"/>
  <c r="AF210" i="49"/>
  <c r="AG210" i="49" s="1"/>
  <c r="AB210" i="49"/>
  <c r="AC210" i="49" s="1"/>
  <c r="X210" i="49"/>
  <c r="Y210" i="49" s="1"/>
  <c r="S210" i="49"/>
  <c r="F206" i="49"/>
  <c r="F205" i="49"/>
  <c r="F204" i="49"/>
  <c r="F203" i="49"/>
  <c r="F202" i="49"/>
  <c r="F201" i="49"/>
  <c r="F200" i="49"/>
  <c r="F199" i="49"/>
  <c r="F198" i="49"/>
  <c r="F194" i="49"/>
  <c r="F193" i="49"/>
  <c r="F192" i="49"/>
  <c r="F191" i="49"/>
  <c r="F190" i="49"/>
  <c r="F189" i="49"/>
  <c r="F188" i="49"/>
  <c r="F185" i="49"/>
  <c r="F186" i="49"/>
  <c r="F178" i="49"/>
  <c r="F179" i="49"/>
  <c r="F180" i="49"/>
  <c r="F181" i="49"/>
  <c r="F182" i="49"/>
  <c r="F183" i="49"/>
  <c r="F184" i="49"/>
  <c r="F177" i="49"/>
  <c r="F176" i="49"/>
  <c r="F175" i="49"/>
  <c r="F172" i="49"/>
  <c r="F173" i="49"/>
  <c r="BR209" i="49"/>
  <c r="BO209" i="49"/>
  <c r="BL209" i="49"/>
  <c r="BH209" i="49"/>
  <c r="BI209" i="49" s="1"/>
  <c r="BD209" i="49"/>
  <c r="BE209" i="49" s="1"/>
  <c r="AZ209" i="49"/>
  <c r="BA209" i="49" s="1"/>
  <c r="AV209" i="49"/>
  <c r="AW209" i="49" s="1"/>
  <c r="AR209" i="49"/>
  <c r="AS209" i="49" s="1"/>
  <c r="AN209" i="49"/>
  <c r="AO209" i="49" s="1"/>
  <c r="AJ209" i="49"/>
  <c r="AK209" i="49" s="1"/>
  <c r="AF209" i="49"/>
  <c r="AG209" i="49" s="1"/>
  <c r="AB209" i="49"/>
  <c r="AC209" i="49" s="1"/>
  <c r="X209" i="49"/>
  <c r="Y209" i="49" s="1"/>
  <c r="BQ208" i="49"/>
  <c r="BP208" i="49"/>
  <c r="BN208" i="49"/>
  <c r="BM208" i="49"/>
  <c r="BG208" i="49"/>
  <c r="BF208" i="49"/>
  <c r="BC208" i="49"/>
  <c r="BB208" i="49"/>
  <c r="AY208" i="49"/>
  <c r="AX208" i="49"/>
  <c r="AU208" i="49"/>
  <c r="AT208" i="49"/>
  <c r="AQ208" i="49"/>
  <c r="AP208" i="49"/>
  <c r="AM208" i="49"/>
  <c r="AL208" i="49"/>
  <c r="AI208" i="49"/>
  <c r="AH208" i="49"/>
  <c r="AE208" i="49"/>
  <c r="AD208" i="49"/>
  <c r="AA208" i="49"/>
  <c r="Z208" i="49"/>
  <c r="W208" i="49"/>
  <c r="V208" i="49"/>
  <c r="U208" i="49"/>
  <c r="T208" i="49"/>
  <c r="R208" i="49"/>
  <c r="M208" i="49"/>
  <c r="L208" i="49"/>
  <c r="K208" i="49"/>
  <c r="J208" i="49"/>
  <c r="BR207" i="49"/>
  <c r="BO207" i="49"/>
  <c r="BL207" i="49"/>
  <c r="BH207" i="49"/>
  <c r="BI207" i="49" s="1"/>
  <c r="BD207" i="49"/>
  <c r="BE207" i="49" s="1"/>
  <c r="AZ207" i="49"/>
  <c r="BA207" i="49" s="1"/>
  <c r="AV207" i="49"/>
  <c r="AW207" i="49" s="1"/>
  <c r="AR207" i="49"/>
  <c r="AS207" i="49" s="1"/>
  <c r="AN207" i="49"/>
  <c r="AO207" i="49" s="1"/>
  <c r="AJ207" i="49"/>
  <c r="AK207" i="49" s="1"/>
  <c r="AF207" i="49"/>
  <c r="AG207" i="49" s="1"/>
  <c r="AB207" i="49"/>
  <c r="AC207" i="49" s="1"/>
  <c r="X207" i="49"/>
  <c r="Y207" i="49" s="1"/>
  <c r="S207" i="49"/>
  <c r="S208" i="49" s="1"/>
  <c r="BR206" i="49"/>
  <c r="BO206" i="49"/>
  <c r="BL206" i="49"/>
  <c r="BH206" i="49"/>
  <c r="BD206" i="49"/>
  <c r="BE206" i="49" s="1"/>
  <c r="AZ206" i="49"/>
  <c r="BA206" i="49" s="1"/>
  <c r="AV206" i="49"/>
  <c r="AW206" i="49" s="1"/>
  <c r="AR206" i="49"/>
  <c r="AN206" i="49"/>
  <c r="AO206" i="49" s="1"/>
  <c r="AJ206" i="49"/>
  <c r="AK206" i="49" s="1"/>
  <c r="AF206" i="49"/>
  <c r="AG206" i="49" s="1"/>
  <c r="AB206" i="49"/>
  <c r="X206" i="49"/>
  <c r="Y206" i="49" s="1"/>
  <c r="S206" i="49"/>
  <c r="BR205" i="49"/>
  <c r="BO205" i="49"/>
  <c r="BL205" i="49"/>
  <c r="BH205" i="49"/>
  <c r="BI205" i="49" s="1"/>
  <c r="BD205" i="49"/>
  <c r="BE205" i="49" s="1"/>
  <c r="AZ205" i="49"/>
  <c r="BA205" i="49" s="1"/>
  <c r="AV205" i="49"/>
  <c r="AW205" i="49" s="1"/>
  <c r="AR205" i="49"/>
  <c r="AS205" i="49" s="1"/>
  <c r="AN205" i="49"/>
  <c r="AO205" i="49" s="1"/>
  <c r="AJ205" i="49"/>
  <c r="AK205" i="49" s="1"/>
  <c r="AF205" i="49"/>
  <c r="AG205" i="49" s="1"/>
  <c r="AB205" i="49"/>
  <c r="AC205" i="49" s="1"/>
  <c r="X205" i="49"/>
  <c r="Y205" i="49" s="1"/>
  <c r="S205" i="49"/>
  <c r="BR204" i="49"/>
  <c r="BO204" i="49"/>
  <c r="BL204" i="49"/>
  <c r="BH204" i="49"/>
  <c r="BI204" i="49" s="1"/>
  <c r="BD204" i="49"/>
  <c r="BE204" i="49" s="1"/>
  <c r="AZ204" i="49"/>
  <c r="BA204" i="49" s="1"/>
  <c r="AV204" i="49"/>
  <c r="AW204" i="49" s="1"/>
  <c r="AR204" i="49"/>
  <c r="AS204" i="49" s="1"/>
  <c r="AN204" i="49"/>
  <c r="AO204" i="49" s="1"/>
  <c r="AJ204" i="49"/>
  <c r="AK204" i="49" s="1"/>
  <c r="AF204" i="49"/>
  <c r="AG204" i="49" s="1"/>
  <c r="AB204" i="49"/>
  <c r="AC204" i="49" s="1"/>
  <c r="X204" i="49"/>
  <c r="Y204" i="49" s="1"/>
  <c r="S204" i="49"/>
  <c r="BR203" i="49"/>
  <c r="BO203" i="49"/>
  <c r="BL203" i="49"/>
  <c r="BH203" i="49"/>
  <c r="BI203" i="49" s="1"/>
  <c r="BD203" i="49"/>
  <c r="BE203" i="49" s="1"/>
  <c r="AZ203" i="49"/>
  <c r="BA203" i="49" s="1"/>
  <c r="AV203" i="49"/>
  <c r="AW203" i="49" s="1"/>
  <c r="AR203" i="49"/>
  <c r="AS203" i="49" s="1"/>
  <c r="AN203" i="49"/>
  <c r="AO203" i="49" s="1"/>
  <c r="AJ203" i="49"/>
  <c r="AK203" i="49" s="1"/>
  <c r="AF203" i="49"/>
  <c r="AG203" i="49" s="1"/>
  <c r="AB203" i="49"/>
  <c r="AC203" i="49" s="1"/>
  <c r="X203" i="49"/>
  <c r="Y203" i="49" s="1"/>
  <c r="S203" i="49"/>
  <c r="BR202" i="49"/>
  <c r="BO202" i="49"/>
  <c r="BL202" i="49"/>
  <c r="BH202" i="49"/>
  <c r="BI202" i="49" s="1"/>
  <c r="BD202" i="49"/>
  <c r="BE202" i="49" s="1"/>
  <c r="AZ202" i="49"/>
  <c r="BA202" i="49" s="1"/>
  <c r="AV202" i="49"/>
  <c r="AW202" i="49" s="1"/>
  <c r="AR202" i="49"/>
  <c r="AS202" i="49" s="1"/>
  <c r="AN202" i="49"/>
  <c r="AO202" i="49" s="1"/>
  <c r="AJ202" i="49"/>
  <c r="AK202" i="49" s="1"/>
  <c r="AF202" i="49"/>
  <c r="AG202" i="49" s="1"/>
  <c r="AB202" i="49"/>
  <c r="AC202" i="49" s="1"/>
  <c r="X202" i="49"/>
  <c r="Y202" i="49" s="1"/>
  <c r="BQ201" i="49"/>
  <c r="BP201" i="49"/>
  <c r="BN201" i="49"/>
  <c r="BM201" i="49"/>
  <c r="BG201" i="49"/>
  <c r="BF201" i="49"/>
  <c r="BC201" i="49"/>
  <c r="BB201" i="49"/>
  <c r="AY201" i="49"/>
  <c r="AX201" i="49"/>
  <c r="AU201" i="49"/>
  <c r="AT201" i="49"/>
  <c r="AQ201" i="49"/>
  <c r="AP201" i="49"/>
  <c r="AM201" i="49"/>
  <c r="AL201" i="49"/>
  <c r="AI201" i="49"/>
  <c r="AH201" i="49"/>
  <c r="AE201" i="49"/>
  <c r="AD201" i="49"/>
  <c r="AA201" i="49"/>
  <c r="Z201" i="49"/>
  <c r="W201" i="49"/>
  <c r="V201" i="49"/>
  <c r="U201" i="49"/>
  <c r="T201" i="49"/>
  <c r="R201" i="49"/>
  <c r="M201" i="49"/>
  <c r="L201" i="49"/>
  <c r="K201" i="49"/>
  <c r="J201" i="49"/>
  <c r="BR200" i="49"/>
  <c r="BR199" i="49" s="1"/>
  <c r="BR201" i="49" s="1"/>
  <c r="BO200" i="49"/>
  <c r="BO199" i="49" s="1"/>
  <c r="BO201" i="49" s="1"/>
  <c r="BL200" i="49"/>
  <c r="BL199" i="49" s="1"/>
  <c r="BL201" i="49" s="1"/>
  <c r="BH200" i="49"/>
  <c r="BH199" i="49" s="1"/>
  <c r="BI199" i="49" s="1"/>
  <c r="BD200" i="49"/>
  <c r="BE200" i="49" s="1"/>
  <c r="AZ200" i="49"/>
  <c r="BA200" i="49" s="1"/>
  <c r="AV200" i="49"/>
  <c r="AW200" i="49" s="1"/>
  <c r="AR200" i="49"/>
  <c r="AS200" i="49" s="1"/>
  <c r="AN200" i="49"/>
  <c r="AN199" i="49" s="1"/>
  <c r="AO199" i="49" s="1"/>
  <c r="AJ200" i="49"/>
  <c r="AK200" i="49" s="1"/>
  <c r="AF200" i="49"/>
  <c r="AG200" i="49" s="1"/>
  <c r="AB200" i="49"/>
  <c r="AC200" i="49" s="1"/>
  <c r="X200" i="49"/>
  <c r="Y200" i="49" s="1"/>
  <c r="S200" i="49"/>
  <c r="S201" i="49" s="1"/>
  <c r="S199" i="49"/>
  <c r="BR198" i="49"/>
  <c r="BO198" i="49"/>
  <c r="BL198" i="49"/>
  <c r="BH198" i="49"/>
  <c r="BI198" i="49" s="1"/>
  <c r="BD198" i="49"/>
  <c r="BE198" i="49" s="1"/>
  <c r="AZ198" i="49"/>
  <c r="BA198" i="49" s="1"/>
  <c r="AV198" i="49"/>
  <c r="AW198" i="49" s="1"/>
  <c r="AR198" i="49"/>
  <c r="AS198" i="49" s="1"/>
  <c r="AN198" i="49"/>
  <c r="AO198" i="49" s="1"/>
  <c r="AJ198" i="49"/>
  <c r="AK198" i="49" s="1"/>
  <c r="AF198" i="49"/>
  <c r="AG198" i="49" s="1"/>
  <c r="AB198" i="49"/>
  <c r="AC198" i="49" s="1"/>
  <c r="X198" i="49"/>
  <c r="Y198" i="49" s="1"/>
  <c r="A219" i="49" l="1"/>
  <c r="A220" i="49" s="1"/>
  <c r="A221" i="49" s="1"/>
  <c r="B64" i="76" s="1"/>
  <c r="B63" i="76"/>
  <c r="K64" i="76"/>
  <c r="G64" i="76"/>
  <c r="A230" i="49"/>
  <c r="A231" i="49" s="1"/>
  <c r="A232" i="49" s="1"/>
  <c r="B19" i="76"/>
  <c r="G56" i="76"/>
  <c r="K56" i="76"/>
  <c r="X64" i="76"/>
  <c r="AI38" i="76" s="1"/>
  <c r="Y20" i="76"/>
  <c r="AE15" i="76" s="1"/>
  <c r="X20" i="76"/>
  <c r="AE39" i="76" s="1"/>
  <c r="W63" i="76"/>
  <c r="O54" i="74"/>
  <c r="O54" i="76"/>
  <c r="AB208" i="49"/>
  <c r="AR208" i="49"/>
  <c r="AS208" i="49" s="1"/>
  <c r="BL208" i="49"/>
  <c r="BR208" i="49"/>
  <c r="BO208" i="49"/>
  <c r="BH208" i="49"/>
  <c r="AR199" i="49"/>
  <c r="AS199" i="49" s="1"/>
  <c r="AF199" i="49"/>
  <c r="AG199" i="49" s="1"/>
  <c r="BI206" i="49"/>
  <c r="BI208" i="49"/>
  <c r="BD208" i="49"/>
  <c r="BE208" i="49" s="1"/>
  <c r="AZ208" i="49"/>
  <c r="BA208" i="49" s="1"/>
  <c r="AV208" i="49"/>
  <c r="AS206" i="49"/>
  <c r="AN208" i="49"/>
  <c r="AO208" i="49" s="1"/>
  <c r="AJ208" i="49"/>
  <c r="AK208" i="49" s="1"/>
  <c r="AF208" i="49"/>
  <c r="AG208" i="49" s="1"/>
  <c r="AC206" i="49"/>
  <c r="X208" i="49"/>
  <c r="Y208" i="49" s="1"/>
  <c r="S209" i="49"/>
  <c r="BI200" i="49"/>
  <c r="BD199" i="49"/>
  <c r="BE199" i="49" s="1"/>
  <c r="AZ199" i="49"/>
  <c r="BA199" i="49" s="1"/>
  <c r="AJ199" i="49"/>
  <c r="AK199" i="49" s="1"/>
  <c r="AB199" i="49"/>
  <c r="AC199" i="49" s="1"/>
  <c r="X199" i="49"/>
  <c r="Y199" i="49" s="1"/>
  <c r="BH201" i="49"/>
  <c r="BI201" i="49" s="1"/>
  <c r="AR201" i="49"/>
  <c r="AS201" i="49" s="1"/>
  <c r="AN201" i="49"/>
  <c r="AO201" i="49" s="1"/>
  <c r="AB201" i="49"/>
  <c r="AC201" i="49" s="1"/>
  <c r="S202" i="49"/>
  <c r="AW208" i="49"/>
  <c r="AC208" i="49"/>
  <c r="AV199" i="49"/>
  <c r="AO200" i="49"/>
  <c r="S198" i="49"/>
  <c r="BQ194" i="49"/>
  <c r="BP194" i="49"/>
  <c r="BN194" i="49"/>
  <c r="BM194" i="49"/>
  <c r="BG194" i="49"/>
  <c r="BF194" i="49"/>
  <c r="BC194" i="49"/>
  <c r="BB194" i="49"/>
  <c r="AY194" i="49"/>
  <c r="AX194" i="49"/>
  <c r="AU194" i="49"/>
  <c r="AT194" i="49"/>
  <c r="AQ194" i="49"/>
  <c r="AP194" i="49"/>
  <c r="AM194" i="49"/>
  <c r="AL194" i="49"/>
  <c r="AI194" i="49"/>
  <c r="AH194" i="49"/>
  <c r="AE194" i="49"/>
  <c r="AD194" i="49"/>
  <c r="AA194" i="49"/>
  <c r="Z194" i="49"/>
  <c r="W194" i="49"/>
  <c r="I55" i="76" s="1"/>
  <c r="V194" i="49"/>
  <c r="H55" i="76" s="1"/>
  <c r="U194" i="49"/>
  <c r="J55" i="76" s="1"/>
  <c r="T194" i="49"/>
  <c r="R194" i="49"/>
  <c r="S195" i="49" s="1"/>
  <c r="M194" i="49"/>
  <c r="L194" i="49"/>
  <c r="K194" i="49"/>
  <c r="J194" i="49"/>
  <c r="F55" i="76" s="1"/>
  <c r="BR193" i="49"/>
  <c r="BO193" i="49"/>
  <c r="BL193" i="49"/>
  <c r="BH193" i="49"/>
  <c r="BI193" i="49" s="1"/>
  <c r="BD193" i="49"/>
  <c r="BE193" i="49" s="1"/>
  <c r="AZ193" i="49"/>
  <c r="BA193" i="49" s="1"/>
  <c r="AV193" i="49"/>
  <c r="AW193" i="49" s="1"/>
  <c r="AR193" i="49"/>
  <c r="AS193" i="49" s="1"/>
  <c r="AN193" i="49"/>
  <c r="AO193" i="49" s="1"/>
  <c r="AJ193" i="49"/>
  <c r="AK193" i="49" s="1"/>
  <c r="AF193" i="49"/>
  <c r="AG193" i="49" s="1"/>
  <c r="AB193" i="49"/>
  <c r="AC193" i="49" s="1"/>
  <c r="X193" i="49"/>
  <c r="Y193" i="49" s="1"/>
  <c r="S193" i="49"/>
  <c r="S194" i="49" s="1"/>
  <c r="BR192" i="49"/>
  <c r="BO192" i="49"/>
  <c r="BO194" i="49" s="1"/>
  <c r="BL192" i="49"/>
  <c r="BH192" i="49"/>
  <c r="BI192" i="49" s="1"/>
  <c r="BD192" i="49"/>
  <c r="BE192" i="49" s="1"/>
  <c r="AZ192" i="49"/>
  <c r="AV192" i="49"/>
  <c r="AW192" i="49" s="1"/>
  <c r="AR192" i="49"/>
  <c r="AS192" i="49" s="1"/>
  <c r="AN192" i="49"/>
  <c r="AO192" i="49" s="1"/>
  <c r="AJ192" i="49"/>
  <c r="AK192" i="49" s="1"/>
  <c r="AF192" i="49"/>
  <c r="AG192" i="49" s="1"/>
  <c r="AB192" i="49"/>
  <c r="X192" i="49"/>
  <c r="Y192" i="49" s="1"/>
  <c r="S192" i="49"/>
  <c r="BR191" i="49"/>
  <c r="BO191" i="49"/>
  <c r="BL191" i="49"/>
  <c r="BH191" i="49"/>
  <c r="BI191" i="49" s="1"/>
  <c r="BD191" i="49"/>
  <c r="BE191" i="49" s="1"/>
  <c r="AZ191" i="49"/>
  <c r="BA191" i="49" s="1"/>
  <c r="AV191" i="49"/>
  <c r="AW191" i="49" s="1"/>
  <c r="AR191" i="49"/>
  <c r="AS191" i="49" s="1"/>
  <c r="AN191" i="49"/>
  <c r="AO191" i="49" s="1"/>
  <c r="AJ191" i="49"/>
  <c r="AK191" i="49" s="1"/>
  <c r="AF191" i="49"/>
  <c r="AG191" i="49" s="1"/>
  <c r="AB191" i="49"/>
  <c r="AC191" i="49" s="1"/>
  <c r="X191" i="49"/>
  <c r="Y191" i="49" s="1"/>
  <c r="BQ190" i="49"/>
  <c r="BP190" i="49"/>
  <c r="BN190" i="49"/>
  <c r="BM190" i="49"/>
  <c r="BG190" i="49"/>
  <c r="BF190" i="49"/>
  <c r="BC190" i="49"/>
  <c r="BB190" i="49"/>
  <c r="AY190" i="49"/>
  <c r="AX190" i="49"/>
  <c r="AU190" i="49"/>
  <c r="AT190" i="49"/>
  <c r="AQ190" i="49"/>
  <c r="AP190" i="49"/>
  <c r="AM190" i="49"/>
  <c r="AL190" i="49"/>
  <c r="AI190" i="49"/>
  <c r="AH190" i="49"/>
  <c r="AE190" i="49"/>
  <c r="AD190" i="49"/>
  <c r="AA190" i="49"/>
  <c r="Z190" i="49"/>
  <c r="W190" i="49"/>
  <c r="I53" i="76" s="1"/>
  <c r="V190" i="49"/>
  <c r="H53" i="76" s="1"/>
  <c r="U190" i="49"/>
  <c r="J53" i="76" s="1"/>
  <c r="T190" i="49"/>
  <c r="R190" i="49"/>
  <c r="M190" i="49"/>
  <c r="L190" i="49"/>
  <c r="K190" i="49"/>
  <c r="J190" i="49"/>
  <c r="F53" i="76" s="1"/>
  <c r="BR189" i="49"/>
  <c r="BO189" i="49"/>
  <c r="BL189" i="49"/>
  <c r="BH189" i="49"/>
  <c r="BI189" i="49" s="1"/>
  <c r="BD189" i="49"/>
  <c r="BE189" i="49" s="1"/>
  <c r="AZ189" i="49"/>
  <c r="BA189" i="49" s="1"/>
  <c r="AV189" i="49"/>
  <c r="AW189" i="49" s="1"/>
  <c r="AR189" i="49"/>
  <c r="AS189" i="49" s="1"/>
  <c r="AN189" i="49"/>
  <c r="AO189" i="49" s="1"/>
  <c r="AJ189" i="49"/>
  <c r="AK189" i="49" s="1"/>
  <c r="AF189" i="49"/>
  <c r="AG189" i="49" s="1"/>
  <c r="AB189" i="49"/>
  <c r="AC189" i="49" s="1"/>
  <c r="X189" i="49"/>
  <c r="Y189" i="49" s="1"/>
  <c r="S189" i="49"/>
  <c r="S190" i="49" s="1"/>
  <c r="BR188" i="49"/>
  <c r="BO188" i="49"/>
  <c r="BL188" i="49"/>
  <c r="BH188" i="49"/>
  <c r="BD188" i="49"/>
  <c r="BE188" i="49" s="1"/>
  <c r="AZ188" i="49"/>
  <c r="BA188" i="49" s="1"/>
  <c r="AV188" i="49"/>
  <c r="AW188" i="49" s="1"/>
  <c r="AR188" i="49"/>
  <c r="AN188" i="49"/>
  <c r="AO188" i="49" s="1"/>
  <c r="AJ188" i="49"/>
  <c r="AK188" i="49" s="1"/>
  <c r="AF188" i="49"/>
  <c r="AG188" i="49" s="1"/>
  <c r="AB188" i="49"/>
  <c r="X188" i="49"/>
  <c r="Y188" i="49" s="1"/>
  <c r="S188" i="49"/>
  <c r="BR186" i="49"/>
  <c r="BO186" i="49"/>
  <c r="BL186" i="49"/>
  <c r="BH186" i="49"/>
  <c r="BI186" i="49" s="1"/>
  <c r="BD186" i="49"/>
  <c r="BE186" i="49" s="1"/>
  <c r="AZ186" i="49"/>
  <c r="BA186" i="49" s="1"/>
  <c r="AV186" i="49"/>
  <c r="AW186" i="49" s="1"/>
  <c r="AR186" i="49"/>
  <c r="AS186" i="49" s="1"/>
  <c r="AN186" i="49"/>
  <c r="AO186" i="49" s="1"/>
  <c r="AJ186" i="49"/>
  <c r="AK186" i="49" s="1"/>
  <c r="AF186" i="49"/>
  <c r="AG186" i="49" s="1"/>
  <c r="AB186" i="49"/>
  <c r="AC186" i="49" s="1"/>
  <c r="X186" i="49"/>
  <c r="Y186" i="49" s="1"/>
  <c r="S186" i="49"/>
  <c r="BR185" i="49"/>
  <c r="BO185" i="49"/>
  <c r="BL185" i="49"/>
  <c r="BH185" i="49"/>
  <c r="BI185" i="49" s="1"/>
  <c r="BD185" i="49"/>
  <c r="BE185" i="49" s="1"/>
  <c r="AZ185" i="49"/>
  <c r="BA185" i="49" s="1"/>
  <c r="AV185" i="49"/>
  <c r="AW185" i="49" s="1"/>
  <c r="AR185" i="49"/>
  <c r="AS185" i="49" s="1"/>
  <c r="AN185" i="49"/>
  <c r="AO185" i="49" s="1"/>
  <c r="AJ185" i="49"/>
  <c r="AK185" i="49" s="1"/>
  <c r="AF185" i="49"/>
  <c r="AG185" i="49" s="1"/>
  <c r="AB185" i="49"/>
  <c r="AC185" i="49" s="1"/>
  <c r="X185" i="49"/>
  <c r="Y185" i="49" s="1"/>
  <c r="S185" i="49"/>
  <c r="BR184" i="49"/>
  <c r="BO184" i="49"/>
  <c r="BL184" i="49"/>
  <c r="BH184" i="49"/>
  <c r="BI184" i="49" s="1"/>
  <c r="BD184" i="49"/>
  <c r="BE184" i="49" s="1"/>
  <c r="AZ184" i="49"/>
  <c r="BA184" i="49" s="1"/>
  <c r="AV184" i="49"/>
  <c r="AW184" i="49" s="1"/>
  <c r="AR184" i="49"/>
  <c r="AS184" i="49" s="1"/>
  <c r="AN184" i="49"/>
  <c r="AO184" i="49" s="1"/>
  <c r="AJ184" i="49"/>
  <c r="AK184" i="49" s="1"/>
  <c r="AF184" i="49"/>
  <c r="AG184" i="49" s="1"/>
  <c r="AB184" i="49"/>
  <c r="AC184" i="49" s="1"/>
  <c r="X184" i="49"/>
  <c r="Y184" i="49" s="1"/>
  <c r="S184" i="49"/>
  <c r="BR183" i="49"/>
  <c r="BO183" i="49"/>
  <c r="BL183" i="49"/>
  <c r="BH183" i="49"/>
  <c r="BI183" i="49" s="1"/>
  <c r="BD183" i="49"/>
  <c r="BE183" i="49" s="1"/>
  <c r="AZ183" i="49"/>
  <c r="BA183" i="49" s="1"/>
  <c r="AV183" i="49"/>
  <c r="AW183" i="49" s="1"/>
  <c r="AR183" i="49"/>
  <c r="AS183" i="49" s="1"/>
  <c r="AN183" i="49"/>
  <c r="AO183" i="49" s="1"/>
  <c r="AJ183" i="49"/>
  <c r="AK183" i="49" s="1"/>
  <c r="AF183" i="49"/>
  <c r="AG183" i="49" s="1"/>
  <c r="AB183" i="49"/>
  <c r="AC183" i="49" s="1"/>
  <c r="X183" i="49"/>
  <c r="Y183" i="49" s="1"/>
  <c r="S183" i="49"/>
  <c r="BR182" i="49"/>
  <c r="BO182" i="49"/>
  <c r="BL182" i="49"/>
  <c r="BH182" i="49"/>
  <c r="BI182" i="49" s="1"/>
  <c r="BD182" i="49"/>
  <c r="BE182" i="49" s="1"/>
  <c r="AZ182" i="49"/>
  <c r="BA182" i="49" s="1"/>
  <c r="AV182" i="49"/>
  <c r="AW182" i="49" s="1"/>
  <c r="AR182" i="49"/>
  <c r="AS182" i="49" s="1"/>
  <c r="AN182" i="49"/>
  <c r="AO182" i="49" s="1"/>
  <c r="AJ182" i="49"/>
  <c r="AK182" i="49" s="1"/>
  <c r="AF182" i="49"/>
  <c r="AG182" i="49" s="1"/>
  <c r="AB182" i="49"/>
  <c r="AC182" i="49" s="1"/>
  <c r="X182" i="49"/>
  <c r="Y182" i="49" s="1"/>
  <c r="S182" i="49"/>
  <c r="BR181" i="49"/>
  <c r="BO181" i="49"/>
  <c r="BL181" i="49"/>
  <c r="BH181" i="49"/>
  <c r="BI181" i="49" s="1"/>
  <c r="BD181" i="49"/>
  <c r="BE181" i="49" s="1"/>
  <c r="AZ181" i="49"/>
  <c r="BA181" i="49" s="1"/>
  <c r="AV181" i="49"/>
  <c r="AW181" i="49" s="1"/>
  <c r="AR181" i="49"/>
  <c r="AS181" i="49" s="1"/>
  <c r="AN181" i="49"/>
  <c r="AO181" i="49" s="1"/>
  <c r="AJ181" i="49"/>
  <c r="AK181" i="49" s="1"/>
  <c r="AF181" i="49"/>
  <c r="AG181" i="49" s="1"/>
  <c r="AB181" i="49"/>
  <c r="AC181" i="49" s="1"/>
  <c r="X181" i="49"/>
  <c r="Y181" i="49" s="1"/>
  <c r="S181" i="49"/>
  <c r="BR180" i="49"/>
  <c r="BO180" i="49"/>
  <c r="BL180" i="49"/>
  <c r="BH180" i="49"/>
  <c r="BI180" i="49" s="1"/>
  <c r="BD180" i="49"/>
  <c r="BE180" i="49" s="1"/>
  <c r="AZ180" i="49"/>
  <c r="BA180" i="49" s="1"/>
  <c r="AV180" i="49"/>
  <c r="AW180" i="49" s="1"/>
  <c r="AR180" i="49"/>
  <c r="AS180" i="49" s="1"/>
  <c r="AN180" i="49"/>
  <c r="AO180" i="49" s="1"/>
  <c r="AJ180" i="49"/>
  <c r="AK180" i="49" s="1"/>
  <c r="AF180" i="49"/>
  <c r="AG180" i="49" s="1"/>
  <c r="AB180" i="49"/>
  <c r="AC180" i="49" s="1"/>
  <c r="X180" i="49"/>
  <c r="Y180" i="49" s="1"/>
  <c r="S180" i="49"/>
  <c r="BR179" i="49"/>
  <c r="BO179" i="49"/>
  <c r="BL179" i="49"/>
  <c r="BH179" i="49"/>
  <c r="BI179" i="49" s="1"/>
  <c r="BD179" i="49"/>
  <c r="BE179" i="49" s="1"/>
  <c r="AZ179" i="49"/>
  <c r="BA179" i="49" s="1"/>
  <c r="AV179" i="49"/>
  <c r="AW179" i="49" s="1"/>
  <c r="AR179" i="49"/>
  <c r="AS179" i="49" s="1"/>
  <c r="AN179" i="49"/>
  <c r="AO179" i="49" s="1"/>
  <c r="AJ179" i="49"/>
  <c r="AK179" i="49" s="1"/>
  <c r="AF179" i="49"/>
  <c r="AG179" i="49" s="1"/>
  <c r="AB179" i="49"/>
  <c r="AC179" i="49" s="1"/>
  <c r="X179" i="49"/>
  <c r="Y179" i="49" s="1"/>
  <c r="S179" i="49"/>
  <c r="BR178" i="49"/>
  <c r="BO178" i="49"/>
  <c r="BL178" i="49"/>
  <c r="BH178" i="49"/>
  <c r="BI178" i="49" s="1"/>
  <c r="BD178" i="49"/>
  <c r="BE178" i="49" s="1"/>
  <c r="AZ178" i="49"/>
  <c r="BA178" i="49" s="1"/>
  <c r="AV178" i="49"/>
  <c r="AW178" i="49" s="1"/>
  <c r="AR178" i="49"/>
  <c r="AS178" i="49" s="1"/>
  <c r="AN178" i="49"/>
  <c r="AO178" i="49" s="1"/>
  <c r="AJ178" i="49"/>
  <c r="AK178" i="49" s="1"/>
  <c r="AF178" i="49"/>
  <c r="AG178" i="49" s="1"/>
  <c r="AB178" i="49"/>
  <c r="AC178" i="49" s="1"/>
  <c r="X178" i="49"/>
  <c r="Y178" i="49" s="1"/>
  <c r="S178" i="49"/>
  <c r="BR177" i="49"/>
  <c r="BO177" i="49"/>
  <c r="BL177" i="49"/>
  <c r="BH177" i="49"/>
  <c r="BI177" i="49" s="1"/>
  <c r="BD177" i="49"/>
  <c r="BE177" i="49" s="1"/>
  <c r="AZ177" i="49"/>
  <c r="BA177" i="49" s="1"/>
  <c r="AV177" i="49"/>
  <c r="AW177" i="49" s="1"/>
  <c r="AR177" i="49"/>
  <c r="AS177" i="49" s="1"/>
  <c r="AN177" i="49"/>
  <c r="AO177" i="49" s="1"/>
  <c r="AJ177" i="49"/>
  <c r="AK177" i="49" s="1"/>
  <c r="AF177" i="49"/>
  <c r="AG177" i="49" s="1"/>
  <c r="AB177" i="49"/>
  <c r="AC177" i="49" s="1"/>
  <c r="X177" i="49"/>
  <c r="Y177" i="49" s="1"/>
  <c r="S177" i="49"/>
  <c r="BR176" i="49"/>
  <c r="BO176" i="49"/>
  <c r="BL176" i="49"/>
  <c r="BH176" i="49"/>
  <c r="BI176" i="49" s="1"/>
  <c r="BD176" i="49"/>
  <c r="BE176" i="49" s="1"/>
  <c r="AZ176" i="49"/>
  <c r="BA176" i="49" s="1"/>
  <c r="AV176" i="49"/>
  <c r="AW176" i="49" s="1"/>
  <c r="AR176" i="49"/>
  <c r="AS176" i="49" s="1"/>
  <c r="AN176" i="49"/>
  <c r="AO176" i="49" s="1"/>
  <c r="AJ176" i="49"/>
  <c r="AK176" i="49" s="1"/>
  <c r="AF176" i="49"/>
  <c r="AG176" i="49" s="1"/>
  <c r="AB176" i="49"/>
  <c r="AC176" i="49" s="1"/>
  <c r="X176" i="49"/>
  <c r="Y176" i="49" s="1"/>
  <c r="S176" i="49"/>
  <c r="BR175" i="49"/>
  <c r="BO175" i="49"/>
  <c r="BL175" i="49"/>
  <c r="BH175" i="49"/>
  <c r="BI175" i="49" s="1"/>
  <c r="BD175" i="49"/>
  <c r="BE175" i="49" s="1"/>
  <c r="AZ175" i="49"/>
  <c r="BA175" i="49" s="1"/>
  <c r="AV175" i="49"/>
  <c r="AW175" i="49" s="1"/>
  <c r="AR175" i="49"/>
  <c r="AS175" i="49" s="1"/>
  <c r="AN175" i="49"/>
  <c r="AO175" i="49" s="1"/>
  <c r="AJ175" i="49"/>
  <c r="AK175" i="49" s="1"/>
  <c r="AF175" i="49"/>
  <c r="AG175" i="49" s="1"/>
  <c r="AB175" i="49"/>
  <c r="AC175" i="49" s="1"/>
  <c r="X175" i="49"/>
  <c r="Y175" i="49" s="1"/>
  <c r="S175" i="49"/>
  <c r="BR173" i="49"/>
  <c r="BO173" i="49"/>
  <c r="BL173" i="49"/>
  <c r="BH173" i="49"/>
  <c r="BI173" i="49" s="1"/>
  <c r="BD173" i="49"/>
  <c r="BE173" i="49" s="1"/>
  <c r="AZ173" i="49"/>
  <c r="BA173" i="49" s="1"/>
  <c r="AV173" i="49"/>
  <c r="AW173" i="49" s="1"/>
  <c r="AR173" i="49"/>
  <c r="AS173" i="49" s="1"/>
  <c r="AN173" i="49"/>
  <c r="AO173" i="49" s="1"/>
  <c r="AJ173" i="49"/>
  <c r="AK173" i="49" s="1"/>
  <c r="AF173" i="49"/>
  <c r="AG173" i="49" s="1"/>
  <c r="AB173" i="49"/>
  <c r="AC173" i="49" s="1"/>
  <c r="X173" i="49"/>
  <c r="Y173" i="49" s="1"/>
  <c r="S173" i="49"/>
  <c r="A189" i="49"/>
  <c r="A190" i="49" s="1"/>
  <c r="F156" i="49"/>
  <c r="F157" i="49"/>
  <c r="F158" i="49"/>
  <c r="F159" i="49"/>
  <c r="F160" i="49"/>
  <c r="F161" i="49"/>
  <c r="F162" i="49"/>
  <c r="F163" i="49"/>
  <c r="F165" i="49"/>
  <c r="F166" i="49"/>
  <c r="F167" i="49"/>
  <c r="F168" i="49"/>
  <c r="F169" i="49"/>
  <c r="F170" i="49"/>
  <c r="F171" i="49"/>
  <c r="F155" i="49"/>
  <c r="F125" i="49"/>
  <c r="F126" i="49"/>
  <c r="F127" i="49"/>
  <c r="F128" i="49"/>
  <c r="F129" i="49"/>
  <c r="F130" i="49"/>
  <c r="F131" i="49"/>
  <c r="F132" i="49"/>
  <c r="F133" i="49"/>
  <c r="F134" i="49"/>
  <c r="F135" i="49"/>
  <c r="F136" i="49"/>
  <c r="F137" i="49"/>
  <c r="F138" i="49"/>
  <c r="F139" i="49"/>
  <c r="F140" i="49"/>
  <c r="F141" i="49"/>
  <c r="F142" i="49"/>
  <c r="F143" i="49"/>
  <c r="F144" i="49"/>
  <c r="F145" i="49"/>
  <c r="F146" i="49"/>
  <c r="F147" i="49"/>
  <c r="F148" i="49"/>
  <c r="F149" i="49"/>
  <c r="F150" i="49"/>
  <c r="F151" i="49"/>
  <c r="F152" i="49"/>
  <c r="F153" i="49"/>
  <c r="F124" i="49"/>
  <c r="F101" i="49"/>
  <c r="F102" i="49"/>
  <c r="F103" i="49"/>
  <c r="F104" i="49"/>
  <c r="F105" i="49"/>
  <c r="F106" i="49"/>
  <c r="F107" i="49"/>
  <c r="F108" i="49"/>
  <c r="F109" i="49"/>
  <c r="F110" i="49"/>
  <c r="F111" i="49"/>
  <c r="F112" i="49"/>
  <c r="F113" i="49"/>
  <c r="F114" i="49"/>
  <c r="F115" i="49"/>
  <c r="F116" i="49"/>
  <c r="F117" i="49"/>
  <c r="F118" i="49"/>
  <c r="F119" i="49"/>
  <c r="F120" i="49"/>
  <c r="F121" i="49"/>
  <c r="F122" i="49"/>
  <c r="F100" i="49"/>
  <c r="F77" i="49"/>
  <c r="F78" i="49"/>
  <c r="F79" i="49"/>
  <c r="F80" i="49"/>
  <c r="F81" i="49"/>
  <c r="F82" i="49"/>
  <c r="F83" i="49"/>
  <c r="F84" i="49"/>
  <c r="F85" i="49"/>
  <c r="F86" i="49"/>
  <c r="F87" i="49"/>
  <c r="F88" i="49"/>
  <c r="F89" i="49"/>
  <c r="F90" i="49"/>
  <c r="F91" i="49"/>
  <c r="F92" i="49"/>
  <c r="F93" i="49"/>
  <c r="F94" i="49"/>
  <c r="F95" i="49"/>
  <c r="F96" i="49"/>
  <c r="F97" i="49"/>
  <c r="F98" i="49"/>
  <c r="F74" i="49"/>
  <c r="F76" i="49"/>
  <c r="F73" i="49"/>
  <c r="F65" i="49"/>
  <c r="F66" i="49"/>
  <c r="F67" i="49"/>
  <c r="F68" i="49"/>
  <c r="F69" i="49"/>
  <c r="F70" i="49"/>
  <c r="F71" i="49"/>
  <c r="F64" i="49"/>
  <c r="F63" i="49"/>
  <c r="F62" i="49"/>
  <c r="F47" i="49"/>
  <c r="F48" i="49"/>
  <c r="F49" i="49"/>
  <c r="F50" i="49"/>
  <c r="F51" i="49"/>
  <c r="F52" i="49"/>
  <c r="F53" i="49"/>
  <c r="F54" i="49"/>
  <c r="F55" i="49"/>
  <c r="F56" i="49"/>
  <c r="F57" i="49"/>
  <c r="F58" i="49"/>
  <c r="F59" i="49"/>
  <c r="F60" i="49"/>
  <c r="BR172" i="49"/>
  <c r="BO172" i="49"/>
  <c r="BL172" i="49"/>
  <c r="BH172" i="49"/>
  <c r="BI172" i="49" s="1"/>
  <c r="BD172" i="49"/>
  <c r="BE172" i="49" s="1"/>
  <c r="AZ172" i="49"/>
  <c r="BA172" i="49" s="1"/>
  <c r="AV172" i="49"/>
  <c r="AW172" i="49" s="1"/>
  <c r="AR172" i="49"/>
  <c r="AS172" i="49" s="1"/>
  <c r="AN172" i="49"/>
  <c r="AO172" i="49" s="1"/>
  <c r="AJ172" i="49"/>
  <c r="AK172" i="49" s="1"/>
  <c r="AF172" i="49"/>
  <c r="AG172" i="49" s="1"/>
  <c r="AB172" i="49"/>
  <c r="AC172" i="49" s="1"/>
  <c r="X172" i="49"/>
  <c r="Y172" i="49" s="1"/>
  <c r="BQ171" i="49"/>
  <c r="BP171" i="49"/>
  <c r="BN171" i="49"/>
  <c r="BM171" i="49"/>
  <c r="BG171" i="49"/>
  <c r="BF171" i="49"/>
  <c r="BC171" i="49"/>
  <c r="BB171" i="49"/>
  <c r="AY171" i="49"/>
  <c r="AX171" i="49"/>
  <c r="AU171" i="49"/>
  <c r="AT171" i="49"/>
  <c r="AQ171" i="49"/>
  <c r="AP171" i="49"/>
  <c r="AM171" i="49"/>
  <c r="AL171" i="49"/>
  <c r="AI171" i="49"/>
  <c r="AH171" i="49"/>
  <c r="AE171" i="49"/>
  <c r="AD171" i="49"/>
  <c r="AA171" i="49"/>
  <c r="Z171" i="49"/>
  <c r="W171" i="49"/>
  <c r="V171" i="49"/>
  <c r="U171" i="49"/>
  <c r="T171" i="49"/>
  <c r="R171" i="49"/>
  <c r="S172" i="49" s="1"/>
  <c r="M171" i="49"/>
  <c r="L171" i="49"/>
  <c r="K171" i="49"/>
  <c r="J171" i="49"/>
  <c r="BR170" i="49"/>
  <c r="BO170" i="49"/>
  <c r="BL170" i="49"/>
  <c r="BH170" i="49"/>
  <c r="BI170" i="49" s="1"/>
  <c r="BD170" i="49"/>
  <c r="BE170" i="49" s="1"/>
  <c r="AZ170" i="49"/>
  <c r="BA170" i="49" s="1"/>
  <c r="AV170" i="49"/>
  <c r="AW170" i="49" s="1"/>
  <c r="AR170" i="49"/>
  <c r="AS170" i="49" s="1"/>
  <c r="AN170" i="49"/>
  <c r="AO170" i="49" s="1"/>
  <c r="AJ170" i="49"/>
  <c r="AK170" i="49" s="1"/>
  <c r="AF170" i="49"/>
  <c r="AG170" i="49" s="1"/>
  <c r="AB170" i="49"/>
  <c r="AC170" i="49" s="1"/>
  <c r="X170" i="49"/>
  <c r="Y170" i="49" s="1"/>
  <c r="S170" i="49"/>
  <c r="S171" i="49" s="1"/>
  <c r="BR169" i="49"/>
  <c r="BO169" i="49"/>
  <c r="BL169" i="49"/>
  <c r="BH169" i="49"/>
  <c r="BI169" i="49" s="1"/>
  <c r="BD169" i="49"/>
  <c r="BE169" i="49" s="1"/>
  <c r="AZ169" i="49"/>
  <c r="AV169" i="49"/>
  <c r="AW169" i="49" s="1"/>
  <c r="AR169" i="49"/>
  <c r="AN169" i="49"/>
  <c r="AO169" i="49" s="1"/>
  <c r="AJ169" i="49"/>
  <c r="AK169" i="49" s="1"/>
  <c r="AF169" i="49"/>
  <c r="AG169" i="49" s="1"/>
  <c r="AB169" i="49"/>
  <c r="AC169" i="49" s="1"/>
  <c r="X169" i="49"/>
  <c r="Y169" i="49" s="1"/>
  <c r="BQ168" i="49"/>
  <c r="BP168" i="49"/>
  <c r="BN168" i="49"/>
  <c r="BM168" i="49"/>
  <c r="BG168" i="49"/>
  <c r="BF168" i="49"/>
  <c r="BC168" i="49"/>
  <c r="BB168" i="49"/>
  <c r="AY168" i="49"/>
  <c r="AX168" i="49"/>
  <c r="AU168" i="49"/>
  <c r="AT168" i="49"/>
  <c r="AQ168" i="49"/>
  <c r="AP168" i="49"/>
  <c r="AM168" i="49"/>
  <c r="AL168" i="49"/>
  <c r="AI168" i="49"/>
  <c r="AH168" i="49"/>
  <c r="AE168" i="49"/>
  <c r="AD168" i="49"/>
  <c r="AA168" i="49"/>
  <c r="Z168" i="49"/>
  <c r="W168" i="49"/>
  <c r="V168" i="49"/>
  <c r="U168" i="49"/>
  <c r="T168" i="49"/>
  <c r="R168" i="49"/>
  <c r="S169" i="49" s="1"/>
  <c r="M168" i="49"/>
  <c r="L168" i="49"/>
  <c r="K168" i="49"/>
  <c r="J168" i="49"/>
  <c r="BR167" i="49"/>
  <c r="BO167" i="49"/>
  <c r="BL167" i="49"/>
  <c r="BH167" i="49"/>
  <c r="BI167" i="49" s="1"/>
  <c r="BD167" i="49"/>
  <c r="BE167" i="49" s="1"/>
  <c r="AZ167" i="49"/>
  <c r="BA167" i="49" s="1"/>
  <c r="AV167" i="49"/>
  <c r="AW167" i="49" s="1"/>
  <c r="AR167" i="49"/>
  <c r="AS167" i="49" s="1"/>
  <c r="AN167" i="49"/>
  <c r="AO167" i="49" s="1"/>
  <c r="AJ167" i="49"/>
  <c r="AK167" i="49" s="1"/>
  <c r="AF167" i="49"/>
  <c r="AG167" i="49" s="1"/>
  <c r="AB167" i="49"/>
  <c r="AC167" i="49" s="1"/>
  <c r="X167" i="49"/>
  <c r="Y167" i="49" s="1"/>
  <c r="S167" i="49"/>
  <c r="S168" i="49" s="1"/>
  <c r="BR166" i="49"/>
  <c r="BO166" i="49"/>
  <c r="BL166" i="49"/>
  <c r="BH166" i="49"/>
  <c r="BD166" i="49"/>
  <c r="BE166" i="49" s="1"/>
  <c r="AZ166" i="49"/>
  <c r="AV166" i="49"/>
  <c r="AW166" i="49" s="1"/>
  <c r="AR166" i="49"/>
  <c r="AN166" i="49"/>
  <c r="AO166" i="49" s="1"/>
  <c r="AJ166" i="49"/>
  <c r="AK166" i="49" s="1"/>
  <c r="AF166" i="49"/>
  <c r="AG166" i="49" s="1"/>
  <c r="AB166" i="49"/>
  <c r="X166" i="49"/>
  <c r="Y166" i="49" s="1"/>
  <c r="S166" i="49"/>
  <c r="BR165" i="49"/>
  <c r="BO165" i="49"/>
  <c r="BL165" i="49"/>
  <c r="BH165" i="49"/>
  <c r="BI165" i="49" s="1"/>
  <c r="BD165" i="49"/>
  <c r="BE165" i="49" s="1"/>
  <c r="AZ165" i="49"/>
  <c r="BA165" i="49" s="1"/>
  <c r="AV165" i="49"/>
  <c r="AW165" i="49" s="1"/>
  <c r="AR165" i="49"/>
  <c r="AS165" i="49" s="1"/>
  <c r="AN165" i="49"/>
  <c r="AO165" i="49" s="1"/>
  <c r="AJ165" i="49"/>
  <c r="AK165" i="49" s="1"/>
  <c r="AF165" i="49"/>
  <c r="AG165" i="49" s="1"/>
  <c r="AB165" i="49"/>
  <c r="AC165" i="49" s="1"/>
  <c r="X165" i="49"/>
  <c r="Y165" i="49" s="1"/>
  <c r="BQ164" i="49"/>
  <c r="BP164" i="49"/>
  <c r="BN164" i="49"/>
  <c r="BM164" i="49"/>
  <c r="BG164" i="49"/>
  <c r="BF164" i="49"/>
  <c r="BC164" i="49"/>
  <c r="BB164" i="49"/>
  <c r="AY164" i="49"/>
  <c r="AX164" i="49"/>
  <c r="AU164" i="49"/>
  <c r="AT164" i="49"/>
  <c r="AQ164" i="49"/>
  <c r="AP164" i="49"/>
  <c r="AM164" i="49"/>
  <c r="AL164" i="49"/>
  <c r="AI164" i="49"/>
  <c r="AH164" i="49"/>
  <c r="AE164" i="49"/>
  <c r="AD164" i="49"/>
  <c r="AA164" i="49"/>
  <c r="Z164" i="49"/>
  <c r="W164" i="49"/>
  <c r="V164" i="49"/>
  <c r="U164" i="49"/>
  <c r="T164" i="49"/>
  <c r="R164" i="49"/>
  <c r="S165" i="49" s="1"/>
  <c r="M164" i="49"/>
  <c r="L164" i="49"/>
  <c r="K164" i="49"/>
  <c r="J164" i="49"/>
  <c r="BR163" i="49"/>
  <c r="BR162" i="49" s="1"/>
  <c r="BR164" i="49" s="1"/>
  <c r="BO163" i="49"/>
  <c r="BO162" i="49" s="1"/>
  <c r="BO164" i="49" s="1"/>
  <c r="BL163" i="49"/>
  <c r="BL162" i="49" s="1"/>
  <c r="BL164" i="49" s="1"/>
  <c r="BH163" i="49"/>
  <c r="BI163" i="49" s="1"/>
  <c r="BD163" i="49"/>
  <c r="BE163" i="49" s="1"/>
  <c r="AZ163" i="49"/>
  <c r="BA163" i="49" s="1"/>
  <c r="AV163" i="49"/>
  <c r="AW163" i="49" s="1"/>
  <c r="AR163" i="49"/>
  <c r="AS163" i="49" s="1"/>
  <c r="AN163" i="49"/>
  <c r="AN162" i="49" s="1"/>
  <c r="AO162" i="49" s="1"/>
  <c r="AJ163" i="49"/>
  <c r="AK163" i="49" s="1"/>
  <c r="AF163" i="49"/>
  <c r="AG163" i="49" s="1"/>
  <c r="AB163" i="49"/>
  <c r="AB162" i="49" s="1"/>
  <c r="AB164" i="49" s="1"/>
  <c r="X163" i="49"/>
  <c r="Y163" i="49" s="1"/>
  <c r="S163" i="49"/>
  <c r="S164" i="49" s="1"/>
  <c r="S162" i="49"/>
  <c r="BR161" i="49"/>
  <c r="BO161" i="49"/>
  <c r="BL161" i="49"/>
  <c r="BH161" i="49"/>
  <c r="BI161" i="49" s="1"/>
  <c r="BD161" i="49"/>
  <c r="BE161" i="49" s="1"/>
  <c r="AZ161" i="49"/>
  <c r="BA161" i="49" s="1"/>
  <c r="AV161" i="49"/>
  <c r="AW161" i="49" s="1"/>
  <c r="AR161" i="49"/>
  <c r="AS161" i="49" s="1"/>
  <c r="AN161" i="49"/>
  <c r="AO161" i="49" s="1"/>
  <c r="AJ161" i="49"/>
  <c r="AK161" i="49" s="1"/>
  <c r="AF161" i="49"/>
  <c r="AG161" i="49" s="1"/>
  <c r="AB161" i="49"/>
  <c r="AC161" i="49" s="1"/>
  <c r="X161" i="49"/>
  <c r="Y161" i="49" s="1"/>
  <c r="BQ160" i="49"/>
  <c r="BP160" i="49"/>
  <c r="BN160" i="49"/>
  <c r="BM160" i="49"/>
  <c r="BG160" i="49"/>
  <c r="BF160" i="49"/>
  <c r="BC160" i="49"/>
  <c r="BB160" i="49"/>
  <c r="AY160" i="49"/>
  <c r="AX160" i="49"/>
  <c r="AU160" i="49"/>
  <c r="AT160" i="49"/>
  <c r="AQ160" i="49"/>
  <c r="AP160" i="49"/>
  <c r="AM160" i="49"/>
  <c r="AL160" i="49"/>
  <c r="AI160" i="49"/>
  <c r="AH160" i="49"/>
  <c r="AE160" i="49"/>
  <c r="AD160" i="49"/>
  <c r="AA160" i="49"/>
  <c r="Z160" i="49"/>
  <c r="W160" i="49"/>
  <c r="V160" i="49"/>
  <c r="U160" i="49"/>
  <c r="T160" i="49"/>
  <c r="R160" i="49"/>
  <c r="S161" i="49" s="1"/>
  <c r="M160" i="49"/>
  <c r="L160" i="49"/>
  <c r="K160" i="49"/>
  <c r="J160" i="49"/>
  <c r="BR159" i="49"/>
  <c r="BO159" i="49"/>
  <c r="BL159" i="49"/>
  <c r="BH159" i="49"/>
  <c r="BI159" i="49" s="1"/>
  <c r="BD159" i="49"/>
  <c r="BE159" i="49" s="1"/>
  <c r="AZ159" i="49"/>
  <c r="BA159" i="49" s="1"/>
  <c r="AV159" i="49"/>
  <c r="AW159" i="49" s="1"/>
  <c r="AR159" i="49"/>
  <c r="AS159" i="49" s="1"/>
  <c r="AN159" i="49"/>
  <c r="AO159" i="49" s="1"/>
  <c r="AJ159" i="49"/>
  <c r="AK159" i="49" s="1"/>
  <c r="AF159" i="49"/>
  <c r="AG159" i="49" s="1"/>
  <c r="AB159" i="49"/>
  <c r="AC159" i="49" s="1"/>
  <c r="X159" i="49"/>
  <c r="Y159" i="49" s="1"/>
  <c r="S159" i="49"/>
  <c r="S160" i="49" s="1"/>
  <c r="BR158" i="49"/>
  <c r="BO158" i="49"/>
  <c r="BL158" i="49"/>
  <c r="BH158" i="49"/>
  <c r="BD158" i="49"/>
  <c r="BE158" i="49" s="1"/>
  <c r="AZ158" i="49"/>
  <c r="BA158" i="49" s="1"/>
  <c r="AV158" i="49"/>
  <c r="AW158" i="49" s="1"/>
  <c r="AR158" i="49"/>
  <c r="AN158" i="49"/>
  <c r="AO158" i="49" s="1"/>
  <c r="AJ158" i="49"/>
  <c r="AF158" i="49"/>
  <c r="AG158" i="49" s="1"/>
  <c r="AB158" i="49"/>
  <c r="X158" i="49"/>
  <c r="Y158" i="49" s="1"/>
  <c r="BQ157" i="49"/>
  <c r="BP157" i="49"/>
  <c r="BN157" i="49"/>
  <c r="BM157" i="49"/>
  <c r="BG157" i="49"/>
  <c r="BF157" i="49"/>
  <c r="BC157" i="49"/>
  <c r="BB157" i="49"/>
  <c r="AY157" i="49"/>
  <c r="AX157" i="49"/>
  <c r="AU157" i="49"/>
  <c r="AT157" i="49"/>
  <c r="AQ157" i="49"/>
  <c r="AP157" i="49"/>
  <c r="AM157" i="49"/>
  <c r="AL157" i="49"/>
  <c r="AI157" i="49"/>
  <c r="AH157" i="49"/>
  <c r="AE157" i="49"/>
  <c r="AD157" i="49"/>
  <c r="AA157" i="49"/>
  <c r="Z157" i="49"/>
  <c r="W157" i="49"/>
  <c r="V157" i="49"/>
  <c r="U157" i="49"/>
  <c r="T157" i="49"/>
  <c r="R157" i="49"/>
  <c r="S158" i="49" s="1"/>
  <c r="M157" i="49"/>
  <c r="L157" i="49"/>
  <c r="K157" i="49"/>
  <c r="J157" i="49"/>
  <c r="BR156" i="49"/>
  <c r="BO156" i="49"/>
  <c r="BL156" i="49"/>
  <c r="BH156" i="49"/>
  <c r="BI156" i="49" s="1"/>
  <c r="BD156" i="49"/>
  <c r="BE156" i="49" s="1"/>
  <c r="AZ156" i="49"/>
  <c r="BA156" i="49" s="1"/>
  <c r="AV156" i="49"/>
  <c r="AW156" i="49" s="1"/>
  <c r="AR156" i="49"/>
  <c r="AS156" i="49" s="1"/>
  <c r="AN156" i="49"/>
  <c r="AO156" i="49" s="1"/>
  <c r="AJ156" i="49"/>
  <c r="AK156" i="49" s="1"/>
  <c r="AF156" i="49"/>
  <c r="AG156" i="49" s="1"/>
  <c r="AB156" i="49"/>
  <c r="AC156" i="49" s="1"/>
  <c r="X156" i="49"/>
  <c r="Y156" i="49" s="1"/>
  <c r="S156" i="49"/>
  <c r="S157" i="49" s="1"/>
  <c r="BR155" i="49"/>
  <c r="BO155" i="49"/>
  <c r="BL155" i="49"/>
  <c r="BH155" i="49"/>
  <c r="BD155" i="49"/>
  <c r="BE155" i="49" s="1"/>
  <c r="AZ155" i="49"/>
  <c r="BA155" i="49" s="1"/>
  <c r="AV155" i="49"/>
  <c r="AW155" i="49" s="1"/>
  <c r="AR155" i="49"/>
  <c r="AN155" i="49"/>
  <c r="AO155" i="49" s="1"/>
  <c r="AJ155" i="49"/>
  <c r="AK155" i="49" s="1"/>
  <c r="AF155" i="49"/>
  <c r="AG155" i="49" s="1"/>
  <c r="AB155" i="49"/>
  <c r="X155" i="49"/>
  <c r="Y155" i="49" s="1"/>
  <c r="S155" i="49"/>
  <c r="O62" i="76" l="1"/>
  <c r="T66" i="76" s="1"/>
  <c r="T58" i="76"/>
  <c r="AH74" i="76" s="1"/>
  <c r="K54" i="76"/>
  <c r="G54" i="76"/>
  <c r="Y63" i="76"/>
  <c r="AI13" i="76" s="1"/>
  <c r="X63" i="76"/>
  <c r="AI37" i="76" s="1"/>
  <c r="BO190" i="49"/>
  <c r="BL160" i="49"/>
  <c r="AH10" i="76"/>
  <c r="W57" i="76"/>
  <c r="A191" i="49"/>
  <c r="B53" i="76"/>
  <c r="AI10" i="76"/>
  <c r="W65" i="76"/>
  <c r="U55" i="76"/>
  <c r="A233" i="49"/>
  <c r="A234" i="49" s="1"/>
  <c r="A235" i="49" s="1"/>
  <c r="A236" i="49" s="1"/>
  <c r="A237" i="49" s="1"/>
  <c r="A238" i="49" s="1"/>
  <c r="A239" i="49" s="1"/>
  <c r="A240" i="49" s="1"/>
  <c r="A241" i="49" s="1"/>
  <c r="A242" i="49" s="1"/>
  <c r="A243" i="49" s="1"/>
  <c r="A244" i="49" s="1"/>
  <c r="A245" i="49" s="1"/>
  <c r="B20" i="76"/>
  <c r="X201" i="49"/>
  <c r="Y201" i="49" s="1"/>
  <c r="AF201" i="49"/>
  <c r="AG201" i="49" s="1"/>
  <c r="AZ201" i="49"/>
  <c r="BA201" i="49" s="1"/>
  <c r="AJ201" i="49"/>
  <c r="AK201" i="49" s="1"/>
  <c r="BD201" i="49"/>
  <c r="BE201" i="49" s="1"/>
  <c r="AW199" i="49"/>
  <c r="AV201" i="49"/>
  <c r="AW201" i="49" s="1"/>
  <c r="BL190" i="49"/>
  <c r="BL168" i="49"/>
  <c r="BR171" i="49"/>
  <c r="BO168" i="49"/>
  <c r="BL157" i="49"/>
  <c r="AB194" i="49"/>
  <c r="AC194" i="49" s="1"/>
  <c r="BR194" i="49"/>
  <c r="BL194" i="49"/>
  <c r="AZ194" i="49"/>
  <c r="BA194" i="49" s="1"/>
  <c r="AR194" i="49"/>
  <c r="AS194" i="49" s="1"/>
  <c r="BR190" i="49"/>
  <c r="BH190" i="49"/>
  <c r="BI190" i="49" s="1"/>
  <c r="AR190" i="49"/>
  <c r="AS190" i="49" s="1"/>
  <c r="AB190" i="49"/>
  <c r="AC190" i="49" s="1"/>
  <c r="AF190" i="49"/>
  <c r="AG190" i="49" s="1"/>
  <c r="BH194" i="49"/>
  <c r="BI194" i="49" s="1"/>
  <c r="BD194" i="49"/>
  <c r="BE194" i="49" s="1"/>
  <c r="BA192" i="49"/>
  <c r="AV194" i="49"/>
  <c r="AW194" i="49" s="1"/>
  <c r="AN194" i="49"/>
  <c r="AO194" i="49" s="1"/>
  <c r="AJ194" i="49"/>
  <c r="AK194" i="49" s="1"/>
  <c r="AF194" i="49"/>
  <c r="AG194" i="49" s="1"/>
  <c r="AC192" i="49"/>
  <c r="X194" i="49"/>
  <c r="Y194" i="49" s="1"/>
  <c r="BI188" i="49"/>
  <c r="BD190" i="49"/>
  <c r="BE190" i="49" s="1"/>
  <c r="AZ190" i="49"/>
  <c r="BA190" i="49" s="1"/>
  <c r="AV190" i="49"/>
  <c r="AW190" i="49" s="1"/>
  <c r="AS188" i="49"/>
  <c r="AN190" i="49"/>
  <c r="AO190" i="49" s="1"/>
  <c r="AJ190" i="49"/>
  <c r="AK190" i="49" s="1"/>
  <c r="AC188" i="49"/>
  <c r="X190" i="49"/>
  <c r="Y190" i="49" s="1"/>
  <c r="S191" i="49"/>
  <c r="BO171" i="49"/>
  <c r="BL171" i="49"/>
  <c r="AZ171" i="49"/>
  <c r="BA171" i="49" s="1"/>
  <c r="AR171" i="49"/>
  <c r="AS171" i="49" s="1"/>
  <c r="AN171" i="49"/>
  <c r="AO171" i="49" s="1"/>
  <c r="BR168" i="49"/>
  <c r="BH168" i="49"/>
  <c r="AZ168" i="49"/>
  <c r="BA168" i="49" s="1"/>
  <c r="AR168" i="49"/>
  <c r="AS168" i="49" s="1"/>
  <c r="AB168" i="49"/>
  <c r="AC168" i="49" s="1"/>
  <c r="BI168" i="49"/>
  <c r="AZ162" i="49"/>
  <c r="AZ164" i="49" s="1"/>
  <c r="BA164" i="49" s="1"/>
  <c r="AR162" i="49"/>
  <c r="AS162" i="49" s="1"/>
  <c r="AJ162" i="49"/>
  <c r="AK162" i="49" s="1"/>
  <c r="AF162" i="49"/>
  <c r="AG162" i="49" s="1"/>
  <c r="BR160" i="49"/>
  <c r="BO160" i="49"/>
  <c r="BH160" i="49"/>
  <c r="BI160" i="49" s="1"/>
  <c r="AR160" i="49"/>
  <c r="AS160" i="49" s="1"/>
  <c r="AJ160" i="49"/>
  <c r="AK160" i="49" s="1"/>
  <c r="AB160" i="49"/>
  <c r="AC160" i="49" s="1"/>
  <c r="BR157" i="49"/>
  <c r="BO157" i="49"/>
  <c r="BH157" i="49"/>
  <c r="BI157" i="49" s="1"/>
  <c r="AR157" i="49"/>
  <c r="AS157" i="49" s="1"/>
  <c r="AB157" i="49"/>
  <c r="BH171" i="49"/>
  <c r="BI171" i="49" s="1"/>
  <c r="BD171" i="49"/>
  <c r="BE171" i="49" s="1"/>
  <c r="BA169" i="49"/>
  <c r="AV171" i="49"/>
  <c r="AW171" i="49" s="1"/>
  <c r="AS169" i="49"/>
  <c r="AJ171" i="49"/>
  <c r="AK171" i="49" s="1"/>
  <c r="AF171" i="49"/>
  <c r="AG171" i="49" s="1"/>
  <c r="AB171" i="49"/>
  <c r="AC171" i="49" s="1"/>
  <c r="X171" i="49"/>
  <c r="Y171" i="49" s="1"/>
  <c r="BI166" i="49"/>
  <c r="BD168" i="49"/>
  <c r="BE168" i="49" s="1"/>
  <c r="BA166" i="49"/>
  <c r="AV168" i="49"/>
  <c r="AW168" i="49" s="1"/>
  <c r="AS166" i="49"/>
  <c r="AN168" i="49"/>
  <c r="AO168" i="49" s="1"/>
  <c r="AJ168" i="49"/>
  <c r="AK168" i="49" s="1"/>
  <c r="AF168" i="49"/>
  <c r="AG168" i="49" s="1"/>
  <c r="AC166" i="49"/>
  <c r="X168" i="49"/>
  <c r="Y168" i="49" s="1"/>
  <c r="BH162" i="49"/>
  <c r="BH164" i="49" s="1"/>
  <c r="BI164" i="49" s="1"/>
  <c r="BD162" i="49"/>
  <c r="BE162" i="49" s="1"/>
  <c r="AC163" i="49"/>
  <c r="X162" i="49"/>
  <c r="Y162" i="49" s="1"/>
  <c r="AN164" i="49"/>
  <c r="AO164" i="49" s="1"/>
  <c r="AJ164" i="49"/>
  <c r="AK164" i="49" s="1"/>
  <c r="AC162" i="49"/>
  <c r="AC164" i="49"/>
  <c r="BI158" i="49"/>
  <c r="BD160" i="49"/>
  <c r="BE160" i="49" s="1"/>
  <c r="AZ160" i="49"/>
  <c r="BA160" i="49" s="1"/>
  <c r="AV160" i="49"/>
  <c r="AW160" i="49" s="1"/>
  <c r="AS158" i="49"/>
  <c r="AN160" i="49"/>
  <c r="AO160" i="49" s="1"/>
  <c r="AK158" i="49"/>
  <c r="AF160" i="49"/>
  <c r="AG160" i="49" s="1"/>
  <c r="AC158" i="49"/>
  <c r="X160" i="49"/>
  <c r="Y160" i="49" s="1"/>
  <c r="BI155" i="49"/>
  <c r="BD157" i="49"/>
  <c r="BE157" i="49" s="1"/>
  <c r="AZ157" i="49"/>
  <c r="BA157" i="49" s="1"/>
  <c r="AV157" i="49"/>
  <c r="AW157" i="49" s="1"/>
  <c r="AS155" i="49"/>
  <c r="AN157" i="49"/>
  <c r="AO157" i="49" s="1"/>
  <c r="AJ157" i="49"/>
  <c r="AK157" i="49" s="1"/>
  <c r="AF157" i="49"/>
  <c r="AG157" i="49" s="1"/>
  <c r="AC155" i="49"/>
  <c r="X157" i="49"/>
  <c r="Y157" i="49" s="1"/>
  <c r="AC157" i="49"/>
  <c r="AV162" i="49"/>
  <c r="AO163" i="49"/>
  <c r="BR153" i="49"/>
  <c r="BO153" i="49"/>
  <c r="BL153" i="49"/>
  <c r="BH153" i="49"/>
  <c r="BI153" i="49" s="1"/>
  <c r="BD153" i="49"/>
  <c r="BE153" i="49" s="1"/>
  <c r="AZ153" i="49"/>
  <c r="BA153" i="49" s="1"/>
  <c r="AV153" i="49"/>
  <c r="AW153" i="49" s="1"/>
  <c r="AR153" i="49"/>
  <c r="AS153" i="49" s="1"/>
  <c r="AN153" i="49"/>
  <c r="AO153" i="49" s="1"/>
  <c r="AJ153" i="49"/>
  <c r="AK153" i="49" s="1"/>
  <c r="AF153" i="49"/>
  <c r="AG153" i="49" s="1"/>
  <c r="AB153" i="49"/>
  <c r="AC153" i="49" s="1"/>
  <c r="X153" i="49"/>
  <c r="Y153" i="49" s="1"/>
  <c r="S153" i="49"/>
  <c r="BR152" i="49"/>
  <c r="BO152" i="49"/>
  <c r="BL152" i="49"/>
  <c r="BH152" i="49"/>
  <c r="BI152" i="49" s="1"/>
  <c r="BD152" i="49"/>
  <c r="BE152" i="49" s="1"/>
  <c r="AZ152" i="49"/>
  <c r="BA152" i="49" s="1"/>
  <c r="AV152" i="49"/>
  <c r="AW152" i="49" s="1"/>
  <c r="AR152" i="49"/>
  <c r="AS152" i="49" s="1"/>
  <c r="AN152" i="49"/>
  <c r="AO152" i="49" s="1"/>
  <c r="AJ152" i="49"/>
  <c r="AK152" i="49" s="1"/>
  <c r="AF152" i="49"/>
  <c r="AG152" i="49" s="1"/>
  <c r="AB152" i="49"/>
  <c r="AC152" i="49" s="1"/>
  <c r="X152" i="49"/>
  <c r="Y152" i="49" s="1"/>
  <c r="S152" i="49"/>
  <c r="BR151" i="49"/>
  <c r="BO151" i="49"/>
  <c r="BL151" i="49"/>
  <c r="BH151" i="49"/>
  <c r="BI151" i="49" s="1"/>
  <c r="BD151" i="49"/>
  <c r="BE151" i="49" s="1"/>
  <c r="AZ151" i="49"/>
  <c r="BA151" i="49" s="1"/>
  <c r="AV151" i="49"/>
  <c r="AW151" i="49" s="1"/>
  <c r="AR151" i="49"/>
  <c r="AS151" i="49" s="1"/>
  <c r="AN151" i="49"/>
  <c r="AO151" i="49" s="1"/>
  <c r="AJ151" i="49"/>
  <c r="AK151" i="49" s="1"/>
  <c r="AF151" i="49"/>
  <c r="AG151" i="49" s="1"/>
  <c r="AB151" i="49"/>
  <c r="AC151" i="49" s="1"/>
  <c r="X151" i="49"/>
  <c r="Y151" i="49" s="1"/>
  <c r="S151" i="49"/>
  <c r="BR150" i="49"/>
  <c r="BO150" i="49"/>
  <c r="BL150" i="49"/>
  <c r="BH150" i="49"/>
  <c r="BI150" i="49" s="1"/>
  <c r="BD150" i="49"/>
  <c r="BE150" i="49" s="1"/>
  <c r="AZ150" i="49"/>
  <c r="BA150" i="49" s="1"/>
  <c r="AV150" i="49"/>
  <c r="AW150" i="49" s="1"/>
  <c r="AR150" i="49"/>
  <c r="AS150" i="49" s="1"/>
  <c r="AN150" i="49"/>
  <c r="AO150" i="49" s="1"/>
  <c r="AJ150" i="49"/>
  <c r="AK150" i="49" s="1"/>
  <c r="AF150" i="49"/>
  <c r="AG150" i="49" s="1"/>
  <c r="AB150" i="49"/>
  <c r="AC150" i="49" s="1"/>
  <c r="X150" i="49"/>
  <c r="Y150" i="49" s="1"/>
  <c r="S150" i="49"/>
  <c r="BR149" i="49"/>
  <c r="BO149" i="49"/>
  <c r="BL149" i="49"/>
  <c r="BH149" i="49"/>
  <c r="BI149" i="49" s="1"/>
  <c r="BD149" i="49"/>
  <c r="BE149" i="49" s="1"/>
  <c r="AZ149" i="49"/>
  <c r="BA149" i="49" s="1"/>
  <c r="AV149" i="49"/>
  <c r="AW149" i="49" s="1"/>
  <c r="AR149" i="49"/>
  <c r="AS149" i="49" s="1"/>
  <c r="AN149" i="49"/>
  <c r="AO149" i="49" s="1"/>
  <c r="AJ149" i="49"/>
  <c r="AK149" i="49" s="1"/>
  <c r="AF149" i="49"/>
  <c r="AG149" i="49" s="1"/>
  <c r="AB149" i="49"/>
  <c r="AC149" i="49" s="1"/>
  <c r="X149" i="49"/>
  <c r="Y149" i="49" s="1"/>
  <c r="S149" i="49"/>
  <c r="BR148" i="49"/>
  <c r="BO148" i="49"/>
  <c r="BL148" i="49"/>
  <c r="BH148" i="49"/>
  <c r="BI148" i="49" s="1"/>
  <c r="BD148" i="49"/>
  <c r="BE148" i="49" s="1"/>
  <c r="AZ148" i="49"/>
  <c r="BA148" i="49" s="1"/>
  <c r="AV148" i="49"/>
  <c r="AW148" i="49" s="1"/>
  <c r="AR148" i="49"/>
  <c r="AS148" i="49" s="1"/>
  <c r="AN148" i="49"/>
  <c r="AO148" i="49" s="1"/>
  <c r="AJ148" i="49"/>
  <c r="AK148" i="49" s="1"/>
  <c r="AF148" i="49"/>
  <c r="AG148" i="49" s="1"/>
  <c r="AB148" i="49"/>
  <c r="AC148" i="49" s="1"/>
  <c r="X148" i="49"/>
  <c r="Y148" i="49" s="1"/>
  <c r="S148" i="49"/>
  <c r="BR147" i="49"/>
  <c r="BO147" i="49"/>
  <c r="BL147" i="49"/>
  <c r="BH147" i="49"/>
  <c r="BI147" i="49" s="1"/>
  <c r="BD147" i="49"/>
  <c r="BE147" i="49" s="1"/>
  <c r="AZ147" i="49"/>
  <c r="BA147" i="49" s="1"/>
  <c r="AV147" i="49"/>
  <c r="AW147" i="49" s="1"/>
  <c r="AR147" i="49"/>
  <c r="AS147" i="49" s="1"/>
  <c r="AN147" i="49"/>
  <c r="AO147" i="49" s="1"/>
  <c r="AJ147" i="49"/>
  <c r="AK147" i="49" s="1"/>
  <c r="AF147" i="49"/>
  <c r="AG147" i="49" s="1"/>
  <c r="AB147" i="49"/>
  <c r="AC147" i="49" s="1"/>
  <c r="X147" i="49"/>
  <c r="Y147" i="49" s="1"/>
  <c r="S147" i="49"/>
  <c r="BR146" i="49"/>
  <c r="BO146" i="49"/>
  <c r="BL146" i="49"/>
  <c r="BH146" i="49"/>
  <c r="BI146" i="49" s="1"/>
  <c r="BD146" i="49"/>
  <c r="BE146" i="49" s="1"/>
  <c r="AZ146" i="49"/>
  <c r="BA146" i="49" s="1"/>
  <c r="AV146" i="49"/>
  <c r="AW146" i="49" s="1"/>
  <c r="AR146" i="49"/>
  <c r="AS146" i="49" s="1"/>
  <c r="AN146" i="49"/>
  <c r="AO146" i="49" s="1"/>
  <c r="AJ146" i="49"/>
  <c r="AK146" i="49" s="1"/>
  <c r="AF146" i="49"/>
  <c r="AG146" i="49" s="1"/>
  <c r="AB146" i="49"/>
  <c r="AC146" i="49" s="1"/>
  <c r="X146" i="49"/>
  <c r="Y146" i="49" s="1"/>
  <c r="S146" i="49"/>
  <c r="BR145" i="49"/>
  <c r="BO145" i="49"/>
  <c r="BL145" i="49"/>
  <c r="BH145" i="49"/>
  <c r="BI145" i="49" s="1"/>
  <c r="BD145" i="49"/>
  <c r="BE145" i="49" s="1"/>
  <c r="AZ145" i="49"/>
  <c r="BA145" i="49" s="1"/>
  <c r="AV145" i="49"/>
  <c r="AW145" i="49" s="1"/>
  <c r="AR145" i="49"/>
  <c r="AS145" i="49" s="1"/>
  <c r="AN145" i="49"/>
  <c r="AO145" i="49" s="1"/>
  <c r="AJ145" i="49"/>
  <c r="AK145" i="49" s="1"/>
  <c r="AF145" i="49"/>
  <c r="AG145" i="49" s="1"/>
  <c r="AB145" i="49"/>
  <c r="AC145" i="49" s="1"/>
  <c r="X145" i="49"/>
  <c r="Y145" i="49" s="1"/>
  <c r="S145" i="49"/>
  <c r="BR144" i="49"/>
  <c r="BO144" i="49"/>
  <c r="BL144" i="49"/>
  <c r="BH144" i="49"/>
  <c r="BI144" i="49" s="1"/>
  <c r="BD144" i="49"/>
  <c r="BE144" i="49" s="1"/>
  <c r="AZ144" i="49"/>
  <c r="BA144" i="49" s="1"/>
  <c r="AV144" i="49"/>
  <c r="AW144" i="49" s="1"/>
  <c r="AR144" i="49"/>
  <c r="AS144" i="49" s="1"/>
  <c r="AN144" i="49"/>
  <c r="AO144" i="49" s="1"/>
  <c r="AJ144" i="49"/>
  <c r="AK144" i="49" s="1"/>
  <c r="AF144" i="49"/>
  <c r="AG144" i="49" s="1"/>
  <c r="AB144" i="49"/>
  <c r="AC144" i="49" s="1"/>
  <c r="X144" i="49"/>
  <c r="Y144" i="49" s="1"/>
  <c r="BP143" i="49"/>
  <c r="BM143" i="49"/>
  <c r="BF143" i="49"/>
  <c r="BB143" i="49"/>
  <c r="AX143" i="49"/>
  <c r="AT143" i="49"/>
  <c r="AP143" i="49"/>
  <c r="AL143" i="49"/>
  <c r="AH143" i="49"/>
  <c r="AD143" i="49"/>
  <c r="Z143" i="49"/>
  <c r="V143" i="49"/>
  <c r="T143" i="49"/>
  <c r="BQ142" i="49"/>
  <c r="BQ143" i="49" s="1"/>
  <c r="BP142" i="49"/>
  <c r="BN142" i="49"/>
  <c r="BN143" i="49" s="1"/>
  <c r="BM142" i="49"/>
  <c r="BG142" i="49"/>
  <c r="BG143" i="49" s="1"/>
  <c r="BF142" i="49"/>
  <c r="BC142" i="49"/>
  <c r="BC143" i="49" s="1"/>
  <c r="BB142" i="49"/>
  <c r="AY142" i="49"/>
  <c r="AY143" i="49" s="1"/>
  <c r="AX142" i="49"/>
  <c r="AU142" i="49"/>
  <c r="AU143" i="49" s="1"/>
  <c r="AT142" i="49"/>
  <c r="AQ142" i="49"/>
  <c r="AQ143" i="49" s="1"/>
  <c r="AP142" i="49"/>
  <c r="AM142" i="49"/>
  <c r="AM143" i="49" s="1"/>
  <c r="AL142" i="49"/>
  <c r="AI142" i="49"/>
  <c r="AI143" i="49" s="1"/>
  <c r="AH142" i="49"/>
  <c r="AE142" i="49"/>
  <c r="AE143" i="49" s="1"/>
  <c r="AD142" i="49"/>
  <c r="AA142" i="49"/>
  <c r="AA143" i="49" s="1"/>
  <c r="Z142" i="49"/>
  <c r="W142" i="49"/>
  <c r="W143" i="49" s="1"/>
  <c r="V142" i="49"/>
  <c r="U142" i="49"/>
  <c r="U143" i="49" s="1"/>
  <c r="T142" i="49"/>
  <c r="R142" i="49"/>
  <c r="M142" i="49"/>
  <c r="M143" i="49" s="1"/>
  <c r="L142" i="49"/>
  <c r="L143" i="49" s="1"/>
  <c r="K142" i="49"/>
  <c r="K143" i="49" s="1"/>
  <c r="J142" i="49"/>
  <c r="J143" i="49" s="1"/>
  <c r="BR141" i="49"/>
  <c r="BO141" i="49"/>
  <c r="BL141" i="49"/>
  <c r="BH141" i="49"/>
  <c r="BI141" i="49" s="1"/>
  <c r="BD141" i="49"/>
  <c r="BE141" i="49" s="1"/>
  <c r="AZ141" i="49"/>
  <c r="AV141" i="49"/>
  <c r="AW141" i="49" s="1"/>
  <c r="AR141" i="49"/>
  <c r="AS141" i="49" s="1"/>
  <c r="AN141" i="49"/>
  <c r="AO141" i="49" s="1"/>
  <c r="AJ141" i="49"/>
  <c r="AK141" i="49" s="1"/>
  <c r="AF141" i="49"/>
  <c r="AG141" i="49" s="1"/>
  <c r="AB141" i="49"/>
  <c r="X141" i="49"/>
  <c r="Y141" i="49" s="1"/>
  <c r="S141" i="49"/>
  <c r="S142" i="49" s="1"/>
  <c r="S143" i="49" s="1"/>
  <c r="BR140" i="49"/>
  <c r="BO140" i="49"/>
  <c r="BL140" i="49"/>
  <c r="BH140" i="49"/>
  <c r="BD140" i="49"/>
  <c r="BE140" i="49" s="1"/>
  <c r="AZ140" i="49"/>
  <c r="AV140" i="49"/>
  <c r="AW140" i="49" s="1"/>
  <c r="AR140" i="49"/>
  <c r="AN140" i="49"/>
  <c r="AO140" i="49" s="1"/>
  <c r="AJ140" i="49"/>
  <c r="AK140" i="49" s="1"/>
  <c r="AF140" i="49"/>
  <c r="AG140" i="49" s="1"/>
  <c r="AB140" i="49"/>
  <c r="X140" i="49"/>
  <c r="Y140" i="49" s="1"/>
  <c r="S140" i="49"/>
  <c r="BR139" i="49"/>
  <c r="BO139" i="49"/>
  <c r="BL139" i="49"/>
  <c r="BH139" i="49"/>
  <c r="BI139" i="49" s="1"/>
  <c r="BD139" i="49"/>
  <c r="BE139" i="49" s="1"/>
  <c r="AZ139" i="49"/>
  <c r="BA139" i="49" s="1"/>
  <c r="AV139" i="49"/>
  <c r="AW139" i="49" s="1"/>
  <c r="AR139" i="49"/>
  <c r="AS139" i="49" s="1"/>
  <c r="AN139" i="49"/>
  <c r="AO139" i="49" s="1"/>
  <c r="AJ139" i="49"/>
  <c r="AK139" i="49" s="1"/>
  <c r="AF139" i="49"/>
  <c r="AG139" i="49" s="1"/>
  <c r="AB139" i="49"/>
  <c r="AC139" i="49" s="1"/>
  <c r="X139" i="49"/>
  <c r="Y139" i="49" s="1"/>
  <c r="S139" i="49"/>
  <c r="BR138" i="49"/>
  <c r="BO138" i="49"/>
  <c r="BL138" i="49"/>
  <c r="BH138" i="49"/>
  <c r="BI138" i="49" s="1"/>
  <c r="BD138" i="49"/>
  <c r="BE138" i="49" s="1"/>
  <c r="AZ138" i="49"/>
  <c r="BA138" i="49" s="1"/>
  <c r="AV138" i="49"/>
  <c r="AW138" i="49" s="1"/>
  <c r="AR138" i="49"/>
  <c r="AS138" i="49" s="1"/>
  <c r="AN138" i="49"/>
  <c r="AO138" i="49" s="1"/>
  <c r="AJ138" i="49"/>
  <c r="AK138" i="49" s="1"/>
  <c r="AF138" i="49"/>
  <c r="AG138" i="49" s="1"/>
  <c r="AB138" i="49"/>
  <c r="AC138" i="49" s="1"/>
  <c r="X138" i="49"/>
  <c r="Y138" i="49" s="1"/>
  <c r="S138" i="49"/>
  <c r="BR137" i="49"/>
  <c r="BO137" i="49"/>
  <c r="BL137" i="49"/>
  <c r="BH137" i="49"/>
  <c r="BI137" i="49" s="1"/>
  <c r="BD137" i="49"/>
  <c r="BE137" i="49" s="1"/>
  <c r="AZ137" i="49"/>
  <c r="BA137" i="49" s="1"/>
  <c r="AV137" i="49"/>
  <c r="AW137" i="49" s="1"/>
  <c r="AR137" i="49"/>
  <c r="AS137" i="49" s="1"/>
  <c r="AN137" i="49"/>
  <c r="AO137" i="49" s="1"/>
  <c r="AJ137" i="49"/>
  <c r="AK137" i="49" s="1"/>
  <c r="AF137" i="49"/>
  <c r="AG137" i="49" s="1"/>
  <c r="AB137" i="49"/>
  <c r="AC137" i="49" s="1"/>
  <c r="X137" i="49"/>
  <c r="Y137" i="49" s="1"/>
  <c r="S137" i="49"/>
  <c r="BR136" i="49"/>
  <c r="BO136" i="49"/>
  <c r="BL136" i="49"/>
  <c r="BH136" i="49"/>
  <c r="BI136" i="49" s="1"/>
  <c r="BD136" i="49"/>
  <c r="BE136" i="49" s="1"/>
  <c r="AZ136" i="49"/>
  <c r="BA136" i="49" s="1"/>
  <c r="AV136" i="49"/>
  <c r="AW136" i="49" s="1"/>
  <c r="AR136" i="49"/>
  <c r="AS136" i="49" s="1"/>
  <c r="AN136" i="49"/>
  <c r="AO136" i="49" s="1"/>
  <c r="AJ136" i="49"/>
  <c r="AK136" i="49" s="1"/>
  <c r="AF136" i="49"/>
  <c r="AG136" i="49" s="1"/>
  <c r="AB136" i="49"/>
  <c r="AC136" i="49" s="1"/>
  <c r="X136" i="49"/>
  <c r="Y136" i="49" s="1"/>
  <c r="S136" i="49"/>
  <c r="BR135" i="49"/>
  <c r="BO135" i="49"/>
  <c r="BL135" i="49"/>
  <c r="BH135" i="49"/>
  <c r="BI135" i="49" s="1"/>
  <c r="BD135" i="49"/>
  <c r="BE135" i="49" s="1"/>
  <c r="AZ135" i="49"/>
  <c r="BA135" i="49" s="1"/>
  <c r="AV135" i="49"/>
  <c r="AW135" i="49" s="1"/>
  <c r="AR135" i="49"/>
  <c r="AS135" i="49" s="1"/>
  <c r="AN135" i="49"/>
  <c r="AO135" i="49" s="1"/>
  <c r="AJ135" i="49"/>
  <c r="AK135" i="49" s="1"/>
  <c r="AF135" i="49"/>
  <c r="AG135" i="49" s="1"/>
  <c r="AB135" i="49"/>
  <c r="AC135" i="49" s="1"/>
  <c r="X135" i="49"/>
  <c r="Y135" i="49" s="1"/>
  <c r="S135" i="49"/>
  <c r="BR134" i="49"/>
  <c r="BO134" i="49"/>
  <c r="BL134" i="49"/>
  <c r="BH134" i="49"/>
  <c r="BI134" i="49" s="1"/>
  <c r="BD134" i="49"/>
  <c r="BE134" i="49" s="1"/>
  <c r="AZ134" i="49"/>
  <c r="BA134" i="49" s="1"/>
  <c r="AV134" i="49"/>
  <c r="AW134" i="49" s="1"/>
  <c r="AR134" i="49"/>
  <c r="AS134" i="49" s="1"/>
  <c r="AN134" i="49"/>
  <c r="AO134" i="49" s="1"/>
  <c r="AJ134" i="49"/>
  <c r="AK134" i="49" s="1"/>
  <c r="AF134" i="49"/>
  <c r="AG134" i="49" s="1"/>
  <c r="AB134" i="49"/>
  <c r="AC134" i="49" s="1"/>
  <c r="X134" i="49"/>
  <c r="Y134" i="49" s="1"/>
  <c r="BQ133" i="49"/>
  <c r="BP133" i="49"/>
  <c r="BN133" i="49"/>
  <c r="BM133" i="49"/>
  <c r="BG133" i="49"/>
  <c r="BF133" i="49"/>
  <c r="BC133" i="49"/>
  <c r="BB133" i="49"/>
  <c r="AY133" i="49"/>
  <c r="AX133" i="49"/>
  <c r="AU133" i="49"/>
  <c r="AT133" i="49"/>
  <c r="AQ133" i="49"/>
  <c r="AP133" i="49"/>
  <c r="AM133" i="49"/>
  <c r="AL133" i="49"/>
  <c r="AI133" i="49"/>
  <c r="AH133" i="49"/>
  <c r="AE133" i="49"/>
  <c r="AD133" i="49"/>
  <c r="AA133" i="49"/>
  <c r="Z133" i="49"/>
  <c r="W133" i="49"/>
  <c r="V133" i="49"/>
  <c r="U133" i="49"/>
  <c r="T133" i="49"/>
  <c r="R133" i="49"/>
  <c r="M133" i="49"/>
  <c r="L133" i="49"/>
  <c r="K133" i="49"/>
  <c r="J133" i="49"/>
  <c r="BR132" i="49"/>
  <c r="BR131" i="49" s="1"/>
  <c r="BR133" i="49" s="1"/>
  <c r="BO132" i="49"/>
  <c r="BO131" i="49" s="1"/>
  <c r="BO133" i="49" s="1"/>
  <c r="BL132" i="49"/>
  <c r="BH132" i="49"/>
  <c r="BH131" i="49" s="1"/>
  <c r="BI131" i="49" s="1"/>
  <c r="BD132" i="49"/>
  <c r="BE132" i="49" s="1"/>
  <c r="AZ132" i="49"/>
  <c r="BA132" i="49" s="1"/>
  <c r="AV132" i="49"/>
  <c r="AW132" i="49" s="1"/>
  <c r="AR132" i="49"/>
  <c r="AS132" i="49" s="1"/>
  <c r="AN132" i="49"/>
  <c r="AN131" i="49" s="1"/>
  <c r="AO131" i="49" s="1"/>
  <c r="AJ132" i="49"/>
  <c r="AK132" i="49" s="1"/>
  <c r="AF132" i="49"/>
  <c r="AG132" i="49" s="1"/>
  <c r="AB132" i="49"/>
  <c r="AB131" i="49" s="1"/>
  <c r="AC131" i="49" s="1"/>
  <c r="X132" i="49"/>
  <c r="Y132" i="49" s="1"/>
  <c r="S132" i="49"/>
  <c r="S133" i="49" s="1"/>
  <c r="BL131" i="49"/>
  <c r="BL133" i="49" s="1"/>
  <c r="BQ130" i="49"/>
  <c r="BP130" i="49"/>
  <c r="BN130" i="49"/>
  <c r="BM130" i="49"/>
  <c r="BG130" i="49"/>
  <c r="BF130" i="49"/>
  <c r="BC130" i="49"/>
  <c r="BB130" i="49"/>
  <c r="AY130" i="49"/>
  <c r="AX130" i="49"/>
  <c r="AU130" i="49"/>
  <c r="AT130" i="49"/>
  <c r="AQ130" i="49"/>
  <c r="AP130" i="49"/>
  <c r="AM130" i="49"/>
  <c r="AL130" i="49"/>
  <c r="AI130" i="49"/>
  <c r="AH130" i="49"/>
  <c r="AE130" i="49"/>
  <c r="AD130" i="49"/>
  <c r="AA130" i="49"/>
  <c r="Z130" i="49"/>
  <c r="W130" i="49"/>
  <c r="V130" i="49"/>
  <c r="U130" i="49"/>
  <c r="T130" i="49"/>
  <c r="R130" i="49"/>
  <c r="M130" i="49"/>
  <c r="L130" i="49"/>
  <c r="K130" i="49"/>
  <c r="J130" i="49"/>
  <c r="BR129" i="49"/>
  <c r="BO129" i="49"/>
  <c r="BL129" i="49"/>
  <c r="BH129" i="49"/>
  <c r="BI129" i="49" s="1"/>
  <c r="BD129" i="49"/>
  <c r="BE129" i="49" s="1"/>
  <c r="AZ129" i="49"/>
  <c r="BA129" i="49" s="1"/>
  <c r="AV129" i="49"/>
  <c r="AW129" i="49" s="1"/>
  <c r="AR129" i="49"/>
  <c r="AS129" i="49" s="1"/>
  <c r="AN129" i="49"/>
  <c r="AO129" i="49" s="1"/>
  <c r="AJ129" i="49"/>
  <c r="AK129" i="49" s="1"/>
  <c r="AF129" i="49"/>
  <c r="AG129" i="49" s="1"/>
  <c r="AB129" i="49"/>
  <c r="AC129" i="49" s="1"/>
  <c r="X129" i="49"/>
  <c r="Y129" i="49" s="1"/>
  <c r="S129" i="49"/>
  <c r="S130" i="49" s="1"/>
  <c r="BR128" i="49"/>
  <c r="BO128" i="49"/>
  <c r="BL128" i="49"/>
  <c r="BH128" i="49"/>
  <c r="BI128" i="49" s="1"/>
  <c r="BD128" i="49"/>
  <c r="BE128" i="49" s="1"/>
  <c r="AZ128" i="49"/>
  <c r="AV128" i="49"/>
  <c r="AW128" i="49" s="1"/>
  <c r="AR128" i="49"/>
  <c r="AS128" i="49" s="1"/>
  <c r="AN128" i="49"/>
  <c r="AO128" i="49" s="1"/>
  <c r="AJ128" i="49"/>
  <c r="AF128" i="49"/>
  <c r="AG128" i="49" s="1"/>
  <c r="AB128" i="49"/>
  <c r="X128" i="49"/>
  <c r="Y128" i="49" s="1"/>
  <c r="S128" i="49"/>
  <c r="BR127" i="49"/>
  <c r="BO127" i="49"/>
  <c r="BL127" i="49"/>
  <c r="BH127" i="49"/>
  <c r="BI127" i="49" s="1"/>
  <c r="BD127" i="49"/>
  <c r="BE127" i="49" s="1"/>
  <c r="AZ127" i="49"/>
  <c r="BA127" i="49" s="1"/>
  <c r="AV127" i="49"/>
  <c r="AW127" i="49" s="1"/>
  <c r="AR127" i="49"/>
  <c r="AS127" i="49" s="1"/>
  <c r="AN127" i="49"/>
  <c r="AO127" i="49" s="1"/>
  <c r="AJ127" i="49"/>
  <c r="AK127" i="49" s="1"/>
  <c r="AF127" i="49"/>
  <c r="AG127" i="49" s="1"/>
  <c r="AB127" i="49"/>
  <c r="AC127" i="49" s="1"/>
  <c r="X127" i="49"/>
  <c r="Y127" i="49" s="1"/>
  <c r="BQ126" i="49"/>
  <c r="BP126" i="49"/>
  <c r="BN126" i="49"/>
  <c r="BM126" i="49"/>
  <c r="BG126" i="49"/>
  <c r="BF126" i="49"/>
  <c r="BC126" i="49"/>
  <c r="BB126" i="49"/>
  <c r="AY126" i="49"/>
  <c r="AX126" i="49"/>
  <c r="AU126" i="49"/>
  <c r="AT126" i="49"/>
  <c r="AQ126" i="49"/>
  <c r="AP126" i="49"/>
  <c r="AM126" i="49"/>
  <c r="AL126" i="49"/>
  <c r="AI126" i="49"/>
  <c r="AH126" i="49"/>
  <c r="AE126" i="49"/>
  <c r="AD126" i="49"/>
  <c r="AA126" i="49"/>
  <c r="Z126" i="49"/>
  <c r="W126" i="49"/>
  <c r="V126" i="49"/>
  <c r="U126" i="49"/>
  <c r="T126" i="49"/>
  <c r="R126" i="49"/>
  <c r="M126" i="49"/>
  <c r="L126" i="49"/>
  <c r="K126" i="49"/>
  <c r="J126" i="49"/>
  <c r="BR125" i="49"/>
  <c r="BO125" i="49"/>
  <c r="BL125" i="49"/>
  <c r="BH125" i="49"/>
  <c r="BI125" i="49" s="1"/>
  <c r="BD125" i="49"/>
  <c r="BE125" i="49" s="1"/>
  <c r="AZ125" i="49"/>
  <c r="BA125" i="49" s="1"/>
  <c r="AV125" i="49"/>
  <c r="AW125" i="49" s="1"/>
  <c r="AR125" i="49"/>
  <c r="AS125" i="49" s="1"/>
  <c r="AN125" i="49"/>
  <c r="AO125" i="49" s="1"/>
  <c r="AJ125" i="49"/>
  <c r="AK125" i="49" s="1"/>
  <c r="AF125" i="49"/>
  <c r="AG125" i="49" s="1"/>
  <c r="AB125" i="49"/>
  <c r="AC125" i="49" s="1"/>
  <c r="X125" i="49"/>
  <c r="Y125" i="49" s="1"/>
  <c r="S125" i="49"/>
  <c r="S126" i="49" s="1"/>
  <c r="BR124" i="49"/>
  <c r="BO124" i="49"/>
  <c r="BL124" i="49"/>
  <c r="BH124" i="49"/>
  <c r="BD124" i="49"/>
  <c r="BE124" i="49" s="1"/>
  <c r="AZ124" i="49"/>
  <c r="BA124" i="49" s="1"/>
  <c r="AV124" i="49"/>
  <c r="AW124" i="49" s="1"/>
  <c r="AR124" i="49"/>
  <c r="AN124" i="49"/>
  <c r="AO124" i="49" s="1"/>
  <c r="AJ124" i="49"/>
  <c r="AF124" i="49"/>
  <c r="AG124" i="49" s="1"/>
  <c r="AB124" i="49"/>
  <c r="X124" i="49"/>
  <c r="Y124" i="49" s="1"/>
  <c r="S124" i="49"/>
  <c r="A125" i="49"/>
  <c r="A126" i="49" s="1"/>
  <c r="A127" i="49" s="1"/>
  <c r="A128" i="49" s="1"/>
  <c r="A129" i="49" s="1"/>
  <c r="A130" i="49" s="1"/>
  <c r="A131" i="49" s="1"/>
  <c r="A132" i="49" s="1"/>
  <c r="A133" i="49" s="1"/>
  <c r="G55" i="76" l="1"/>
  <c r="K55" i="76"/>
  <c r="AH9" i="76" s="1"/>
  <c r="Y65" i="76"/>
  <c r="AI15" i="76" s="1"/>
  <c r="X65" i="76"/>
  <c r="AI39" i="76" s="1"/>
  <c r="Y57" i="76"/>
  <c r="AH15" i="76" s="1"/>
  <c r="X57" i="76"/>
  <c r="AH39" i="76" s="1"/>
  <c r="K53" i="76"/>
  <c r="AH7" i="76" s="1"/>
  <c r="G53" i="76"/>
  <c r="K53" i="74"/>
  <c r="W56" i="76"/>
  <c r="AH8" i="76"/>
  <c r="V55" i="76"/>
  <c r="W55" i="76"/>
  <c r="A192" i="49"/>
  <c r="A193" i="49" s="1"/>
  <c r="A194" i="49" s="1"/>
  <c r="B54" i="76"/>
  <c r="AI74" i="76"/>
  <c r="Y64" i="76"/>
  <c r="AI14" i="76" s="1"/>
  <c r="BH126" i="49"/>
  <c r="BI126" i="49" s="1"/>
  <c r="BD164" i="49"/>
  <c r="BE164" i="49" s="1"/>
  <c r="BL130" i="49"/>
  <c r="AF164" i="49"/>
  <c r="AG164" i="49" s="1"/>
  <c r="AJ142" i="49"/>
  <c r="AJ143" i="49" s="1"/>
  <c r="AR164" i="49"/>
  <c r="AS164" i="49" s="1"/>
  <c r="BI162" i="49"/>
  <c r="AJ130" i="49"/>
  <c r="AK130" i="49" s="1"/>
  <c r="AZ130" i="49"/>
  <c r="BO130" i="49"/>
  <c r="BO142" i="49"/>
  <c r="BO143" i="49" s="1"/>
  <c r="BA162" i="49"/>
  <c r="X164" i="49"/>
  <c r="Y164" i="49" s="1"/>
  <c r="AW162" i="49"/>
  <c r="AV164" i="49"/>
  <c r="AW164" i="49" s="1"/>
  <c r="BR142" i="49"/>
  <c r="BR143" i="49" s="1"/>
  <c r="BL142" i="49"/>
  <c r="BL143" i="49" s="1"/>
  <c r="BH142" i="49"/>
  <c r="BH143" i="49" s="1"/>
  <c r="BD142" i="49"/>
  <c r="BD143" i="49" s="1"/>
  <c r="AZ142" i="49"/>
  <c r="AZ143" i="49" s="1"/>
  <c r="AR142" i="49"/>
  <c r="AS142" i="49" s="1"/>
  <c r="AR143" i="49"/>
  <c r="AB142" i="49"/>
  <c r="AB143" i="49" s="1"/>
  <c r="AN142" i="49"/>
  <c r="AO142" i="49" s="1"/>
  <c r="AF131" i="49"/>
  <c r="AG131" i="49" s="1"/>
  <c r="BR130" i="49"/>
  <c r="AB130" i="49"/>
  <c r="AC130" i="49" s="1"/>
  <c r="AF130" i="49"/>
  <c r="AG130" i="49" s="1"/>
  <c r="BR126" i="49"/>
  <c r="BO126" i="49"/>
  <c r="BL126" i="49"/>
  <c r="AR126" i="49"/>
  <c r="AS126" i="49" s="1"/>
  <c r="AJ126" i="49"/>
  <c r="AK126" i="49" s="1"/>
  <c r="AB126" i="49"/>
  <c r="AC126" i="49" s="1"/>
  <c r="BA141" i="49"/>
  <c r="AN143" i="49"/>
  <c r="AC141" i="49"/>
  <c r="BI140" i="49"/>
  <c r="BA140" i="49"/>
  <c r="AV142" i="49"/>
  <c r="AW142" i="49" s="1"/>
  <c r="AS140" i="49"/>
  <c r="AF142" i="49"/>
  <c r="AG142" i="49" s="1"/>
  <c r="AC140" i="49"/>
  <c r="X142" i="49"/>
  <c r="Y142" i="49" s="1"/>
  <c r="R143" i="49"/>
  <c r="S144" i="49" s="1"/>
  <c r="BI132" i="49"/>
  <c r="BH133" i="49"/>
  <c r="BI133" i="49" s="1"/>
  <c r="BD131" i="49"/>
  <c r="BE131" i="49" s="1"/>
  <c r="AZ131" i="49"/>
  <c r="BA131" i="49" s="1"/>
  <c r="AR131" i="49"/>
  <c r="AS131" i="49" s="1"/>
  <c r="AJ131" i="49"/>
  <c r="AK131" i="49" s="1"/>
  <c r="AC132" i="49"/>
  <c r="X131" i="49"/>
  <c r="Y131" i="49" s="1"/>
  <c r="S134" i="49"/>
  <c r="AN133" i="49"/>
  <c r="AO133" i="49" s="1"/>
  <c r="AB133" i="49"/>
  <c r="AC133" i="49" s="1"/>
  <c r="BH130" i="49"/>
  <c r="BI130" i="49" s="1"/>
  <c r="BD130" i="49"/>
  <c r="BE130" i="49" s="1"/>
  <c r="BA128" i="49"/>
  <c r="AV130" i="49"/>
  <c r="AW130" i="49" s="1"/>
  <c r="AR130" i="49"/>
  <c r="AS130" i="49" s="1"/>
  <c r="AN130" i="49"/>
  <c r="AO130" i="49" s="1"/>
  <c r="AK128" i="49"/>
  <c r="AC128" i="49"/>
  <c r="X130" i="49"/>
  <c r="Y130" i="49" s="1"/>
  <c r="S131" i="49"/>
  <c r="BI124" i="49"/>
  <c r="BD126" i="49"/>
  <c r="BE126" i="49" s="1"/>
  <c r="AZ126" i="49"/>
  <c r="BA126" i="49" s="1"/>
  <c r="AV126" i="49"/>
  <c r="AW126" i="49" s="1"/>
  <c r="AS124" i="49"/>
  <c r="AN126" i="49"/>
  <c r="AO126" i="49" s="1"/>
  <c r="AK124" i="49"/>
  <c r="AF126" i="49"/>
  <c r="AG126" i="49" s="1"/>
  <c r="AC124" i="49"/>
  <c r="X126" i="49"/>
  <c r="Y126" i="49" s="1"/>
  <c r="S127" i="49"/>
  <c r="AV131" i="49"/>
  <c r="AO132" i="49"/>
  <c r="BA130" i="49"/>
  <c r="O43" i="74"/>
  <c r="P43" i="74" s="1"/>
  <c r="O33" i="74"/>
  <c r="BQ120" i="49"/>
  <c r="BP120" i="49"/>
  <c r="BN120" i="49"/>
  <c r="BM120" i="49"/>
  <c r="BG120" i="49"/>
  <c r="BF120" i="49"/>
  <c r="BC120" i="49"/>
  <c r="BB120" i="49"/>
  <c r="AY120" i="49"/>
  <c r="AX120" i="49"/>
  <c r="AU120" i="49"/>
  <c r="AT120" i="49"/>
  <c r="AQ120" i="49"/>
  <c r="AP120" i="49"/>
  <c r="AM120" i="49"/>
  <c r="AL120" i="49"/>
  <c r="AI120" i="49"/>
  <c r="AH120" i="49"/>
  <c r="AE120" i="49"/>
  <c r="AD120" i="49"/>
  <c r="AA120" i="49"/>
  <c r="Z120" i="49"/>
  <c r="W120" i="49"/>
  <c r="I49" i="76" s="1"/>
  <c r="AW56" i="76" s="1"/>
  <c r="V120" i="49"/>
  <c r="H49" i="76" s="1"/>
  <c r="U120" i="49"/>
  <c r="J49" i="76" s="1"/>
  <c r="AX56" i="76" s="1"/>
  <c r="T120" i="49"/>
  <c r="R120" i="49"/>
  <c r="M120" i="49"/>
  <c r="L120" i="49"/>
  <c r="K120" i="49"/>
  <c r="J120" i="49"/>
  <c r="F49" i="76" s="1"/>
  <c r="BR119" i="49"/>
  <c r="BO119" i="49"/>
  <c r="BL119" i="49"/>
  <c r="BH119" i="49"/>
  <c r="BD119" i="49"/>
  <c r="BE119" i="49" s="1"/>
  <c r="AZ119" i="49"/>
  <c r="AV119" i="49"/>
  <c r="AW119" i="49" s="1"/>
  <c r="AR119" i="49"/>
  <c r="AN119" i="49"/>
  <c r="AO119" i="49" s="1"/>
  <c r="AJ119" i="49"/>
  <c r="AF119" i="49"/>
  <c r="AG119" i="49" s="1"/>
  <c r="AB119" i="49"/>
  <c r="X119" i="49"/>
  <c r="Y119" i="49" s="1"/>
  <c r="S119" i="49"/>
  <c r="S120" i="49" s="1"/>
  <c r="AY56" i="76" l="1"/>
  <c r="A196" i="49"/>
  <c r="A197" i="49" s="1"/>
  <c r="B55" i="76"/>
  <c r="Y55" i="76"/>
  <c r="AH13" i="76" s="1"/>
  <c r="X55" i="76"/>
  <c r="AH37" i="76" s="1"/>
  <c r="AC142" i="49"/>
  <c r="Y56" i="76"/>
  <c r="AH14" i="76" s="1"/>
  <c r="X56" i="76"/>
  <c r="AH38" i="76" s="1"/>
  <c r="AK142" i="49"/>
  <c r="BI142" i="49"/>
  <c r="BA142" i="49"/>
  <c r="BE142" i="49"/>
  <c r="AF133" i="49"/>
  <c r="AG133" i="49" s="1"/>
  <c r="P45" i="74"/>
  <c r="AV143" i="49"/>
  <c r="AW143" i="49" s="1"/>
  <c r="AF143" i="49"/>
  <c r="AG143" i="49" s="1"/>
  <c r="X143" i="49"/>
  <c r="Y143" i="49" s="1"/>
  <c r="BD133" i="49"/>
  <c r="BE133" i="49" s="1"/>
  <c r="AZ133" i="49"/>
  <c r="BA133" i="49" s="1"/>
  <c r="AR133" i="49"/>
  <c r="AS133" i="49" s="1"/>
  <c r="BI143" i="49"/>
  <c r="AO143" i="49"/>
  <c r="AK143" i="49"/>
  <c r="BA143" i="49"/>
  <c r="AS143" i="49"/>
  <c r="AC143" i="49"/>
  <c r="BE143" i="49"/>
  <c r="AJ133" i="49"/>
  <c r="AK133" i="49" s="1"/>
  <c r="X133" i="49"/>
  <c r="Y133" i="49" s="1"/>
  <c r="AW131" i="49"/>
  <c r="AV133" i="49"/>
  <c r="AW133" i="49" s="1"/>
  <c r="O45" i="74"/>
  <c r="BI119" i="49"/>
  <c r="BA119" i="49"/>
  <c r="AS119" i="49"/>
  <c r="AK119" i="49"/>
  <c r="AC119" i="49"/>
  <c r="BR122" i="49"/>
  <c r="BO122" i="49"/>
  <c r="BL122" i="49"/>
  <c r="BH122" i="49"/>
  <c r="BI122" i="49" s="1"/>
  <c r="BD122" i="49"/>
  <c r="BE122" i="49" s="1"/>
  <c r="AZ122" i="49"/>
  <c r="BA122" i="49" s="1"/>
  <c r="AV122" i="49"/>
  <c r="AW122" i="49" s="1"/>
  <c r="AR122" i="49"/>
  <c r="AS122" i="49" s="1"/>
  <c r="AN122" i="49"/>
  <c r="AO122" i="49" s="1"/>
  <c r="AJ122" i="49"/>
  <c r="AK122" i="49" s="1"/>
  <c r="AF122" i="49"/>
  <c r="AG122" i="49" s="1"/>
  <c r="AB122" i="49"/>
  <c r="AC122" i="49" s="1"/>
  <c r="X122" i="49"/>
  <c r="Y122" i="49" s="1"/>
  <c r="S122" i="49"/>
  <c r="BR121" i="49"/>
  <c r="BO121" i="49"/>
  <c r="BL121" i="49"/>
  <c r="BH121" i="49"/>
  <c r="BI121" i="49" s="1"/>
  <c r="BD121" i="49"/>
  <c r="BE121" i="49" s="1"/>
  <c r="AZ121" i="49"/>
  <c r="BA121" i="49" s="1"/>
  <c r="AV121" i="49"/>
  <c r="AW121" i="49" s="1"/>
  <c r="AR121" i="49"/>
  <c r="AS121" i="49" s="1"/>
  <c r="AN121" i="49"/>
  <c r="AO121" i="49" s="1"/>
  <c r="AJ121" i="49"/>
  <c r="AK121" i="49" s="1"/>
  <c r="AF121" i="49"/>
  <c r="AG121" i="49" s="1"/>
  <c r="AB121" i="49"/>
  <c r="AC121" i="49" s="1"/>
  <c r="X121" i="49"/>
  <c r="Y121" i="49" s="1"/>
  <c r="S121" i="49"/>
  <c r="BR118" i="49"/>
  <c r="BR120" i="49" s="1"/>
  <c r="BO118" i="49"/>
  <c r="BO120" i="49" s="1"/>
  <c r="BL118" i="49"/>
  <c r="BL120" i="49" s="1"/>
  <c r="BH118" i="49"/>
  <c r="BI118" i="49" s="1"/>
  <c r="BD118" i="49"/>
  <c r="BE118" i="49" s="1"/>
  <c r="AZ118" i="49"/>
  <c r="BA118" i="49" s="1"/>
  <c r="AV118" i="49"/>
  <c r="AW118" i="49" s="1"/>
  <c r="AR118" i="49"/>
  <c r="AS118" i="49" s="1"/>
  <c r="AN118" i="49"/>
  <c r="AO118" i="49" s="1"/>
  <c r="AJ118" i="49"/>
  <c r="AK118" i="49" s="1"/>
  <c r="AF118" i="49"/>
  <c r="AG118" i="49" s="1"/>
  <c r="AB118" i="49"/>
  <c r="AC118" i="49" s="1"/>
  <c r="X118" i="49"/>
  <c r="Y118" i="49" s="1"/>
  <c r="S118" i="49"/>
  <c r="BR117" i="49"/>
  <c r="BO117" i="49"/>
  <c r="BL117" i="49"/>
  <c r="BH117" i="49"/>
  <c r="BI117" i="49" s="1"/>
  <c r="BD117" i="49"/>
  <c r="BE117" i="49" s="1"/>
  <c r="AZ117" i="49"/>
  <c r="BA117" i="49" s="1"/>
  <c r="AV117" i="49"/>
  <c r="AW117" i="49" s="1"/>
  <c r="AR117" i="49"/>
  <c r="AS117" i="49" s="1"/>
  <c r="AN117" i="49"/>
  <c r="AO117" i="49" s="1"/>
  <c r="AJ117" i="49"/>
  <c r="AK117" i="49" s="1"/>
  <c r="AF117" i="49"/>
  <c r="AG117" i="49" s="1"/>
  <c r="AB117" i="49"/>
  <c r="AC117" i="49" s="1"/>
  <c r="X117" i="49"/>
  <c r="Y117" i="49" s="1"/>
  <c r="BQ116" i="49"/>
  <c r="BP116" i="49"/>
  <c r="BN116" i="49"/>
  <c r="BM116" i="49"/>
  <c r="BG116" i="49"/>
  <c r="BF116" i="49"/>
  <c r="BC116" i="49"/>
  <c r="BB116" i="49"/>
  <c r="AY116" i="49"/>
  <c r="AX116" i="49"/>
  <c r="AU116" i="49"/>
  <c r="AT116" i="49"/>
  <c r="AQ116" i="49"/>
  <c r="AP116" i="49"/>
  <c r="AM116" i="49"/>
  <c r="AL116" i="49"/>
  <c r="AI116" i="49"/>
  <c r="AH116" i="49"/>
  <c r="AE116" i="49"/>
  <c r="AD116" i="49"/>
  <c r="AA116" i="49"/>
  <c r="Z116" i="49"/>
  <c r="W116" i="49"/>
  <c r="I47" i="76" s="1"/>
  <c r="V116" i="49"/>
  <c r="H47" i="76" s="1"/>
  <c r="U116" i="49"/>
  <c r="J47" i="76" s="1"/>
  <c r="T116" i="49"/>
  <c r="R116" i="49"/>
  <c r="S117" i="49" s="1"/>
  <c r="M116" i="49"/>
  <c r="L116" i="49"/>
  <c r="K116" i="49"/>
  <c r="J116" i="49"/>
  <c r="F47" i="76" s="1"/>
  <c r="BR115" i="49"/>
  <c r="BO115" i="49"/>
  <c r="BL115" i="49"/>
  <c r="BH115" i="49"/>
  <c r="BI115" i="49" s="1"/>
  <c r="BD115" i="49"/>
  <c r="BE115" i="49" s="1"/>
  <c r="AZ115" i="49"/>
  <c r="BA115" i="49" s="1"/>
  <c r="AV115" i="49"/>
  <c r="AW115" i="49" s="1"/>
  <c r="AR115" i="49"/>
  <c r="AS115" i="49" s="1"/>
  <c r="AN115" i="49"/>
  <c r="AO115" i="49" s="1"/>
  <c r="AJ115" i="49"/>
  <c r="AK115" i="49" s="1"/>
  <c r="AF115" i="49"/>
  <c r="AG115" i="49" s="1"/>
  <c r="AB115" i="49"/>
  <c r="AC115" i="49" s="1"/>
  <c r="X115" i="49"/>
  <c r="Y115" i="49" s="1"/>
  <c r="S115" i="49"/>
  <c r="S116" i="49" s="1"/>
  <c r="BR114" i="49"/>
  <c r="BO114" i="49"/>
  <c r="BL114" i="49"/>
  <c r="BH114" i="49"/>
  <c r="BI114" i="49" s="1"/>
  <c r="BD114" i="49"/>
  <c r="BE114" i="49" s="1"/>
  <c r="AZ114" i="49"/>
  <c r="AV114" i="49"/>
  <c r="AW114" i="49" s="1"/>
  <c r="AR114" i="49"/>
  <c r="AS114" i="49" s="1"/>
  <c r="AN114" i="49"/>
  <c r="AO114" i="49" s="1"/>
  <c r="AJ114" i="49"/>
  <c r="AK114" i="49" s="1"/>
  <c r="AF114" i="49"/>
  <c r="AG114" i="49" s="1"/>
  <c r="AB114" i="49"/>
  <c r="AC114" i="49" s="1"/>
  <c r="X114" i="49"/>
  <c r="Y114" i="49" s="1"/>
  <c r="O42" i="74" l="1"/>
  <c r="P42" i="74" s="1"/>
  <c r="O42" i="76"/>
  <c r="G48" i="76"/>
  <c r="K48" i="76"/>
  <c r="A198" i="49"/>
  <c r="A199" i="49" s="1"/>
  <c r="A200" i="49" s="1"/>
  <c r="A201" i="49" s="1"/>
  <c r="A207" i="49" s="1"/>
  <c r="A208" i="49" s="1"/>
  <c r="A210" i="49" s="1"/>
  <c r="B56" i="76"/>
  <c r="AX58" i="76"/>
  <c r="AX55" i="76"/>
  <c r="AW58" i="76"/>
  <c r="AY58" i="76" s="1"/>
  <c r="AW55" i="76"/>
  <c r="AY55" i="76" s="1"/>
  <c r="X120" i="49"/>
  <c r="Y120" i="49" s="1"/>
  <c r="AN120" i="49"/>
  <c r="AO120" i="49" s="1"/>
  <c r="AZ120" i="49"/>
  <c r="BA120" i="49" s="1"/>
  <c r="BD120" i="49"/>
  <c r="BE120" i="49" s="1"/>
  <c r="AB120" i="49"/>
  <c r="AC120" i="49" s="1"/>
  <c r="AF120" i="49"/>
  <c r="AG120" i="49" s="1"/>
  <c r="AV120" i="49"/>
  <c r="AW120" i="49" s="1"/>
  <c r="BH120" i="49"/>
  <c r="BI120" i="49" s="1"/>
  <c r="AJ120" i="49"/>
  <c r="AK120" i="49" s="1"/>
  <c r="BR116" i="49"/>
  <c r="AR120" i="49"/>
  <c r="AS120" i="49" s="1"/>
  <c r="BO116" i="49"/>
  <c r="BL116" i="49"/>
  <c r="AZ116" i="49"/>
  <c r="BA116" i="49" s="1"/>
  <c r="BH116" i="49"/>
  <c r="BI116" i="49" s="1"/>
  <c r="BD116" i="49"/>
  <c r="BE116" i="49" s="1"/>
  <c r="BA114" i="49"/>
  <c r="AV116" i="49"/>
  <c r="AW116" i="49" s="1"/>
  <c r="AR116" i="49"/>
  <c r="AS116" i="49" s="1"/>
  <c r="AN116" i="49"/>
  <c r="AO116" i="49" s="1"/>
  <c r="AJ116" i="49"/>
  <c r="AK116" i="49" s="1"/>
  <c r="AF116" i="49"/>
  <c r="AG116" i="49" s="1"/>
  <c r="AB116" i="49"/>
  <c r="AC116" i="49" s="1"/>
  <c r="X116" i="49"/>
  <c r="Y116" i="49" s="1"/>
  <c r="BQ113" i="49"/>
  <c r="BP113" i="49"/>
  <c r="BN113" i="49"/>
  <c r="BM113" i="49"/>
  <c r="BG113" i="49"/>
  <c r="BF113" i="49"/>
  <c r="BC113" i="49"/>
  <c r="BB113" i="49"/>
  <c r="AY113" i="49"/>
  <c r="AX113" i="49"/>
  <c r="AU113" i="49"/>
  <c r="AT113" i="49"/>
  <c r="AQ113" i="49"/>
  <c r="AP113" i="49"/>
  <c r="AM113" i="49"/>
  <c r="AL113" i="49"/>
  <c r="AI113" i="49"/>
  <c r="AH113" i="49"/>
  <c r="AE113" i="49"/>
  <c r="AD113" i="49"/>
  <c r="AA113" i="49"/>
  <c r="Z113" i="49"/>
  <c r="W113" i="49"/>
  <c r="I46" i="76" s="1"/>
  <c r="V113" i="49"/>
  <c r="H46" i="76" s="1"/>
  <c r="U113" i="49"/>
  <c r="J46" i="76" s="1"/>
  <c r="T113" i="49"/>
  <c r="R113" i="49"/>
  <c r="S114" i="49" s="1"/>
  <c r="M113" i="49"/>
  <c r="L113" i="49"/>
  <c r="K113" i="49"/>
  <c r="J113" i="49"/>
  <c r="F46" i="76" s="1"/>
  <c r="BR112" i="49"/>
  <c r="BR111" i="49" s="1"/>
  <c r="BR113" i="49" s="1"/>
  <c r="BO112" i="49"/>
  <c r="BO111" i="49" s="1"/>
  <c r="BO113" i="49" s="1"/>
  <c r="BL112" i="49"/>
  <c r="BL111" i="49" s="1"/>
  <c r="BL113" i="49" s="1"/>
  <c r="BH112" i="49"/>
  <c r="BI112" i="49" s="1"/>
  <c r="BD112" i="49"/>
  <c r="BE112" i="49" s="1"/>
  <c r="AZ112" i="49"/>
  <c r="BA112" i="49" s="1"/>
  <c r="AV112" i="49"/>
  <c r="AW112" i="49" s="1"/>
  <c r="AR112" i="49"/>
  <c r="AS112" i="49" s="1"/>
  <c r="AN112" i="49"/>
  <c r="AO112" i="49" s="1"/>
  <c r="AJ112" i="49"/>
  <c r="AJ111" i="49" s="1"/>
  <c r="AK111" i="49" s="1"/>
  <c r="AF112" i="49"/>
  <c r="AG112" i="49" s="1"/>
  <c r="AB112" i="49"/>
  <c r="AC112" i="49" s="1"/>
  <c r="X112" i="49"/>
  <c r="Y112" i="49" s="1"/>
  <c r="S112" i="49"/>
  <c r="S113" i="49" s="1"/>
  <c r="S111" i="49"/>
  <c r="BR110" i="49"/>
  <c r="BO110" i="49"/>
  <c r="BL110" i="49"/>
  <c r="BH110" i="49"/>
  <c r="BI110" i="49" s="1"/>
  <c r="BD110" i="49"/>
  <c r="BE110" i="49" s="1"/>
  <c r="AZ110" i="49"/>
  <c r="BA110" i="49" s="1"/>
  <c r="AV110" i="49"/>
  <c r="AW110" i="49" s="1"/>
  <c r="AR110" i="49"/>
  <c r="AS110" i="49" s="1"/>
  <c r="AN110" i="49"/>
  <c r="AO110" i="49" s="1"/>
  <c r="AJ110" i="49"/>
  <c r="AK110" i="49" s="1"/>
  <c r="AF110" i="49"/>
  <c r="AG110" i="49" s="1"/>
  <c r="AB110" i="49"/>
  <c r="AC110" i="49" s="1"/>
  <c r="X110" i="49"/>
  <c r="Y110" i="49" s="1"/>
  <c r="BQ109" i="49"/>
  <c r="BP109" i="49"/>
  <c r="BN109" i="49"/>
  <c r="BM109" i="49"/>
  <c r="BG109" i="49"/>
  <c r="BF109" i="49"/>
  <c r="BC109" i="49"/>
  <c r="BB109" i="49"/>
  <c r="AY109" i="49"/>
  <c r="AX109" i="49"/>
  <c r="AU109" i="49"/>
  <c r="AT109" i="49"/>
  <c r="AQ109" i="49"/>
  <c r="AP109" i="49"/>
  <c r="AM109" i="49"/>
  <c r="AL109" i="49"/>
  <c r="AI109" i="49"/>
  <c r="AH109" i="49"/>
  <c r="AE109" i="49"/>
  <c r="AD109" i="49"/>
  <c r="AA109" i="49"/>
  <c r="Z109" i="49"/>
  <c r="W109" i="49"/>
  <c r="I45" i="76" s="1"/>
  <c r="V109" i="49"/>
  <c r="H45" i="76" s="1"/>
  <c r="U109" i="49"/>
  <c r="J45" i="76" s="1"/>
  <c r="T109" i="49"/>
  <c r="R109" i="49"/>
  <c r="M109" i="49"/>
  <c r="L109" i="49"/>
  <c r="K109" i="49"/>
  <c r="J109" i="49"/>
  <c r="F45" i="76" s="1"/>
  <c r="BR108" i="49"/>
  <c r="BR107" i="49" s="1"/>
  <c r="BR109" i="49" s="1"/>
  <c r="BO108" i="49"/>
  <c r="BO107" i="49" s="1"/>
  <c r="BO109" i="49" s="1"/>
  <c r="BL108" i="49"/>
  <c r="BL107" i="49" s="1"/>
  <c r="BL109" i="49" s="1"/>
  <c r="BH108" i="49"/>
  <c r="BI108" i="49" s="1"/>
  <c r="BD108" i="49"/>
  <c r="BE108" i="49" s="1"/>
  <c r="AZ108" i="49"/>
  <c r="BA108" i="49" s="1"/>
  <c r="AV108" i="49"/>
  <c r="AW108" i="49" s="1"/>
  <c r="AR108" i="49"/>
  <c r="AS108" i="49" s="1"/>
  <c r="AN108" i="49"/>
  <c r="AO108" i="49" s="1"/>
  <c r="AJ108" i="49"/>
  <c r="AK108" i="49" s="1"/>
  <c r="AF108" i="49"/>
  <c r="AG108" i="49" s="1"/>
  <c r="AB108" i="49"/>
  <c r="AB107" i="49" s="1"/>
  <c r="AC107" i="49" s="1"/>
  <c r="X108" i="49"/>
  <c r="Y108" i="49" s="1"/>
  <c r="S108" i="49"/>
  <c r="S109" i="49" s="1"/>
  <c r="BQ106" i="49"/>
  <c r="BP106" i="49"/>
  <c r="BN106" i="49"/>
  <c r="BM106" i="49"/>
  <c r="BG106" i="49"/>
  <c r="BF106" i="49"/>
  <c r="BC106" i="49"/>
  <c r="BB106" i="49"/>
  <c r="AY106" i="49"/>
  <c r="AX106" i="49"/>
  <c r="AU106" i="49"/>
  <c r="AT106" i="49"/>
  <c r="AQ106" i="49"/>
  <c r="AP106" i="49"/>
  <c r="AM106" i="49"/>
  <c r="AL106" i="49"/>
  <c r="AI106" i="49"/>
  <c r="AH106" i="49"/>
  <c r="AE106" i="49"/>
  <c r="AD106" i="49"/>
  <c r="AA106" i="49"/>
  <c r="Z106" i="49"/>
  <c r="W106" i="49"/>
  <c r="I44" i="76" s="1"/>
  <c r="AW54" i="76" s="1"/>
  <c r="V106" i="49"/>
  <c r="H44" i="76" s="1"/>
  <c r="U106" i="49"/>
  <c r="J44" i="76" s="1"/>
  <c r="AX54" i="76" s="1"/>
  <c r="T106" i="49"/>
  <c r="R106" i="49"/>
  <c r="S107" i="49" s="1"/>
  <c r="M106" i="49"/>
  <c r="L106" i="49"/>
  <c r="K106" i="49"/>
  <c r="J106" i="49"/>
  <c r="F44" i="76" s="1"/>
  <c r="BR105" i="49"/>
  <c r="BO105" i="49"/>
  <c r="BL105" i="49"/>
  <c r="BH105" i="49"/>
  <c r="BI105" i="49" s="1"/>
  <c r="BD105" i="49"/>
  <c r="BE105" i="49" s="1"/>
  <c r="AZ105" i="49"/>
  <c r="BA105" i="49" s="1"/>
  <c r="AV105" i="49"/>
  <c r="AW105" i="49" s="1"/>
  <c r="AR105" i="49"/>
  <c r="AS105" i="49" s="1"/>
  <c r="AN105" i="49"/>
  <c r="AO105" i="49" s="1"/>
  <c r="AJ105" i="49"/>
  <c r="AK105" i="49" s="1"/>
  <c r="AF105" i="49"/>
  <c r="AG105" i="49" s="1"/>
  <c r="AB105" i="49"/>
  <c r="AC105" i="49" s="1"/>
  <c r="X105" i="49"/>
  <c r="Y105" i="49" s="1"/>
  <c r="S105" i="49"/>
  <c r="S106" i="49" s="1"/>
  <c r="BR104" i="49"/>
  <c r="BO104" i="49"/>
  <c r="BL104" i="49"/>
  <c r="BH104" i="49"/>
  <c r="BI104" i="49" s="1"/>
  <c r="BD104" i="49"/>
  <c r="BE104" i="49" s="1"/>
  <c r="AZ104" i="49"/>
  <c r="BA104" i="49" s="1"/>
  <c r="AV104" i="49"/>
  <c r="AW104" i="49" s="1"/>
  <c r="AR104" i="49"/>
  <c r="AS104" i="49" s="1"/>
  <c r="AN104" i="49"/>
  <c r="AO104" i="49" s="1"/>
  <c r="AJ104" i="49"/>
  <c r="AK104" i="49" s="1"/>
  <c r="AF104" i="49"/>
  <c r="AG104" i="49" s="1"/>
  <c r="AB104" i="49"/>
  <c r="X104" i="49"/>
  <c r="Y104" i="49" s="1"/>
  <c r="S104" i="49"/>
  <c r="BR103" i="49"/>
  <c r="BO103" i="49"/>
  <c r="BL103" i="49"/>
  <c r="BH103" i="49"/>
  <c r="BI103" i="49" s="1"/>
  <c r="BD103" i="49"/>
  <c r="BE103" i="49" s="1"/>
  <c r="AZ103" i="49"/>
  <c r="BA103" i="49" s="1"/>
  <c r="AV103" i="49"/>
  <c r="AW103" i="49" s="1"/>
  <c r="AR103" i="49"/>
  <c r="AS103" i="49" s="1"/>
  <c r="AN103" i="49"/>
  <c r="AO103" i="49" s="1"/>
  <c r="AJ103" i="49"/>
  <c r="AK103" i="49" s="1"/>
  <c r="AF103" i="49"/>
  <c r="AG103" i="49" s="1"/>
  <c r="AB103" i="49"/>
  <c r="AC103" i="49" s="1"/>
  <c r="X103" i="49"/>
  <c r="Y103" i="49" s="1"/>
  <c r="BQ102" i="49"/>
  <c r="BP102" i="49"/>
  <c r="BN102" i="49"/>
  <c r="BM102" i="49"/>
  <c r="BG102" i="49"/>
  <c r="BF102" i="49"/>
  <c r="BC102" i="49"/>
  <c r="BB102" i="49"/>
  <c r="AY102" i="49"/>
  <c r="AX102" i="49"/>
  <c r="AU102" i="49"/>
  <c r="AT102" i="49"/>
  <c r="AQ102" i="49"/>
  <c r="AP102" i="49"/>
  <c r="AM102" i="49"/>
  <c r="AL102" i="49"/>
  <c r="AI102" i="49"/>
  <c r="AH102" i="49"/>
  <c r="AE102" i="49"/>
  <c r="AD102" i="49"/>
  <c r="AA102" i="49"/>
  <c r="Z102" i="49"/>
  <c r="W102" i="49"/>
  <c r="I42" i="76" s="1"/>
  <c r="V102" i="49"/>
  <c r="H42" i="76" s="1"/>
  <c r="U102" i="49"/>
  <c r="J42" i="76" s="1"/>
  <c r="AX53" i="76" s="1"/>
  <c r="T102" i="49"/>
  <c r="R102" i="49"/>
  <c r="S103" i="49" s="1"/>
  <c r="M102" i="49"/>
  <c r="L102" i="49"/>
  <c r="K102" i="49"/>
  <c r="J102" i="49"/>
  <c r="F42" i="76" s="1"/>
  <c r="BR101" i="49"/>
  <c r="BO101" i="49"/>
  <c r="BL101" i="49"/>
  <c r="BH101" i="49"/>
  <c r="BI101" i="49" s="1"/>
  <c r="BD101" i="49"/>
  <c r="BE101" i="49" s="1"/>
  <c r="AZ101" i="49"/>
  <c r="BA101" i="49" s="1"/>
  <c r="AV101" i="49"/>
  <c r="AW101" i="49" s="1"/>
  <c r="AR101" i="49"/>
  <c r="AS101" i="49" s="1"/>
  <c r="AN101" i="49"/>
  <c r="AO101" i="49" s="1"/>
  <c r="AJ101" i="49"/>
  <c r="AK101" i="49" s="1"/>
  <c r="AF101" i="49"/>
  <c r="AG101" i="49" s="1"/>
  <c r="AB101" i="49"/>
  <c r="AC101" i="49" s="1"/>
  <c r="X101" i="49"/>
  <c r="Y101" i="49" s="1"/>
  <c r="S101" i="49"/>
  <c r="S102" i="49" s="1"/>
  <c r="BR100" i="49"/>
  <c r="BO100" i="49"/>
  <c r="BL100" i="49"/>
  <c r="BH100" i="49"/>
  <c r="BI100" i="49" s="1"/>
  <c r="BD100" i="49"/>
  <c r="BE100" i="49" s="1"/>
  <c r="AZ100" i="49"/>
  <c r="BA100" i="49" s="1"/>
  <c r="AV100" i="49"/>
  <c r="AW100" i="49" s="1"/>
  <c r="AR100" i="49"/>
  <c r="AS100" i="49" s="1"/>
  <c r="AN100" i="49"/>
  <c r="AO100" i="49" s="1"/>
  <c r="AJ100" i="49"/>
  <c r="AK100" i="49" s="1"/>
  <c r="AF100" i="49"/>
  <c r="AG100" i="49" s="1"/>
  <c r="AB100" i="49"/>
  <c r="AC100" i="49" s="1"/>
  <c r="X100" i="49"/>
  <c r="Y100" i="49" s="1"/>
  <c r="S100" i="49"/>
  <c r="U43" i="76" l="1"/>
  <c r="V43" i="76" s="1"/>
  <c r="AW53" i="76"/>
  <c r="AY53" i="76" s="1"/>
  <c r="G43" i="76"/>
  <c r="K43" i="76"/>
  <c r="W44" i="76" s="1"/>
  <c r="X44" i="76" s="1"/>
  <c r="AY54" i="76"/>
  <c r="AW37" i="76"/>
  <c r="K49" i="76"/>
  <c r="G49" i="76"/>
  <c r="G47" i="76"/>
  <c r="K47" i="76"/>
  <c r="P42" i="76"/>
  <c r="T46" i="76"/>
  <c r="Y44" i="76" s="1"/>
  <c r="AB106" i="49"/>
  <c r="AC106" i="49" s="1"/>
  <c r="BO106" i="49"/>
  <c r="BH111" i="49"/>
  <c r="BH113" i="49" s="1"/>
  <c r="BI113" i="49" s="1"/>
  <c r="BR106" i="49"/>
  <c r="BL106" i="49"/>
  <c r="BR102" i="49"/>
  <c r="BO102" i="49"/>
  <c r="BL102" i="49"/>
  <c r="AJ102" i="49"/>
  <c r="AK102" i="49" s="1"/>
  <c r="BD111" i="49"/>
  <c r="BE111" i="49" s="1"/>
  <c r="AZ111" i="49"/>
  <c r="BA111" i="49" s="1"/>
  <c r="AV111" i="49"/>
  <c r="AW111" i="49" s="1"/>
  <c r="AR111" i="49"/>
  <c r="AS111" i="49" s="1"/>
  <c r="AN111" i="49"/>
  <c r="AO111" i="49" s="1"/>
  <c r="AK112" i="49"/>
  <c r="AF111" i="49"/>
  <c r="AG111" i="49" s="1"/>
  <c r="AB111" i="49"/>
  <c r="AB113" i="49" s="1"/>
  <c r="AC113" i="49" s="1"/>
  <c r="X111" i="49"/>
  <c r="Y111" i="49" s="1"/>
  <c r="AJ113" i="49"/>
  <c r="AK113" i="49" s="1"/>
  <c r="BH107" i="49"/>
  <c r="BH109" i="49" s="1"/>
  <c r="BI109" i="49" s="1"/>
  <c r="BD107" i="49"/>
  <c r="BE107" i="49" s="1"/>
  <c r="AZ107" i="49"/>
  <c r="AZ109" i="49" s="1"/>
  <c r="BA109" i="49" s="1"/>
  <c r="AV107" i="49"/>
  <c r="AW107" i="49" s="1"/>
  <c r="AR107" i="49"/>
  <c r="AS107" i="49" s="1"/>
  <c r="AN107" i="49"/>
  <c r="AO107" i="49" s="1"/>
  <c r="AJ107" i="49"/>
  <c r="AK107" i="49" s="1"/>
  <c r="AF107" i="49"/>
  <c r="AG107" i="49" s="1"/>
  <c r="AC108" i="49"/>
  <c r="X107" i="49"/>
  <c r="Y107" i="49" s="1"/>
  <c r="AB109" i="49"/>
  <c r="AC109" i="49" s="1"/>
  <c r="S110" i="49"/>
  <c r="BH106" i="49"/>
  <c r="BI106" i="49" s="1"/>
  <c r="BD106" i="49"/>
  <c r="BE106" i="49" s="1"/>
  <c r="AZ106" i="49"/>
  <c r="BA106" i="49" s="1"/>
  <c r="AV106" i="49"/>
  <c r="AW106" i="49" s="1"/>
  <c r="AR106" i="49"/>
  <c r="AS106" i="49" s="1"/>
  <c r="AN106" i="49"/>
  <c r="AO106" i="49" s="1"/>
  <c r="AJ106" i="49"/>
  <c r="AK106" i="49" s="1"/>
  <c r="AF106" i="49"/>
  <c r="AG106" i="49" s="1"/>
  <c r="AC104" i="49"/>
  <c r="X106" i="49"/>
  <c r="Y106" i="49" s="1"/>
  <c r="BH102" i="49"/>
  <c r="BI102" i="49" s="1"/>
  <c r="BD102" i="49"/>
  <c r="BE102" i="49" s="1"/>
  <c r="AZ102" i="49"/>
  <c r="BA102" i="49" s="1"/>
  <c r="AV102" i="49"/>
  <c r="AW102" i="49" s="1"/>
  <c r="AR102" i="49"/>
  <c r="AS102" i="49" s="1"/>
  <c r="AN102" i="49"/>
  <c r="AO102" i="49" s="1"/>
  <c r="AF102" i="49"/>
  <c r="AG102" i="49" s="1"/>
  <c r="AB102" i="49"/>
  <c r="AC102" i="49" s="1"/>
  <c r="X102" i="49"/>
  <c r="Y102" i="49" s="1"/>
  <c r="O35" i="74"/>
  <c r="D4" i="32" s="1"/>
  <c r="AN109" i="49" l="1"/>
  <c r="AO109" i="49" s="1"/>
  <c r="K42" i="76"/>
  <c r="G42" i="76"/>
  <c r="BI111" i="49"/>
  <c r="G44" i="76"/>
  <c r="K44" i="76"/>
  <c r="W43" i="76" s="1"/>
  <c r="E33" i="32"/>
  <c r="F33" i="32" s="1"/>
  <c r="D5" i="32"/>
  <c r="BD113" i="49"/>
  <c r="BE113" i="49" s="1"/>
  <c r="AV113" i="49"/>
  <c r="AW113" i="49" s="1"/>
  <c r="AR113" i="49"/>
  <c r="AS113" i="49" s="1"/>
  <c r="BI107" i="49"/>
  <c r="BD109" i="49"/>
  <c r="BE109" i="49" s="1"/>
  <c r="AV109" i="49"/>
  <c r="AW109" i="49" s="1"/>
  <c r="AR109" i="49"/>
  <c r="AS109" i="49" s="1"/>
  <c r="AJ109" i="49"/>
  <c r="AK109" i="49" s="1"/>
  <c r="AF109" i="49"/>
  <c r="AG109" i="49" s="1"/>
  <c r="X109" i="49"/>
  <c r="Y109" i="49" s="1"/>
  <c r="AZ113" i="49"/>
  <c r="BA113" i="49" s="1"/>
  <c r="AN113" i="49"/>
  <c r="AO113" i="49" s="1"/>
  <c r="AF113" i="49"/>
  <c r="AG113" i="49" s="1"/>
  <c r="AC111" i="49"/>
  <c r="X113" i="49"/>
  <c r="Y113" i="49" s="1"/>
  <c r="BA107" i="49"/>
  <c r="A43" i="74"/>
  <c r="A44" i="74" s="1"/>
  <c r="A45" i="74" s="1"/>
  <c r="A46" i="74" s="1"/>
  <c r="A47" i="74" s="1"/>
  <c r="A48" i="74" s="1"/>
  <c r="A49" i="74" s="1"/>
  <c r="Y43" i="76" l="1"/>
  <c r="X43" i="76"/>
  <c r="G46" i="76"/>
  <c r="K46" i="76"/>
  <c r="G45" i="76"/>
  <c r="K45" i="76"/>
  <c r="W45" i="76" s="1"/>
  <c r="A101" i="49"/>
  <c r="A102" i="49" s="1"/>
  <c r="Y45" i="76" l="1"/>
  <c r="X45" i="76"/>
  <c r="A103" i="49"/>
  <c r="B42" i="76"/>
  <c r="BR98" i="49"/>
  <c r="BO98" i="49"/>
  <c r="BL98" i="49"/>
  <c r="BH98" i="49"/>
  <c r="BI98" i="49" s="1"/>
  <c r="BD98" i="49"/>
  <c r="BE98" i="49" s="1"/>
  <c r="AZ98" i="49"/>
  <c r="BA98" i="49" s="1"/>
  <c r="AV98" i="49"/>
  <c r="AW98" i="49" s="1"/>
  <c r="AR98" i="49"/>
  <c r="AS98" i="49" s="1"/>
  <c r="AN98" i="49"/>
  <c r="AO98" i="49" s="1"/>
  <c r="AJ98" i="49"/>
  <c r="AK98" i="49" s="1"/>
  <c r="AF98" i="49"/>
  <c r="AG98" i="49" s="1"/>
  <c r="AB98" i="49"/>
  <c r="AC98" i="49" s="1"/>
  <c r="X98" i="49"/>
  <c r="Y98" i="49" s="1"/>
  <c r="S98" i="49"/>
  <c r="BR97" i="49"/>
  <c r="BO97" i="49"/>
  <c r="BL97" i="49"/>
  <c r="BH97" i="49"/>
  <c r="BI97" i="49" s="1"/>
  <c r="BD97" i="49"/>
  <c r="BE97" i="49" s="1"/>
  <c r="AZ97" i="49"/>
  <c r="BA97" i="49" s="1"/>
  <c r="AV97" i="49"/>
  <c r="AW97" i="49" s="1"/>
  <c r="AR97" i="49"/>
  <c r="AS97" i="49" s="1"/>
  <c r="AN97" i="49"/>
  <c r="AO97" i="49" s="1"/>
  <c r="AJ97" i="49"/>
  <c r="AK97" i="49" s="1"/>
  <c r="AF97" i="49"/>
  <c r="AG97" i="49" s="1"/>
  <c r="AB97" i="49"/>
  <c r="AC97" i="49" s="1"/>
  <c r="X97" i="49"/>
  <c r="Y97" i="49" s="1"/>
  <c r="BQ96" i="49"/>
  <c r="BP96" i="49"/>
  <c r="BN96" i="49"/>
  <c r="BM96" i="49"/>
  <c r="BG96" i="49"/>
  <c r="BF96" i="49"/>
  <c r="BC96" i="49"/>
  <c r="BB96" i="49"/>
  <c r="AY96" i="49"/>
  <c r="AX96" i="49"/>
  <c r="AU96" i="49"/>
  <c r="AT96" i="49"/>
  <c r="AQ96" i="49"/>
  <c r="AP96" i="49"/>
  <c r="AM96" i="49"/>
  <c r="AL96" i="49"/>
  <c r="AI96" i="49"/>
  <c r="AH96" i="49"/>
  <c r="AE96" i="49"/>
  <c r="AD96" i="49"/>
  <c r="AA96" i="49"/>
  <c r="Z96" i="49"/>
  <c r="W96" i="49"/>
  <c r="I39" i="76" s="1"/>
  <c r="AS56" i="76" s="1"/>
  <c r="V96" i="49"/>
  <c r="H39" i="76" s="1"/>
  <c r="U96" i="49"/>
  <c r="J39" i="76" s="1"/>
  <c r="AT56" i="76" s="1"/>
  <c r="T96" i="49"/>
  <c r="R96" i="49"/>
  <c r="S97" i="49" s="1"/>
  <c r="M96" i="49"/>
  <c r="L96" i="49"/>
  <c r="K96" i="49"/>
  <c r="J96" i="49"/>
  <c r="F39" i="76" s="1"/>
  <c r="BR95" i="49"/>
  <c r="BO95" i="49"/>
  <c r="BL95" i="49"/>
  <c r="BH95" i="49"/>
  <c r="BI95" i="49" s="1"/>
  <c r="BD95" i="49"/>
  <c r="BE95" i="49" s="1"/>
  <c r="AZ95" i="49"/>
  <c r="BA95" i="49" s="1"/>
  <c r="AV95" i="49"/>
  <c r="AW95" i="49" s="1"/>
  <c r="AR95" i="49"/>
  <c r="AS95" i="49" s="1"/>
  <c r="AN95" i="49"/>
  <c r="AO95" i="49" s="1"/>
  <c r="AJ95" i="49"/>
  <c r="AK95" i="49" s="1"/>
  <c r="AF95" i="49"/>
  <c r="AG95" i="49" s="1"/>
  <c r="AB95" i="49"/>
  <c r="AC95" i="49" s="1"/>
  <c r="X95" i="49"/>
  <c r="Y95" i="49" s="1"/>
  <c r="S95" i="49"/>
  <c r="S96" i="49" s="1"/>
  <c r="BR94" i="49"/>
  <c r="BO94" i="49"/>
  <c r="BL94" i="49"/>
  <c r="BL96" i="49" s="1"/>
  <c r="BH94" i="49"/>
  <c r="BD94" i="49"/>
  <c r="BE94" i="49" s="1"/>
  <c r="AZ94" i="49"/>
  <c r="AV94" i="49"/>
  <c r="AW94" i="49" s="1"/>
  <c r="AR94" i="49"/>
  <c r="AS94" i="49" s="1"/>
  <c r="AN94" i="49"/>
  <c r="AO94" i="49" s="1"/>
  <c r="AJ94" i="49"/>
  <c r="AK94" i="49" s="1"/>
  <c r="AF94" i="49"/>
  <c r="AG94" i="49" s="1"/>
  <c r="AB94" i="49"/>
  <c r="X94" i="49"/>
  <c r="Y94" i="49" s="1"/>
  <c r="S94" i="49"/>
  <c r="BR93" i="49"/>
  <c r="BO93" i="49"/>
  <c r="BL93" i="49"/>
  <c r="BH93" i="49"/>
  <c r="BI93" i="49" s="1"/>
  <c r="BD93" i="49"/>
  <c r="BE93" i="49" s="1"/>
  <c r="AZ93" i="49"/>
  <c r="BA93" i="49" s="1"/>
  <c r="AV93" i="49"/>
  <c r="AW93" i="49" s="1"/>
  <c r="AR93" i="49"/>
  <c r="AS93" i="49" s="1"/>
  <c r="AN93" i="49"/>
  <c r="AO93" i="49" s="1"/>
  <c r="AJ93" i="49"/>
  <c r="AK93" i="49" s="1"/>
  <c r="AF93" i="49"/>
  <c r="AG93" i="49" s="1"/>
  <c r="AB93" i="49"/>
  <c r="AC93" i="49" s="1"/>
  <c r="X93" i="49"/>
  <c r="Y93" i="49" s="1"/>
  <c r="BQ92" i="49"/>
  <c r="BP92" i="49"/>
  <c r="BN92" i="49"/>
  <c r="BM92" i="49"/>
  <c r="BG92" i="49"/>
  <c r="BF92" i="49"/>
  <c r="BC92" i="49"/>
  <c r="BB92" i="49"/>
  <c r="AY92" i="49"/>
  <c r="AX92" i="49"/>
  <c r="AU92" i="49"/>
  <c r="AT92" i="49"/>
  <c r="AQ92" i="49"/>
  <c r="AP92" i="49"/>
  <c r="AM92" i="49"/>
  <c r="AL92" i="49"/>
  <c r="AI92" i="49"/>
  <c r="AH92" i="49"/>
  <c r="AE92" i="49"/>
  <c r="AD92" i="49"/>
  <c r="AA92" i="49"/>
  <c r="Z92" i="49"/>
  <c r="W92" i="49"/>
  <c r="I37" i="76" s="1"/>
  <c r="AS55" i="76" s="1"/>
  <c r="AU55" i="76" s="1"/>
  <c r="V92" i="49"/>
  <c r="H37" i="76" s="1"/>
  <c r="U92" i="49"/>
  <c r="J37" i="76" s="1"/>
  <c r="AT55" i="76" s="1"/>
  <c r="T92" i="49"/>
  <c r="R92" i="49"/>
  <c r="M92" i="49"/>
  <c r="L92" i="49"/>
  <c r="K92" i="49"/>
  <c r="J92" i="49"/>
  <c r="F37" i="76" s="1"/>
  <c r="BR91" i="49"/>
  <c r="BO91" i="49"/>
  <c r="BL91" i="49"/>
  <c r="BH91" i="49"/>
  <c r="BI91" i="49" s="1"/>
  <c r="BD91" i="49"/>
  <c r="BE91" i="49" s="1"/>
  <c r="AZ91" i="49"/>
  <c r="BA91" i="49" s="1"/>
  <c r="AV91" i="49"/>
  <c r="AW91" i="49" s="1"/>
  <c r="AR91" i="49"/>
  <c r="AS91" i="49" s="1"/>
  <c r="AN91" i="49"/>
  <c r="AO91" i="49" s="1"/>
  <c r="AJ91" i="49"/>
  <c r="AK91" i="49" s="1"/>
  <c r="AF91" i="49"/>
  <c r="AG91" i="49" s="1"/>
  <c r="AB91" i="49"/>
  <c r="AC91" i="49" s="1"/>
  <c r="X91" i="49"/>
  <c r="Y91" i="49" s="1"/>
  <c r="S91" i="49"/>
  <c r="S92" i="49" s="1"/>
  <c r="BR90" i="49"/>
  <c r="BO90" i="49"/>
  <c r="BL90" i="49"/>
  <c r="BH90" i="49"/>
  <c r="BD90" i="49"/>
  <c r="BE90" i="49" s="1"/>
  <c r="AZ90" i="49"/>
  <c r="BA90" i="49" s="1"/>
  <c r="AV90" i="49"/>
  <c r="AR90" i="49"/>
  <c r="AS90" i="49" s="1"/>
  <c r="AN90" i="49"/>
  <c r="AO90" i="49" s="1"/>
  <c r="AJ90" i="49"/>
  <c r="AK90" i="49" s="1"/>
  <c r="AF90" i="49"/>
  <c r="AB90" i="49"/>
  <c r="AC90" i="49" s="1"/>
  <c r="X90" i="49"/>
  <c r="Y90" i="49" s="1"/>
  <c r="BQ89" i="49"/>
  <c r="BP89" i="49"/>
  <c r="BN89" i="49"/>
  <c r="BM89" i="49"/>
  <c r="BG89" i="49"/>
  <c r="BF89" i="49"/>
  <c r="BC89" i="49"/>
  <c r="BB89" i="49"/>
  <c r="AY89" i="49"/>
  <c r="AX89" i="49"/>
  <c r="AU89" i="49"/>
  <c r="AT89" i="49"/>
  <c r="AQ89" i="49"/>
  <c r="AP89" i="49"/>
  <c r="AM89" i="49"/>
  <c r="AL89" i="49"/>
  <c r="AI89" i="49"/>
  <c r="AH89" i="49"/>
  <c r="AE89" i="49"/>
  <c r="AD89" i="49"/>
  <c r="AA89" i="49"/>
  <c r="Z89" i="49"/>
  <c r="W89" i="49"/>
  <c r="I36" i="76" s="1"/>
  <c r="V89" i="49"/>
  <c r="H36" i="76" s="1"/>
  <c r="U89" i="49"/>
  <c r="J36" i="76" s="1"/>
  <c r="T89" i="49"/>
  <c r="R89" i="49"/>
  <c r="S90" i="49" s="1"/>
  <c r="M89" i="49"/>
  <c r="L89" i="49"/>
  <c r="K89" i="49"/>
  <c r="J89" i="49"/>
  <c r="F36" i="76" s="1"/>
  <c r="BR88" i="49"/>
  <c r="BR87" i="49" s="1"/>
  <c r="BR89" i="49" s="1"/>
  <c r="BO88" i="49"/>
  <c r="BO87" i="49" s="1"/>
  <c r="BO89" i="49" s="1"/>
  <c r="BL88" i="49"/>
  <c r="BL87" i="49" s="1"/>
  <c r="BL89" i="49" s="1"/>
  <c r="BH88" i="49"/>
  <c r="BI88" i="49" s="1"/>
  <c r="BD88" i="49"/>
  <c r="BE88" i="49" s="1"/>
  <c r="AZ88" i="49"/>
  <c r="BA88" i="49" s="1"/>
  <c r="AV88" i="49"/>
  <c r="AW88" i="49" s="1"/>
  <c r="AR88" i="49"/>
  <c r="AR87" i="49" s="1"/>
  <c r="AS87" i="49" s="1"/>
  <c r="AN88" i="49"/>
  <c r="AN87" i="49" s="1"/>
  <c r="AO87" i="49" s="1"/>
  <c r="AJ88" i="49"/>
  <c r="AK88" i="49" s="1"/>
  <c r="AF88" i="49"/>
  <c r="AG88" i="49" s="1"/>
  <c r="AB88" i="49"/>
  <c r="AB87" i="49" s="1"/>
  <c r="AB89" i="49" s="1"/>
  <c r="X88" i="49"/>
  <c r="Y88" i="49" s="1"/>
  <c r="S88" i="49"/>
  <c r="S89" i="49" s="1"/>
  <c r="S87" i="49"/>
  <c r="BR86" i="49"/>
  <c r="BO86" i="49"/>
  <c r="BL86" i="49"/>
  <c r="BH86" i="49"/>
  <c r="BI86" i="49" s="1"/>
  <c r="BD86" i="49"/>
  <c r="BE86" i="49" s="1"/>
  <c r="AZ86" i="49"/>
  <c r="BA86" i="49" s="1"/>
  <c r="AV86" i="49"/>
  <c r="AW86" i="49" s="1"/>
  <c r="AR86" i="49"/>
  <c r="AS86" i="49" s="1"/>
  <c r="AN86" i="49"/>
  <c r="AO86" i="49" s="1"/>
  <c r="AJ86" i="49"/>
  <c r="AK86" i="49" s="1"/>
  <c r="AF86" i="49"/>
  <c r="AG86" i="49" s="1"/>
  <c r="AB86" i="49"/>
  <c r="AC86" i="49" s="1"/>
  <c r="X86" i="49"/>
  <c r="Y86" i="49" s="1"/>
  <c r="BQ85" i="49"/>
  <c r="BP85" i="49"/>
  <c r="BN85" i="49"/>
  <c r="BM85" i="49"/>
  <c r="BG85" i="49"/>
  <c r="BF85" i="49"/>
  <c r="BC85" i="49"/>
  <c r="BB85" i="49"/>
  <c r="AY85" i="49"/>
  <c r="AX85" i="49"/>
  <c r="AU85" i="49"/>
  <c r="AT85" i="49"/>
  <c r="AQ85" i="49"/>
  <c r="AP85" i="49"/>
  <c r="AM85" i="49"/>
  <c r="AL85" i="49"/>
  <c r="AI85" i="49"/>
  <c r="AH85" i="49"/>
  <c r="AE85" i="49"/>
  <c r="AD85" i="49"/>
  <c r="AA85" i="49"/>
  <c r="Z85" i="49"/>
  <c r="W85" i="49"/>
  <c r="I35" i="76" s="1"/>
  <c r="V85" i="49"/>
  <c r="H35" i="76" s="1"/>
  <c r="U85" i="49"/>
  <c r="J35" i="76" s="1"/>
  <c r="T85" i="49"/>
  <c r="R85" i="49"/>
  <c r="S86" i="49" s="1"/>
  <c r="M85" i="49"/>
  <c r="L85" i="49"/>
  <c r="K85" i="49"/>
  <c r="J85" i="49"/>
  <c r="F35" i="76" s="1"/>
  <c r="BR84" i="49"/>
  <c r="BR83" i="49" s="1"/>
  <c r="BR85" i="49" s="1"/>
  <c r="BO84" i="49"/>
  <c r="BO83" i="49" s="1"/>
  <c r="BO85" i="49" s="1"/>
  <c r="BL84" i="49"/>
  <c r="BL83" i="49" s="1"/>
  <c r="BL85" i="49" s="1"/>
  <c r="BH84" i="49"/>
  <c r="BI84" i="49" s="1"/>
  <c r="BD84" i="49"/>
  <c r="BE84" i="49" s="1"/>
  <c r="AZ84" i="49"/>
  <c r="BA84" i="49" s="1"/>
  <c r="AV84" i="49"/>
  <c r="AW84" i="49" s="1"/>
  <c r="AR84" i="49"/>
  <c r="AS84" i="49" s="1"/>
  <c r="AN84" i="49"/>
  <c r="AN83" i="49" s="1"/>
  <c r="AO83" i="49" s="1"/>
  <c r="AJ84" i="49"/>
  <c r="AK84" i="49" s="1"/>
  <c r="AF84" i="49"/>
  <c r="AG84" i="49" s="1"/>
  <c r="AB84" i="49"/>
  <c r="AC84" i="49" s="1"/>
  <c r="X84" i="49"/>
  <c r="Y84" i="49" s="1"/>
  <c r="S84" i="49"/>
  <c r="S85" i="49" s="1"/>
  <c r="BQ82" i="49"/>
  <c r="BP82" i="49"/>
  <c r="BN82" i="49"/>
  <c r="BM82" i="49"/>
  <c r="BG82" i="49"/>
  <c r="BF82" i="49"/>
  <c r="BC82" i="49"/>
  <c r="BB82" i="49"/>
  <c r="AY82" i="49"/>
  <c r="AX82" i="49"/>
  <c r="AU82" i="49"/>
  <c r="AT82" i="49"/>
  <c r="AQ82" i="49"/>
  <c r="AP82" i="49"/>
  <c r="AM82" i="49"/>
  <c r="AL82" i="49"/>
  <c r="AI82" i="49"/>
  <c r="AH82" i="49"/>
  <c r="AE82" i="49"/>
  <c r="AD82" i="49"/>
  <c r="AA82" i="49"/>
  <c r="Z82" i="49"/>
  <c r="W82" i="49"/>
  <c r="I34" i="76" s="1"/>
  <c r="AS54" i="76" s="1"/>
  <c r="V82" i="49"/>
  <c r="H34" i="76" s="1"/>
  <c r="U82" i="49"/>
  <c r="J34" i="76" s="1"/>
  <c r="AT54" i="76" s="1"/>
  <c r="T82" i="49"/>
  <c r="R82" i="49"/>
  <c r="S83" i="49" s="1"/>
  <c r="M82" i="49"/>
  <c r="L82" i="49"/>
  <c r="K82" i="49"/>
  <c r="J82" i="49"/>
  <c r="F34" i="76" s="1"/>
  <c r="BR81" i="49"/>
  <c r="BO81" i="49"/>
  <c r="BL81" i="49"/>
  <c r="BH81" i="49"/>
  <c r="BI81" i="49" s="1"/>
  <c r="BD81" i="49"/>
  <c r="BE81" i="49" s="1"/>
  <c r="AZ81" i="49"/>
  <c r="BA81" i="49" s="1"/>
  <c r="AV81" i="49"/>
  <c r="AW81" i="49" s="1"/>
  <c r="AR81" i="49"/>
  <c r="AS81" i="49" s="1"/>
  <c r="AN81" i="49"/>
  <c r="AO81" i="49" s="1"/>
  <c r="AJ81" i="49"/>
  <c r="AK81" i="49" s="1"/>
  <c r="AF81" i="49"/>
  <c r="AG81" i="49" s="1"/>
  <c r="AB81" i="49"/>
  <c r="AC81" i="49" s="1"/>
  <c r="X81" i="49"/>
  <c r="Y81" i="49" s="1"/>
  <c r="S81" i="49"/>
  <c r="S82" i="49" s="1"/>
  <c r="BR80" i="49"/>
  <c r="BO80" i="49"/>
  <c r="BL80" i="49"/>
  <c r="BH80" i="49"/>
  <c r="BI80" i="49" s="1"/>
  <c r="BD80" i="49"/>
  <c r="BE80" i="49" s="1"/>
  <c r="AZ80" i="49"/>
  <c r="BA80" i="49" s="1"/>
  <c r="AV80" i="49"/>
  <c r="AW80" i="49" s="1"/>
  <c r="AR80" i="49"/>
  <c r="AS80" i="49" s="1"/>
  <c r="AN80" i="49"/>
  <c r="AO80" i="49" s="1"/>
  <c r="AJ80" i="49"/>
  <c r="AF80" i="49"/>
  <c r="AG80" i="49" s="1"/>
  <c r="AB80" i="49"/>
  <c r="AC80" i="49" s="1"/>
  <c r="X80" i="49"/>
  <c r="Y80" i="49" s="1"/>
  <c r="S80" i="49"/>
  <c r="BR79" i="49"/>
  <c r="BO79" i="49"/>
  <c r="BL79" i="49"/>
  <c r="BH79" i="49"/>
  <c r="BI79" i="49" s="1"/>
  <c r="BD79" i="49"/>
  <c r="BE79" i="49" s="1"/>
  <c r="AZ79" i="49"/>
  <c r="BA79" i="49" s="1"/>
  <c r="AV79" i="49"/>
  <c r="AW79" i="49" s="1"/>
  <c r="AR79" i="49"/>
  <c r="AS79" i="49" s="1"/>
  <c r="AN79" i="49"/>
  <c r="AO79" i="49" s="1"/>
  <c r="AJ79" i="49"/>
  <c r="AK79" i="49" s="1"/>
  <c r="AF79" i="49"/>
  <c r="AG79" i="49" s="1"/>
  <c r="AB79" i="49"/>
  <c r="AC79" i="49" s="1"/>
  <c r="X79" i="49"/>
  <c r="Y79" i="49" s="1"/>
  <c r="BQ78" i="49"/>
  <c r="BP78" i="49"/>
  <c r="BN78" i="49"/>
  <c r="BM78" i="49"/>
  <c r="BG78" i="49"/>
  <c r="BF78" i="49"/>
  <c r="BC78" i="49"/>
  <c r="BB78" i="49"/>
  <c r="AY78" i="49"/>
  <c r="AX78" i="49"/>
  <c r="AU78" i="49"/>
  <c r="AT78" i="49"/>
  <c r="AQ78" i="49"/>
  <c r="AP78" i="49"/>
  <c r="AM78" i="49"/>
  <c r="AL78" i="49"/>
  <c r="AI78" i="49"/>
  <c r="AH78" i="49"/>
  <c r="AE78" i="49"/>
  <c r="AD78" i="49"/>
  <c r="AA78" i="49"/>
  <c r="Z78" i="49"/>
  <c r="W78" i="49"/>
  <c r="I32" i="76" s="1"/>
  <c r="V78" i="49"/>
  <c r="H32" i="76" s="1"/>
  <c r="U78" i="49"/>
  <c r="J32" i="76" s="1"/>
  <c r="AT53" i="76" s="1"/>
  <c r="T78" i="49"/>
  <c r="R78" i="49"/>
  <c r="S79" i="49" s="1"/>
  <c r="M78" i="49"/>
  <c r="L78" i="49"/>
  <c r="K78" i="49"/>
  <c r="J78" i="49"/>
  <c r="F32" i="76" s="1"/>
  <c r="BR77" i="49"/>
  <c r="BO77" i="49"/>
  <c r="BL77" i="49"/>
  <c r="BH77" i="49"/>
  <c r="BI77" i="49" s="1"/>
  <c r="BD77" i="49"/>
  <c r="BE77" i="49" s="1"/>
  <c r="AZ77" i="49"/>
  <c r="BA77" i="49" s="1"/>
  <c r="AV77" i="49"/>
  <c r="AW77" i="49" s="1"/>
  <c r="AR77" i="49"/>
  <c r="AS77" i="49" s="1"/>
  <c r="AN77" i="49"/>
  <c r="AO77" i="49" s="1"/>
  <c r="AJ77" i="49"/>
  <c r="AK77" i="49" s="1"/>
  <c r="AF77" i="49"/>
  <c r="AG77" i="49" s="1"/>
  <c r="AB77" i="49"/>
  <c r="AC77" i="49" s="1"/>
  <c r="X77" i="49"/>
  <c r="Y77" i="49" s="1"/>
  <c r="S77" i="49"/>
  <c r="S78" i="49" s="1"/>
  <c r="BR76" i="49"/>
  <c r="BO76" i="49"/>
  <c r="BL76" i="49"/>
  <c r="BH76" i="49"/>
  <c r="BI76" i="49" s="1"/>
  <c r="BD76" i="49"/>
  <c r="BE76" i="49" s="1"/>
  <c r="AZ76" i="49"/>
  <c r="BA76" i="49" s="1"/>
  <c r="AV76" i="49"/>
  <c r="AW76" i="49" s="1"/>
  <c r="AR76" i="49"/>
  <c r="AS76" i="49" s="1"/>
  <c r="AN76" i="49"/>
  <c r="AO76" i="49" s="1"/>
  <c r="AJ76" i="49"/>
  <c r="AF76" i="49"/>
  <c r="AG76" i="49" s="1"/>
  <c r="AB76" i="49"/>
  <c r="AC76" i="49" s="1"/>
  <c r="X76" i="49"/>
  <c r="Y76" i="49" s="1"/>
  <c r="S76" i="49"/>
  <c r="A77" i="49"/>
  <c r="A78" i="49" s="1"/>
  <c r="D337" i="49"/>
  <c r="AU56" i="76" l="1"/>
  <c r="AS53" i="76"/>
  <c r="U33" i="76"/>
  <c r="V33" i="76" s="1"/>
  <c r="G38" i="76"/>
  <c r="K38" i="76"/>
  <c r="AU54" i="76"/>
  <c r="AS37" i="76"/>
  <c r="A79" i="49"/>
  <c r="B32" i="76"/>
  <c r="O32" i="74"/>
  <c r="O32" i="76"/>
  <c r="A104" i="49"/>
  <c r="A105" i="49" s="1"/>
  <c r="A106" i="49" s="1"/>
  <c r="B43" i="76"/>
  <c r="BD55" i="76"/>
  <c r="BC55" i="76"/>
  <c r="BH92" i="49"/>
  <c r="G33" i="76"/>
  <c r="K33" i="76"/>
  <c r="BL82" i="49"/>
  <c r="X83" i="49"/>
  <c r="Y83" i="49" s="1"/>
  <c r="BR96" i="49"/>
  <c r="BO96" i="49"/>
  <c r="BH96" i="49"/>
  <c r="BI96" i="49" s="1"/>
  <c r="AZ96" i="49"/>
  <c r="BA96" i="49" s="1"/>
  <c r="AB96" i="49"/>
  <c r="AC96" i="49" s="1"/>
  <c r="BR92" i="49"/>
  <c r="BO92" i="49"/>
  <c r="BL92" i="49"/>
  <c r="AV92" i="49"/>
  <c r="AW92" i="49" s="1"/>
  <c r="AF92" i="49"/>
  <c r="AG92" i="49" s="1"/>
  <c r="AZ87" i="49"/>
  <c r="AZ89" i="49" s="1"/>
  <c r="AR83" i="49"/>
  <c r="AS83" i="49" s="1"/>
  <c r="AB83" i="49"/>
  <c r="AC83" i="49" s="1"/>
  <c r="BR82" i="49"/>
  <c r="BO82" i="49"/>
  <c r="AJ82" i="49"/>
  <c r="BR78" i="49"/>
  <c r="BO78" i="49"/>
  <c r="BL78" i="49"/>
  <c r="AJ78" i="49"/>
  <c r="AK78" i="49" s="1"/>
  <c r="BI94" i="49"/>
  <c r="BD96" i="49"/>
  <c r="BE96" i="49" s="1"/>
  <c r="BA94" i="49"/>
  <c r="AV96" i="49"/>
  <c r="AW96" i="49" s="1"/>
  <c r="AR96" i="49"/>
  <c r="AS96" i="49" s="1"/>
  <c r="AN96" i="49"/>
  <c r="AO96" i="49" s="1"/>
  <c r="AJ96" i="49"/>
  <c r="AK96" i="49" s="1"/>
  <c r="AF96" i="49"/>
  <c r="AG96" i="49" s="1"/>
  <c r="AC94" i="49"/>
  <c r="X96" i="49"/>
  <c r="Y96" i="49" s="1"/>
  <c r="BI90" i="49"/>
  <c r="BI92" i="49"/>
  <c r="BD92" i="49"/>
  <c r="BE92" i="49" s="1"/>
  <c r="AZ92" i="49"/>
  <c r="BA92" i="49" s="1"/>
  <c r="AW90" i="49"/>
  <c r="AR92" i="49"/>
  <c r="AS92" i="49" s="1"/>
  <c r="AN92" i="49"/>
  <c r="AO92" i="49" s="1"/>
  <c r="AJ92" i="49"/>
  <c r="AK92" i="49" s="1"/>
  <c r="AG90" i="49"/>
  <c r="AB92" i="49"/>
  <c r="AC92" i="49" s="1"/>
  <c r="X92" i="49"/>
  <c r="Y92" i="49" s="1"/>
  <c r="S93" i="49"/>
  <c r="BH87" i="49"/>
  <c r="BH89" i="49" s="1"/>
  <c r="BI89" i="49" s="1"/>
  <c r="BD87" i="49"/>
  <c r="BE87" i="49" s="1"/>
  <c r="AS88" i="49"/>
  <c r="AJ87" i="49"/>
  <c r="AK87" i="49" s="1"/>
  <c r="AF87" i="49"/>
  <c r="AG87" i="49" s="1"/>
  <c r="AC88" i="49"/>
  <c r="X87" i="49"/>
  <c r="Y87" i="49" s="1"/>
  <c r="AR89" i="49"/>
  <c r="AN89" i="49"/>
  <c r="AO89" i="49" s="1"/>
  <c r="AC87" i="49"/>
  <c r="AC89" i="49"/>
  <c r="AS89" i="49"/>
  <c r="BA89" i="49"/>
  <c r="BH83" i="49"/>
  <c r="BH85" i="49" s="1"/>
  <c r="BI85" i="49" s="1"/>
  <c r="BD83" i="49"/>
  <c r="BE83" i="49" s="1"/>
  <c r="AZ83" i="49"/>
  <c r="AZ85" i="49" s="1"/>
  <c r="BA85" i="49" s="1"/>
  <c r="AJ83" i="49"/>
  <c r="AK83" i="49" s="1"/>
  <c r="AF83" i="49"/>
  <c r="AG83" i="49" s="1"/>
  <c r="AR85" i="49"/>
  <c r="AS85" i="49" s="1"/>
  <c r="AN85" i="49"/>
  <c r="AO85" i="49" s="1"/>
  <c r="BH82" i="49"/>
  <c r="BI82" i="49" s="1"/>
  <c r="BD82" i="49"/>
  <c r="BE82" i="49" s="1"/>
  <c r="AZ82" i="49"/>
  <c r="AV82" i="49"/>
  <c r="AW82" i="49" s="1"/>
  <c r="AR82" i="49"/>
  <c r="AS82" i="49" s="1"/>
  <c r="AN82" i="49"/>
  <c r="AO82" i="49" s="1"/>
  <c r="AF82" i="49"/>
  <c r="AG82" i="49" s="1"/>
  <c r="AB82" i="49"/>
  <c r="AC82" i="49" s="1"/>
  <c r="X82" i="49"/>
  <c r="Y82" i="49" s="1"/>
  <c r="AK82" i="49"/>
  <c r="BA82" i="49"/>
  <c r="BH78" i="49"/>
  <c r="BI78" i="49" s="1"/>
  <c r="BD78" i="49"/>
  <c r="BE78" i="49" s="1"/>
  <c r="AZ78" i="49"/>
  <c r="BA78" i="49" s="1"/>
  <c r="AV78" i="49"/>
  <c r="AW78" i="49" s="1"/>
  <c r="AR78" i="49"/>
  <c r="AS78" i="49" s="1"/>
  <c r="AN78" i="49"/>
  <c r="AO78" i="49" s="1"/>
  <c r="AK76" i="49"/>
  <c r="AF78" i="49"/>
  <c r="AG78" i="49" s="1"/>
  <c r="AB78" i="49"/>
  <c r="AC78" i="49" s="1"/>
  <c r="X78" i="49"/>
  <c r="Y78" i="49" s="1"/>
  <c r="AV87" i="49"/>
  <c r="AO88" i="49"/>
  <c r="AV83" i="49"/>
  <c r="AO84" i="49"/>
  <c r="AK80" i="49"/>
  <c r="F41" i="49"/>
  <c r="F42" i="49"/>
  <c r="F43" i="49"/>
  <c r="F44" i="49"/>
  <c r="F45" i="49"/>
  <c r="F46" i="49"/>
  <c r="F40" i="49"/>
  <c r="F30" i="49"/>
  <c r="F31" i="49"/>
  <c r="F32" i="49"/>
  <c r="F33" i="49"/>
  <c r="F34" i="49"/>
  <c r="F35" i="49"/>
  <c r="F36" i="49"/>
  <c r="F37" i="49"/>
  <c r="F38" i="49"/>
  <c r="BR74" i="49"/>
  <c r="BO74" i="49"/>
  <c r="BL74" i="49"/>
  <c r="BH74" i="49"/>
  <c r="BI74" i="49" s="1"/>
  <c r="BD74" i="49"/>
  <c r="BE74" i="49" s="1"/>
  <c r="AZ74" i="49"/>
  <c r="BA74" i="49" s="1"/>
  <c r="AV74" i="49"/>
  <c r="AW74" i="49" s="1"/>
  <c r="AR74" i="49"/>
  <c r="AS74" i="49" s="1"/>
  <c r="AN74" i="49"/>
  <c r="AO74" i="49" s="1"/>
  <c r="AJ74" i="49"/>
  <c r="AK74" i="49" s="1"/>
  <c r="AF74" i="49"/>
  <c r="AG74" i="49" s="1"/>
  <c r="AB74" i="49"/>
  <c r="AC74" i="49" s="1"/>
  <c r="X74" i="49"/>
  <c r="Y74" i="49" s="1"/>
  <c r="S74" i="49"/>
  <c r="BR73" i="49"/>
  <c r="BO73" i="49"/>
  <c r="BL73" i="49"/>
  <c r="BH73" i="49"/>
  <c r="BI73" i="49" s="1"/>
  <c r="BD73" i="49"/>
  <c r="BE73" i="49" s="1"/>
  <c r="AZ73" i="49"/>
  <c r="BA73" i="49" s="1"/>
  <c r="AV73" i="49"/>
  <c r="AW73" i="49" s="1"/>
  <c r="AR73" i="49"/>
  <c r="AS73" i="49" s="1"/>
  <c r="AN73" i="49"/>
  <c r="AO73" i="49" s="1"/>
  <c r="AJ73" i="49"/>
  <c r="AK73" i="49" s="1"/>
  <c r="AF73" i="49"/>
  <c r="AG73" i="49" s="1"/>
  <c r="AB73" i="49"/>
  <c r="AC73" i="49" s="1"/>
  <c r="X73" i="49"/>
  <c r="Y73" i="49" s="1"/>
  <c r="S73" i="49"/>
  <c r="BQ71" i="49"/>
  <c r="BP71" i="49"/>
  <c r="BN71" i="49"/>
  <c r="BM71" i="49"/>
  <c r="BG71" i="49"/>
  <c r="BF71" i="49"/>
  <c r="BC71" i="49"/>
  <c r="BB71" i="49"/>
  <c r="AY71" i="49"/>
  <c r="AX71" i="49"/>
  <c r="AU71" i="49"/>
  <c r="AT71" i="49"/>
  <c r="AQ71" i="49"/>
  <c r="AP71" i="49"/>
  <c r="AM71" i="49"/>
  <c r="AL71" i="49"/>
  <c r="AI71" i="49"/>
  <c r="AH71" i="49"/>
  <c r="AE71" i="49"/>
  <c r="AD71" i="49"/>
  <c r="AA71" i="49"/>
  <c r="Z71" i="49"/>
  <c r="W71" i="49"/>
  <c r="V71" i="49"/>
  <c r="U71" i="49"/>
  <c r="T71" i="49"/>
  <c r="R71" i="49"/>
  <c r="M71" i="49"/>
  <c r="L71" i="49"/>
  <c r="K71" i="49"/>
  <c r="J71" i="49"/>
  <c r="BR70" i="49"/>
  <c r="BR69" i="49" s="1"/>
  <c r="BR71" i="49" s="1"/>
  <c r="BO70" i="49"/>
  <c r="BO69" i="49" s="1"/>
  <c r="BO71" i="49" s="1"/>
  <c r="BL70" i="49"/>
  <c r="BL69" i="49" s="1"/>
  <c r="BL71" i="49" s="1"/>
  <c r="BH70" i="49"/>
  <c r="BI70" i="49" s="1"/>
  <c r="BD70" i="49"/>
  <c r="BE70" i="49" s="1"/>
  <c r="AZ70" i="49"/>
  <c r="BA70" i="49" s="1"/>
  <c r="AV70" i="49"/>
  <c r="AW70" i="49" s="1"/>
  <c r="AR70" i="49"/>
  <c r="AS70" i="49" s="1"/>
  <c r="AN70" i="49"/>
  <c r="AO70" i="49" s="1"/>
  <c r="AJ70" i="49"/>
  <c r="AJ69" i="49" s="1"/>
  <c r="AK69" i="49" s="1"/>
  <c r="AF70" i="49"/>
  <c r="AG70" i="49" s="1"/>
  <c r="AB70" i="49"/>
  <c r="AC70" i="49" s="1"/>
  <c r="X70" i="49"/>
  <c r="Y70" i="49" s="1"/>
  <c r="S70" i="49"/>
  <c r="S71" i="49" s="1"/>
  <c r="BQ68" i="49"/>
  <c r="BP68" i="49"/>
  <c r="BN68" i="49"/>
  <c r="BM68" i="49"/>
  <c r="BG68" i="49"/>
  <c r="BF68" i="49"/>
  <c r="BC68" i="49"/>
  <c r="BB68" i="49"/>
  <c r="AY68" i="49"/>
  <c r="AX68" i="49"/>
  <c r="AU68" i="49"/>
  <c r="AT68" i="49"/>
  <c r="AQ68" i="49"/>
  <c r="AP68" i="49"/>
  <c r="AM68" i="49"/>
  <c r="AL68" i="49"/>
  <c r="AI68" i="49"/>
  <c r="AH68" i="49"/>
  <c r="AE68" i="49"/>
  <c r="AD68" i="49"/>
  <c r="AA68" i="49"/>
  <c r="Z68" i="49"/>
  <c r="W68" i="49"/>
  <c r="V68" i="49"/>
  <c r="U68" i="49"/>
  <c r="T68" i="49"/>
  <c r="R68" i="49"/>
  <c r="M68" i="49"/>
  <c r="L68" i="49"/>
  <c r="K68" i="49"/>
  <c r="J68" i="49"/>
  <c r="BR67" i="49"/>
  <c r="BO67" i="49"/>
  <c r="BL67" i="49"/>
  <c r="BH67" i="49"/>
  <c r="BI67" i="49" s="1"/>
  <c r="BD67" i="49"/>
  <c r="BE67" i="49" s="1"/>
  <c r="AZ67" i="49"/>
  <c r="BA67" i="49" s="1"/>
  <c r="AV67" i="49"/>
  <c r="AW67" i="49" s="1"/>
  <c r="AR67" i="49"/>
  <c r="AS67" i="49" s="1"/>
  <c r="AN67" i="49"/>
  <c r="AO67" i="49" s="1"/>
  <c r="AJ67" i="49"/>
  <c r="AK67" i="49" s="1"/>
  <c r="AF67" i="49"/>
  <c r="AG67" i="49" s="1"/>
  <c r="AB67" i="49"/>
  <c r="AC67" i="49" s="1"/>
  <c r="X67" i="49"/>
  <c r="Y67" i="49" s="1"/>
  <c r="S67" i="49"/>
  <c r="S68" i="49" s="1"/>
  <c r="BR66" i="49"/>
  <c r="BO66" i="49"/>
  <c r="BL66" i="49"/>
  <c r="BH66" i="49"/>
  <c r="BD66" i="49"/>
  <c r="BE66" i="49" s="1"/>
  <c r="AZ66" i="49"/>
  <c r="BA66" i="49" s="1"/>
  <c r="AV66" i="49"/>
  <c r="AW66" i="49" s="1"/>
  <c r="AR66" i="49"/>
  <c r="AN66" i="49"/>
  <c r="AO66" i="49" s="1"/>
  <c r="AJ66" i="49"/>
  <c r="AF66" i="49"/>
  <c r="AG66" i="49" s="1"/>
  <c r="AB66" i="49"/>
  <c r="X66" i="49"/>
  <c r="Y66" i="49" s="1"/>
  <c r="S66" i="49"/>
  <c r="BR65" i="49"/>
  <c r="BO65" i="49"/>
  <c r="BL65" i="49"/>
  <c r="BH65" i="49"/>
  <c r="BI65" i="49" s="1"/>
  <c r="BD65" i="49"/>
  <c r="BE65" i="49" s="1"/>
  <c r="AZ65" i="49"/>
  <c r="BA65" i="49" s="1"/>
  <c r="AV65" i="49"/>
  <c r="AW65" i="49" s="1"/>
  <c r="AR65" i="49"/>
  <c r="AS65" i="49" s="1"/>
  <c r="AN65" i="49"/>
  <c r="AO65" i="49" s="1"/>
  <c r="AJ65" i="49"/>
  <c r="AK65" i="49" s="1"/>
  <c r="AF65" i="49"/>
  <c r="AG65" i="49" s="1"/>
  <c r="AB65" i="49"/>
  <c r="AC65" i="49" s="1"/>
  <c r="X65" i="49"/>
  <c r="Y65" i="49" s="1"/>
  <c r="BQ64" i="49"/>
  <c r="BP64" i="49"/>
  <c r="BN64" i="49"/>
  <c r="BM64" i="49"/>
  <c r="BG64" i="49"/>
  <c r="BF64" i="49"/>
  <c r="BC64" i="49"/>
  <c r="BB64" i="49"/>
  <c r="AY64" i="49"/>
  <c r="AX64" i="49"/>
  <c r="AU64" i="49"/>
  <c r="AT64" i="49"/>
  <c r="AQ64" i="49"/>
  <c r="AP64" i="49"/>
  <c r="AM64" i="49"/>
  <c r="AL64" i="49"/>
  <c r="AI64" i="49"/>
  <c r="AH64" i="49"/>
  <c r="AE64" i="49"/>
  <c r="AD64" i="49"/>
  <c r="AA64" i="49"/>
  <c r="Z64" i="49"/>
  <c r="W64" i="49"/>
  <c r="V64" i="49"/>
  <c r="U64" i="49"/>
  <c r="T64" i="49"/>
  <c r="R64" i="49"/>
  <c r="M64" i="49"/>
  <c r="L64" i="49"/>
  <c r="K64" i="49"/>
  <c r="J64" i="49"/>
  <c r="BR63" i="49"/>
  <c r="BO63" i="49"/>
  <c r="BL63" i="49"/>
  <c r="BH63" i="49"/>
  <c r="BI63" i="49" s="1"/>
  <c r="BD63" i="49"/>
  <c r="BE63" i="49" s="1"/>
  <c r="AZ63" i="49"/>
  <c r="BA63" i="49" s="1"/>
  <c r="AV63" i="49"/>
  <c r="AW63" i="49" s="1"/>
  <c r="AR63" i="49"/>
  <c r="AS63" i="49" s="1"/>
  <c r="AN63" i="49"/>
  <c r="AO63" i="49" s="1"/>
  <c r="AJ63" i="49"/>
  <c r="AK63" i="49" s="1"/>
  <c r="AF63" i="49"/>
  <c r="AG63" i="49" s="1"/>
  <c r="AB63" i="49"/>
  <c r="AC63" i="49" s="1"/>
  <c r="X63" i="49"/>
  <c r="Y63" i="49" s="1"/>
  <c r="S63" i="49"/>
  <c r="S64" i="49" s="1"/>
  <c r="BR62" i="49"/>
  <c r="BO62" i="49"/>
  <c r="BL62" i="49"/>
  <c r="BH62" i="49"/>
  <c r="BI62" i="49" s="1"/>
  <c r="BD62" i="49"/>
  <c r="BE62" i="49" s="1"/>
  <c r="AZ62" i="49"/>
  <c r="BA62" i="49" s="1"/>
  <c r="AV62" i="49"/>
  <c r="AW62" i="49" s="1"/>
  <c r="AR62" i="49"/>
  <c r="AS62" i="49" s="1"/>
  <c r="AN62" i="49"/>
  <c r="AO62" i="49" s="1"/>
  <c r="AJ62" i="49"/>
  <c r="AF62" i="49"/>
  <c r="AG62" i="49" s="1"/>
  <c r="AB62" i="49"/>
  <c r="AC62" i="49" s="1"/>
  <c r="X62" i="49"/>
  <c r="Y62" i="49" s="1"/>
  <c r="S62" i="49"/>
  <c r="BR60" i="49"/>
  <c r="BO60" i="49"/>
  <c r="BL60" i="49"/>
  <c r="BH60" i="49"/>
  <c r="BI60" i="49" s="1"/>
  <c r="BD60" i="49"/>
  <c r="BE60" i="49" s="1"/>
  <c r="AZ60" i="49"/>
  <c r="BA60" i="49" s="1"/>
  <c r="AV60" i="49"/>
  <c r="AW60" i="49" s="1"/>
  <c r="AR60" i="49"/>
  <c r="AS60" i="49" s="1"/>
  <c r="AN60" i="49"/>
  <c r="AO60" i="49" s="1"/>
  <c r="AJ60" i="49"/>
  <c r="AK60" i="49" s="1"/>
  <c r="AF60" i="49"/>
  <c r="AG60" i="49" s="1"/>
  <c r="AB60" i="49"/>
  <c r="AC60" i="49" s="1"/>
  <c r="X60" i="49"/>
  <c r="Y60" i="49" s="1"/>
  <c r="BP59" i="49"/>
  <c r="BM59" i="49"/>
  <c r="BF59" i="49"/>
  <c r="BB59" i="49"/>
  <c r="AX59" i="49"/>
  <c r="AT59" i="49"/>
  <c r="AP59" i="49"/>
  <c r="AL59" i="49"/>
  <c r="AH59" i="49"/>
  <c r="AD59" i="49"/>
  <c r="Z59" i="49"/>
  <c r="V59" i="49"/>
  <c r="T59" i="49"/>
  <c r="BQ58" i="49"/>
  <c r="BQ59" i="49" s="1"/>
  <c r="BP58" i="49"/>
  <c r="BN58" i="49"/>
  <c r="BN59" i="49" s="1"/>
  <c r="BM58" i="49"/>
  <c r="BG58" i="49"/>
  <c r="BG59" i="49" s="1"/>
  <c r="BF58" i="49"/>
  <c r="BC58" i="49"/>
  <c r="BC59" i="49" s="1"/>
  <c r="BB58" i="49"/>
  <c r="AY58" i="49"/>
  <c r="AY59" i="49" s="1"/>
  <c r="AX58" i="49"/>
  <c r="AU58" i="49"/>
  <c r="AU59" i="49" s="1"/>
  <c r="AT58" i="49"/>
  <c r="AQ58" i="49"/>
  <c r="AQ59" i="49" s="1"/>
  <c r="AP58" i="49"/>
  <c r="AM58" i="49"/>
  <c r="AM59" i="49" s="1"/>
  <c r="AL58" i="49"/>
  <c r="AI58" i="49"/>
  <c r="AI59" i="49" s="1"/>
  <c r="AH58" i="49"/>
  <c r="AE58" i="49"/>
  <c r="AE59" i="49" s="1"/>
  <c r="AD58" i="49"/>
  <c r="AA58" i="49"/>
  <c r="AA59" i="49" s="1"/>
  <c r="Z58" i="49"/>
  <c r="W58" i="49"/>
  <c r="W59" i="49" s="1"/>
  <c r="V58" i="49"/>
  <c r="U58" i="49"/>
  <c r="U59" i="49" s="1"/>
  <c r="T58" i="49"/>
  <c r="R58" i="49"/>
  <c r="M58" i="49"/>
  <c r="M59" i="49" s="1"/>
  <c r="L58" i="49"/>
  <c r="L59" i="49" s="1"/>
  <c r="K58" i="49"/>
  <c r="K59" i="49" s="1"/>
  <c r="J58" i="49"/>
  <c r="J59" i="49" s="1"/>
  <c r="BR57" i="49"/>
  <c r="BO57" i="49"/>
  <c r="BL57" i="49"/>
  <c r="BH57" i="49"/>
  <c r="BD57" i="49"/>
  <c r="AZ57" i="49"/>
  <c r="AV57" i="49"/>
  <c r="AR57" i="49"/>
  <c r="AN57" i="49"/>
  <c r="AJ57" i="49"/>
  <c r="AF57" i="49"/>
  <c r="AB57" i="49"/>
  <c r="X57" i="49"/>
  <c r="S57" i="49"/>
  <c r="S58" i="49" s="1"/>
  <c r="S59" i="49" s="1"/>
  <c r="BR56" i="49"/>
  <c r="BO56" i="49"/>
  <c r="BL56" i="49"/>
  <c r="BH56" i="49"/>
  <c r="BI56" i="49" s="1"/>
  <c r="BD56" i="49"/>
  <c r="BE56" i="49" s="1"/>
  <c r="AZ56" i="49"/>
  <c r="AV56" i="49"/>
  <c r="AW56" i="49" s="1"/>
  <c r="AR56" i="49"/>
  <c r="AS56" i="49" s="1"/>
  <c r="AN56" i="49"/>
  <c r="AO56" i="49" s="1"/>
  <c r="AJ56" i="49"/>
  <c r="AF56" i="49"/>
  <c r="AG56" i="49" s="1"/>
  <c r="AB56" i="49"/>
  <c r="AC56" i="49" s="1"/>
  <c r="X56" i="49"/>
  <c r="Y56" i="49" s="1"/>
  <c r="S56" i="49"/>
  <c r="BR55" i="49"/>
  <c r="BO55" i="49"/>
  <c r="BL55" i="49"/>
  <c r="BH55" i="49"/>
  <c r="BI55" i="49" s="1"/>
  <c r="BD55" i="49"/>
  <c r="BE55" i="49" s="1"/>
  <c r="AZ55" i="49"/>
  <c r="BA55" i="49" s="1"/>
  <c r="AV55" i="49"/>
  <c r="AW55" i="49" s="1"/>
  <c r="AR55" i="49"/>
  <c r="AS55" i="49" s="1"/>
  <c r="AN55" i="49"/>
  <c r="AO55" i="49" s="1"/>
  <c r="AJ55" i="49"/>
  <c r="AK55" i="49" s="1"/>
  <c r="AF55" i="49"/>
  <c r="AG55" i="49" s="1"/>
  <c r="AB55" i="49"/>
  <c r="AC55" i="49" s="1"/>
  <c r="X55" i="49"/>
  <c r="Y55" i="49" s="1"/>
  <c r="S55" i="49"/>
  <c r="BR54" i="49"/>
  <c r="BO54" i="49"/>
  <c r="BL54" i="49"/>
  <c r="BH54" i="49"/>
  <c r="BI54" i="49" s="1"/>
  <c r="BD54" i="49"/>
  <c r="BE54" i="49" s="1"/>
  <c r="AZ54" i="49"/>
  <c r="BA54" i="49" s="1"/>
  <c r="AV54" i="49"/>
  <c r="AW54" i="49" s="1"/>
  <c r="AR54" i="49"/>
  <c r="AS54" i="49" s="1"/>
  <c r="AN54" i="49"/>
  <c r="AO54" i="49" s="1"/>
  <c r="AJ54" i="49"/>
  <c r="AK54" i="49" s="1"/>
  <c r="AF54" i="49"/>
  <c r="AG54" i="49" s="1"/>
  <c r="AB54" i="49"/>
  <c r="AC54" i="49" s="1"/>
  <c r="X54" i="49"/>
  <c r="Y54" i="49" s="1"/>
  <c r="S54" i="49"/>
  <c r="BR53" i="49"/>
  <c r="BO53" i="49"/>
  <c r="BL53" i="49"/>
  <c r="BH53" i="49"/>
  <c r="BI53" i="49" s="1"/>
  <c r="BD53" i="49"/>
  <c r="BE53" i="49" s="1"/>
  <c r="AZ53" i="49"/>
  <c r="BA53" i="49" s="1"/>
  <c r="AV53" i="49"/>
  <c r="AW53" i="49" s="1"/>
  <c r="AR53" i="49"/>
  <c r="AS53" i="49" s="1"/>
  <c r="AN53" i="49"/>
  <c r="AO53" i="49" s="1"/>
  <c r="AJ53" i="49"/>
  <c r="AK53" i="49" s="1"/>
  <c r="AF53" i="49"/>
  <c r="AG53" i="49" s="1"/>
  <c r="AB53" i="49"/>
  <c r="AC53" i="49" s="1"/>
  <c r="X53" i="49"/>
  <c r="Y53" i="49" s="1"/>
  <c r="S53" i="49"/>
  <c r="BR52" i="49"/>
  <c r="BO52" i="49"/>
  <c r="BL52" i="49"/>
  <c r="BH52" i="49"/>
  <c r="BI52" i="49" s="1"/>
  <c r="BD52" i="49"/>
  <c r="BE52" i="49" s="1"/>
  <c r="AZ52" i="49"/>
  <c r="BA52" i="49" s="1"/>
  <c r="AV52" i="49"/>
  <c r="AW52" i="49" s="1"/>
  <c r="AR52" i="49"/>
  <c r="AS52" i="49" s="1"/>
  <c r="AN52" i="49"/>
  <c r="AO52" i="49" s="1"/>
  <c r="AJ52" i="49"/>
  <c r="AK52" i="49" s="1"/>
  <c r="AF52" i="49"/>
  <c r="AG52" i="49" s="1"/>
  <c r="AB52" i="49"/>
  <c r="AC52" i="49" s="1"/>
  <c r="X52" i="49"/>
  <c r="Y52" i="49" s="1"/>
  <c r="S52" i="49"/>
  <c r="BR51" i="49"/>
  <c r="BO51" i="49"/>
  <c r="BL51" i="49"/>
  <c r="BH51" i="49"/>
  <c r="BI51" i="49" s="1"/>
  <c r="BD51" i="49"/>
  <c r="BE51" i="49" s="1"/>
  <c r="AZ51" i="49"/>
  <c r="BA51" i="49" s="1"/>
  <c r="AV51" i="49"/>
  <c r="AW51" i="49" s="1"/>
  <c r="AR51" i="49"/>
  <c r="AS51" i="49" s="1"/>
  <c r="AN51" i="49"/>
  <c r="AO51" i="49" s="1"/>
  <c r="AJ51" i="49"/>
  <c r="AK51" i="49" s="1"/>
  <c r="AF51" i="49"/>
  <c r="AG51" i="49" s="1"/>
  <c r="AB51" i="49"/>
  <c r="AC51" i="49" s="1"/>
  <c r="X51" i="49"/>
  <c r="Y51" i="49" s="1"/>
  <c r="S51" i="49"/>
  <c r="BR50" i="49"/>
  <c r="BO50" i="49"/>
  <c r="BL50" i="49"/>
  <c r="BH50" i="49"/>
  <c r="BI50" i="49" s="1"/>
  <c r="BD50" i="49"/>
  <c r="BE50" i="49" s="1"/>
  <c r="AZ50" i="49"/>
  <c r="BA50" i="49" s="1"/>
  <c r="AV50" i="49"/>
  <c r="AW50" i="49" s="1"/>
  <c r="AR50" i="49"/>
  <c r="AS50" i="49" s="1"/>
  <c r="AN50" i="49"/>
  <c r="AO50" i="49" s="1"/>
  <c r="AJ50" i="49"/>
  <c r="AK50" i="49" s="1"/>
  <c r="AF50" i="49"/>
  <c r="AG50" i="49" s="1"/>
  <c r="AB50" i="49"/>
  <c r="AC50" i="49" s="1"/>
  <c r="X50" i="49"/>
  <c r="Y50" i="49" s="1"/>
  <c r="BQ49" i="49"/>
  <c r="BP49" i="49"/>
  <c r="BN49" i="49"/>
  <c r="BM49" i="49"/>
  <c r="BG49" i="49"/>
  <c r="BF49" i="49"/>
  <c r="BC49" i="49"/>
  <c r="BB49" i="49"/>
  <c r="AY49" i="49"/>
  <c r="AX49" i="49"/>
  <c r="AU49" i="49"/>
  <c r="AT49" i="49"/>
  <c r="AQ49" i="49"/>
  <c r="AP49" i="49"/>
  <c r="AM49" i="49"/>
  <c r="AL49" i="49"/>
  <c r="AI49" i="49"/>
  <c r="AH49" i="49"/>
  <c r="AE49" i="49"/>
  <c r="AD49" i="49"/>
  <c r="AA49" i="49"/>
  <c r="Z49" i="49"/>
  <c r="W49" i="49"/>
  <c r="V49" i="49"/>
  <c r="U49" i="49"/>
  <c r="T49" i="49"/>
  <c r="R49" i="49"/>
  <c r="S50" i="49" s="1"/>
  <c r="M49" i="49"/>
  <c r="L49" i="49"/>
  <c r="K49" i="49"/>
  <c r="J49" i="49"/>
  <c r="BR48" i="49"/>
  <c r="BR47" i="49" s="1"/>
  <c r="BR49" i="49" s="1"/>
  <c r="BO48" i="49"/>
  <c r="BO47" i="49" s="1"/>
  <c r="BO49" i="49" s="1"/>
  <c r="BL48" i="49"/>
  <c r="BL47" i="49" s="1"/>
  <c r="BL49" i="49" s="1"/>
  <c r="BH48" i="49"/>
  <c r="BI48" i="49" s="1"/>
  <c r="BD48" i="49"/>
  <c r="BD47" i="49" s="1"/>
  <c r="BE47" i="49" s="1"/>
  <c r="AZ48" i="49"/>
  <c r="BA48" i="49" s="1"/>
  <c r="AV48" i="49"/>
  <c r="AW48" i="49" s="1"/>
  <c r="AR48" i="49"/>
  <c r="AS48" i="49" s="1"/>
  <c r="AN48" i="49"/>
  <c r="AO48" i="49" s="1"/>
  <c r="AJ48" i="49"/>
  <c r="AK48" i="49" s="1"/>
  <c r="AF48" i="49"/>
  <c r="AG48" i="49" s="1"/>
  <c r="AB48" i="49"/>
  <c r="AC48" i="49" s="1"/>
  <c r="X48" i="49"/>
  <c r="Y48" i="49" s="1"/>
  <c r="S48" i="49"/>
  <c r="S49" i="49" s="1"/>
  <c r="BQ46" i="49"/>
  <c r="BP46" i="49"/>
  <c r="BN46" i="49"/>
  <c r="BM46" i="49"/>
  <c r="BG46" i="49"/>
  <c r="BF46" i="49"/>
  <c r="BC46" i="49"/>
  <c r="BB46" i="49"/>
  <c r="AY46" i="49"/>
  <c r="AX46" i="49"/>
  <c r="AU46" i="49"/>
  <c r="AT46" i="49"/>
  <c r="AQ46" i="49"/>
  <c r="AP46" i="49"/>
  <c r="AM46" i="49"/>
  <c r="AL46" i="49"/>
  <c r="AI46" i="49"/>
  <c r="AH46" i="49"/>
  <c r="AE46" i="49"/>
  <c r="AD46" i="49"/>
  <c r="AA46" i="49"/>
  <c r="Z46" i="49"/>
  <c r="W46" i="49"/>
  <c r="V46" i="49"/>
  <c r="U46" i="49"/>
  <c r="T46" i="49"/>
  <c r="R46" i="49"/>
  <c r="S47" i="49" s="1"/>
  <c r="M46" i="49"/>
  <c r="L46" i="49"/>
  <c r="K46" i="49"/>
  <c r="J46" i="49"/>
  <c r="BR45" i="49"/>
  <c r="BO45" i="49"/>
  <c r="BL45" i="49"/>
  <c r="BH45" i="49"/>
  <c r="BI45" i="49" s="1"/>
  <c r="BD45" i="49"/>
  <c r="BE45" i="49" s="1"/>
  <c r="AZ45" i="49"/>
  <c r="BA45" i="49" s="1"/>
  <c r="AV45" i="49"/>
  <c r="AW45" i="49" s="1"/>
  <c r="AR45" i="49"/>
  <c r="AS45" i="49" s="1"/>
  <c r="AN45" i="49"/>
  <c r="AO45" i="49" s="1"/>
  <c r="AJ45" i="49"/>
  <c r="AK45" i="49" s="1"/>
  <c r="AF45" i="49"/>
  <c r="AG45" i="49" s="1"/>
  <c r="AB45" i="49"/>
  <c r="AC45" i="49" s="1"/>
  <c r="X45" i="49"/>
  <c r="Y45" i="49" s="1"/>
  <c r="S45" i="49"/>
  <c r="S46" i="49" s="1"/>
  <c r="BR44" i="49"/>
  <c r="BO44" i="49"/>
  <c r="BL44" i="49"/>
  <c r="BH44" i="49"/>
  <c r="BD44" i="49"/>
  <c r="AZ44" i="49"/>
  <c r="AV44" i="49"/>
  <c r="AR44" i="49"/>
  <c r="AN44" i="49"/>
  <c r="AJ44" i="49"/>
  <c r="AF44" i="49"/>
  <c r="AG44" i="49" s="1"/>
  <c r="AB44" i="49"/>
  <c r="AC44" i="49" s="1"/>
  <c r="X44" i="49"/>
  <c r="S44" i="49"/>
  <c r="BR43" i="49"/>
  <c r="BO43" i="49"/>
  <c r="BL43" i="49"/>
  <c r="BH43" i="49"/>
  <c r="BI43" i="49" s="1"/>
  <c r="BD43" i="49"/>
  <c r="BE43" i="49" s="1"/>
  <c r="AZ43" i="49"/>
  <c r="BA43" i="49" s="1"/>
  <c r="AV43" i="49"/>
  <c r="AW43" i="49" s="1"/>
  <c r="AR43" i="49"/>
  <c r="AS43" i="49" s="1"/>
  <c r="AN43" i="49"/>
  <c r="AO43" i="49" s="1"/>
  <c r="AJ43" i="49"/>
  <c r="AK43" i="49" s="1"/>
  <c r="AF43" i="49"/>
  <c r="AG43" i="49" s="1"/>
  <c r="AB43" i="49"/>
  <c r="AC43" i="49" s="1"/>
  <c r="X43" i="49"/>
  <c r="Y43" i="49" s="1"/>
  <c r="BQ42" i="49"/>
  <c r="BP42" i="49"/>
  <c r="BN42" i="49"/>
  <c r="BM42" i="49"/>
  <c r="BG42" i="49"/>
  <c r="BF42" i="49"/>
  <c r="BC42" i="49"/>
  <c r="BB42" i="49"/>
  <c r="AY42" i="49"/>
  <c r="AX42" i="49"/>
  <c r="AU42" i="49"/>
  <c r="AT42" i="49"/>
  <c r="AQ42" i="49"/>
  <c r="AP42" i="49"/>
  <c r="AM42" i="49"/>
  <c r="AL42" i="49"/>
  <c r="AI42" i="49"/>
  <c r="AH42" i="49"/>
  <c r="AE42" i="49"/>
  <c r="AD42" i="49"/>
  <c r="AA42" i="49"/>
  <c r="Z42" i="49"/>
  <c r="W42" i="49"/>
  <c r="V42" i="49"/>
  <c r="U42" i="49"/>
  <c r="T42" i="49"/>
  <c r="R42" i="49"/>
  <c r="S43" i="49" s="1"/>
  <c r="M42" i="49"/>
  <c r="L42" i="49"/>
  <c r="K42" i="49"/>
  <c r="J42" i="49"/>
  <c r="BR41" i="49"/>
  <c r="BO41" i="49"/>
  <c r="BL41" i="49"/>
  <c r="BH41" i="49"/>
  <c r="BI41" i="49" s="1"/>
  <c r="BD41" i="49"/>
  <c r="BE41" i="49" s="1"/>
  <c r="AZ41" i="49"/>
  <c r="BA41" i="49" s="1"/>
  <c r="AV41" i="49"/>
  <c r="AW41" i="49" s="1"/>
  <c r="AR41" i="49"/>
  <c r="AS41" i="49" s="1"/>
  <c r="AN41" i="49"/>
  <c r="AO41" i="49" s="1"/>
  <c r="AJ41" i="49"/>
  <c r="AK41" i="49" s="1"/>
  <c r="AF41" i="49"/>
  <c r="AG41" i="49" s="1"/>
  <c r="AB41" i="49"/>
  <c r="AC41" i="49" s="1"/>
  <c r="X41" i="49"/>
  <c r="Y41" i="49" s="1"/>
  <c r="S41" i="49"/>
  <c r="S42" i="49" s="1"/>
  <c r="BR40" i="49"/>
  <c r="BO40" i="49"/>
  <c r="BL40" i="49"/>
  <c r="BH40" i="49"/>
  <c r="BD40" i="49"/>
  <c r="BE40" i="49" s="1"/>
  <c r="AZ40" i="49"/>
  <c r="AV40" i="49"/>
  <c r="AW40" i="49" s="1"/>
  <c r="AR40" i="49"/>
  <c r="AN40" i="49"/>
  <c r="AO40" i="49" s="1"/>
  <c r="AJ40" i="49"/>
  <c r="AF40" i="49"/>
  <c r="AG40" i="49" s="1"/>
  <c r="AB40" i="49"/>
  <c r="X40" i="49"/>
  <c r="Y40" i="49" s="1"/>
  <c r="S40" i="49"/>
  <c r="A63" i="49"/>
  <c r="A64" i="49" s="1"/>
  <c r="A65" i="49" s="1"/>
  <c r="A66" i="49" s="1"/>
  <c r="A67" i="49" s="1"/>
  <c r="A68" i="49" s="1"/>
  <c r="A69" i="49" s="1"/>
  <c r="A70" i="49" s="1"/>
  <c r="A71" i="49" s="1"/>
  <c r="A41" i="49"/>
  <c r="A42" i="49" s="1"/>
  <c r="A43" i="49" s="1"/>
  <c r="A44" i="49" s="1"/>
  <c r="A45" i="49" s="1"/>
  <c r="A46" i="49" s="1"/>
  <c r="A47" i="49" s="1"/>
  <c r="A48" i="49" s="1"/>
  <c r="A49" i="49" s="1"/>
  <c r="A107" i="49" l="1"/>
  <c r="A108" i="49" s="1"/>
  <c r="A109" i="49" s="1"/>
  <c r="B44" i="76"/>
  <c r="K39" i="76"/>
  <c r="G39" i="76"/>
  <c r="AG8" i="76"/>
  <c r="W34" i="76"/>
  <c r="K32" i="76"/>
  <c r="AG7" i="76" s="1"/>
  <c r="G32" i="76"/>
  <c r="P54" i="76"/>
  <c r="P17" i="76"/>
  <c r="P62" i="76"/>
  <c r="P10" i="76"/>
  <c r="P25" i="76"/>
  <c r="P32" i="76"/>
  <c r="T36" i="76"/>
  <c r="AG74" i="76" s="1"/>
  <c r="BA87" i="49"/>
  <c r="K34" i="76"/>
  <c r="AG9" i="76" s="1"/>
  <c r="G34" i="76"/>
  <c r="BC54" i="76"/>
  <c r="BD54" i="76"/>
  <c r="K37" i="76"/>
  <c r="G37" i="76"/>
  <c r="AU53" i="76"/>
  <c r="AS75" i="76"/>
  <c r="A80" i="49"/>
  <c r="A81" i="49" s="1"/>
  <c r="A82" i="49" s="1"/>
  <c r="B33" i="76"/>
  <c r="X85" i="49"/>
  <c r="Y85" i="49" s="1"/>
  <c r="BD56" i="76"/>
  <c r="BC56" i="76"/>
  <c r="AF85" i="49"/>
  <c r="AG85" i="49" s="1"/>
  <c r="AJ85" i="49"/>
  <c r="AK85" i="49" s="1"/>
  <c r="BL42" i="49"/>
  <c r="BL46" i="49"/>
  <c r="BO64" i="49"/>
  <c r="AJ68" i="49"/>
  <c r="BO68" i="49"/>
  <c r="AB85" i="49"/>
  <c r="AC85" i="49" s="1"/>
  <c r="BD89" i="49"/>
  <c r="BE89" i="49" s="1"/>
  <c r="BI87" i="49"/>
  <c r="AJ89" i="49"/>
  <c r="AK89" i="49" s="1"/>
  <c r="AF89" i="49"/>
  <c r="AG89" i="49" s="1"/>
  <c r="X89" i="49"/>
  <c r="Y89" i="49" s="1"/>
  <c r="AW87" i="49"/>
  <c r="AV89" i="49"/>
  <c r="AW89" i="49" s="1"/>
  <c r="BI83" i="49"/>
  <c r="BD85" i="49"/>
  <c r="BE85" i="49" s="1"/>
  <c r="BA83" i="49"/>
  <c r="AW83" i="49"/>
  <c r="AV85" i="49"/>
  <c r="AW85" i="49" s="1"/>
  <c r="BH69" i="49"/>
  <c r="BH71" i="49" s="1"/>
  <c r="BI71" i="49" s="1"/>
  <c r="AF69" i="49"/>
  <c r="AG69" i="49" s="1"/>
  <c r="X69" i="49"/>
  <c r="Y69" i="49" s="1"/>
  <c r="BR68" i="49"/>
  <c r="BL68" i="49"/>
  <c r="BH68" i="49"/>
  <c r="BI68" i="49" s="1"/>
  <c r="AR68" i="49"/>
  <c r="AS68" i="49" s="1"/>
  <c r="AB68" i="49"/>
  <c r="AC68" i="49" s="1"/>
  <c r="BR64" i="49"/>
  <c r="BL64" i="49"/>
  <c r="AJ64" i="49"/>
  <c r="AK64" i="49" s="1"/>
  <c r="BR58" i="49"/>
  <c r="BR59" i="49" s="1"/>
  <c r="BO58" i="49"/>
  <c r="BO59" i="49" s="1"/>
  <c r="BL58" i="49"/>
  <c r="BL59" i="49" s="1"/>
  <c r="AZ58" i="49"/>
  <c r="AZ59" i="49" s="1"/>
  <c r="AJ58" i="49"/>
  <c r="AJ59" i="49" s="1"/>
  <c r="BR46" i="49"/>
  <c r="BO46" i="49"/>
  <c r="BH46" i="49"/>
  <c r="BI46" i="49" s="1"/>
  <c r="BD46" i="49"/>
  <c r="BE46" i="49" s="1"/>
  <c r="AZ46" i="49"/>
  <c r="BA46" i="49" s="1"/>
  <c r="AV46" i="49"/>
  <c r="AR46" i="49"/>
  <c r="AS46" i="49" s="1"/>
  <c r="AN46" i="49"/>
  <c r="AO46" i="49" s="1"/>
  <c r="AJ46" i="49"/>
  <c r="X46" i="49"/>
  <c r="BR42" i="49"/>
  <c r="BO42" i="49"/>
  <c r="BH42" i="49"/>
  <c r="BI42" i="49" s="1"/>
  <c r="AZ42" i="49"/>
  <c r="BA42" i="49" s="1"/>
  <c r="AR42" i="49"/>
  <c r="AS42" i="49" s="1"/>
  <c r="AJ42" i="49"/>
  <c r="AK42" i="49" s="1"/>
  <c r="AB42" i="49"/>
  <c r="AC42" i="49" s="1"/>
  <c r="BI40" i="49"/>
  <c r="BD69" i="49"/>
  <c r="BE69" i="49" s="1"/>
  <c r="AZ69" i="49"/>
  <c r="BA69" i="49" s="1"/>
  <c r="AR69" i="49"/>
  <c r="AS69" i="49" s="1"/>
  <c r="AN69" i="49"/>
  <c r="AO69" i="49" s="1"/>
  <c r="AK70" i="49"/>
  <c r="AB69" i="49"/>
  <c r="AB71" i="49" s="1"/>
  <c r="AC71" i="49" s="1"/>
  <c r="AN71" i="49"/>
  <c r="AO71" i="49" s="1"/>
  <c r="AJ71" i="49"/>
  <c r="AK71" i="49" s="1"/>
  <c r="BI66" i="49"/>
  <c r="BD68" i="49"/>
  <c r="BE68" i="49" s="1"/>
  <c r="AZ68" i="49"/>
  <c r="BA68" i="49" s="1"/>
  <c r="AV68" i="49"/>
  <c r="AW68" i="49" s="1"/>
  <c r="AS66" i="49"/>
  <c r="AN68" i="49"/>
  <c r="AO68" i="49" s="1"/>
  <c r="AK66" i="49"/>
  <c r="AF68" i="49"/>
  <c r="AC66" i="49"/>
  <c r="X68" i="49"/>
  <c r="Y68" i="49" s="1"/>
  <c r="S69" i="49"/>
  <c r="BH64" i="49"/>
  <c r="BI64" i="49" s="1"/>
  <c r="BD64" i="49"/>
  <c r="BE64" i="49" s="1"/>
  <c r="AZ64" i="49"/>
  <c r="BA64" i="49" s="1"/>
  <c r="AV64" i="49"/>
  <c r="AW64" i="49" s="1"/>
  <c r="AR64" i="49"/>
  <c r="AS64" i="49" s="1"/>
  <c r="AN64" i="49"/>
  <c r="AO64" i="49" s="1"/>
  <c r="AK62" i="49"/>
  <c r="AF64" i="49"/>
  <c r="AG64" i="49" s="1"/>
  <c r="AB64" i="49"/>
  <c r="AC64" i="49" s="1"/>
  <c r="X64" i="49"/>
  <c r="Y64" i="49" s="1"/>
  <c r="S65" i="49"/>
  <c r="BI57" i="49"/>
  <c r="BE57" i="49"/>
  <c r="BA57" i="49"/>
  <c r="AW57" i="49"/>
  <c r="AS57" i="49"/>
  <c r="AO57" i="49"/>
  <c r="AK57" i="49"/>
  <c r="AG57" i="49"/>
  <c r="AC57" i="49"/>
  <c r="Y57" i="49"/>
  <c r="BH58" i="49"/>
  <c r="BI58" i="49" s="1"/>
  <c r="BD58" i="49"/>
  <c r="BE58" i="49" s="1"/>
  <c r="BA56" i="49"/>
  <c r="AV58" i="49"/>
  <c r="AW58" i="49" s="1"/>
  <c r="AR58" i="49"/>
  <c r="AS58" i="49" s="1"/>
  <c r="AN58" i="49"/>
  <c r="AO58" i="49" s="1"/>
  <c r="AK56" i="49"/>
  <c r="AF58" i="49"/>
  <c r="AF59" i="49" s="1"/>
  <c r="AB58" i="49"/>
  <c r="AC58" i="49" s="1"/>
  <c r="X58" i="49"/>
  <c r="Y58" i="49" s="1"/>
  <c r="R59" i="49"/>
  <c r="AG58" i="49"/>
  <c r="BH47" i="49"/>
  <c r="BI47" i="49" s="1"/>
  <c r="BE48" i="49"/>
  <c r="AZ47" i="49"/>
  <c r="BA47" i="49" s="1"/>
  <c r="AV47" i="49"/>
  <c r="AW47" i="49" s="1"/>
  <c r="AR47" i="49"/>
  <c r="AS47" i="49" s="1"/>
  <c r="AN47" i="49"/>
  <c r="AO47" i="49" s="1"/>
  <c r="AJ47" i="49"/>
  <c r="AJ49" i="49" s="1"/>
  <c r="AK49" i="49" s="1"/>
  <c r="AF47" i="49"/>
  <c r="AG47" i="49" s="1"/>
  <c r="AB47" i="49"/>
  <c r="AC47" i="49" s="1"/>
  <c r="X47" i="49"/>
  <c r="Y47" i="49" s="1"/>
  <c r="BD49" i="49"/>
  <c r="BE49" i="49" s="1"/>
  <c r="BI44" i="49"/>
  <c r="BE44" i="49"/>
  <c r="BA44" i="49"/>
  <c r="AW44" i="49"/>
  <c r="AS44" i="49"/>
  <c r="AO44" i="49"/>
  <c r="AK44" i="49"/>
  <c r="AF46" i="49"/>
  <c r="AG46" i="49" s="1"/>
  <c r="AB46" i="49"/>
  <c r="AC46" i="49" s="1"/>
  <c r="Y44" i="49"/>
  <c r="Y46" i="49"/>
  <c r="AK46" i="49"/>
  <c r="AW46" i="49"/>
  <c r="BD42" i="49"/>
  <c r="BE42" i="49" s="1"/>
  <c r="BA40" i="49"/>
  <c r="AV42" i="49"/>
  <c r="AW42" i="49" s="1"/>
  <c r="AS40" i="49"/>
  <c r="AN42" i="49"/>
  <c r="AO42" i="49" s="1"/>
  <c r="AK40" i="49"/>
  <c r="AF42" i="49"/>
  <c r="AG42" i="49" s="1"/>
  <c r="AC40" i="49"/>
  <c r="X42" i="49"/>
  <c r="Y42" i="49" s="1"/>
  <c r="AV69" i="49"/>
  <c r="AG68" i="49"/>
  <c r="AK68" i="49"/>
  <c r="F28" i="49"/>
  <c r="F29" i="49"/>
  <c r="F27" i="49"/>
  <c r="F10" i="49"/>
  <c r="F11" i="49"/>
  <c r="F12" i="49"/>
  <c r="F13" i="49"/>
  <c r="F14" i="49"/>
  <c r="F15" i="49"/>
  <c r="F16" i="49"/>
  <c r="F17" i="49"/>
  <c r="F18" i="49"/>
  <c r="F19" i="49"/>
  <c r="F20" i="49"/>
  <c r="F21" i="49"/>
  <c r="F22" i="49"/>
  <c r="F23" i="49"/>
  <c r="F24" i="49"/>
  <c r="F25" i="49"/>
  <c r="F9" i="49"/>
  <c r="BR38" i="49"/>
  <c r="BO38" i="49"/>
  <c r="BL38" i="49"/>
  <c r="BH38" i="49"/>
  <c r="BI38" i="49" s="1"/>
  <c r="BD38" i="49"/>
  <c r="BE38" i="49" s="1"/>
  <c r="AZ38" i="49"/>
  <c r="BA38" i="49" s="1"/>
  <c r="AV38" i="49"/>
  <c r="AW38" i="49" s="1"/>
  <c r="AR38" i="49"/>
  <c r="AS38" i="49" s="1"/>
  <c r="AN38" i="49"/>
  <c r="AO38" i="49" s="1"/>
  <c r="AJ38" i="49"/>
  <c r="AK38" i="49" s="1"/>
  <c r="AF38" i="49"/>
  <c r="AG38" i="49" s="1"/>
  <c r="AB38" i="49"/>
  <c r="AC38" i="49" s="1"/>
  <c r="X38" i="49"/>
  <c r="Y38" i="49" s="1"/>
  <c r="S38" i="49"/>
  <c r="BR37" i="49"/>
  <c r="BO37" i="49"/>
  <c r="BL37" i="49"/>
  <c r="BH37" i="49"/>
  <c r="BI37" i="49" s="1"/>
  <c r="BD37" i="49"/>
  <c r="BE37" i="49" s="1"/>
  <c r="AZ37" i="49"/>
  <c r="BA37" i="49" s="1"/>
  <c r="AV37" i="49"/>
  <c r="AW37" i="49" s="1"/>
  <c r="AR37" i="49"/>
  <c r="AS37" i="49" s="1"/>
  <c r="AN37" i="49"/>
  <c r="AO37" i="49" s="1"/>
  <c r="AJ37" i="49"/>
  <c r="AK37" i="49" s="1"/>
  <c r="AF37" i="49"/>
  <c r="AG37" i="49" s="1"/>
  <c r="AB37" i="49"/>
  <c r="AC37" i="49" s="1"/>
  <c r="X37" i="49"/>
  <c r="Y37" i="49" s="1"/>
  <c r="S37" i="49"/>
  <c r="BR36" i="49"/>
  <c r="BO36" i="49"/>
  <c r="BL36" i="49"/>
  <c r="BH36" i="49"/>
  <c r="BI36" i="49" s="1"/>
  <c r="BD36" i="49"/>
  <c r="BE36" i="49" s="1"/>
  <c r="AZ36" i="49"/>
  <c r="BA36" i="49" s="1"/>
  <c r="AV36" i="49"/>
  <c r="AW36" i="49" s="1"/>
  <c r="AR36" i="49"/>
  <c r="AS36" i="49" s="1"/>
  <c r="AN36" i="49"/>
  <c r="AO36" i="49" s="1"/>
  <c r="AJ36" i="49"/>
  <c r="AK36" i="49" s="1"/>
  <c r="AF36" i="49"/>
  <c r="AG36" i="49" s="1"/>
  <c r="AB36" i="49"/>
  <c r="AC36" i="49" s="1"/>
  <c r="X36" i="49"/>
  <c r="Y36" i="49" s="1"/>
  <c r="S36" i="49"/>
  <c r="BR35" i="49"/>
  <c r="BO35" i="49"/>
  <c r="BL35" i="49"/>
  <c r="BH35" i="49"/>
  <c r="BI35" i="49" s="1"/>
  <c r="BD35" i="49"/>
  <c r="BE35" i="49" s="1"/>
  <c r="AZ35" i="49"/>
  <c r="BA35" i="49" s="1"/>
  <c r="AV35" i="49"/>
  <c r="AW35" i="49" s="1"/>
  <c r="AR35" i="49"/>
  <c r="AS35" i="49" s="1"/>
  <c r="AN35" i="49"/>
  <c r="AO35" i="49" s="1"/>
  <c r="AJ35" i="49"/>
  <c r="AK35" i="49" s="1"/>
  <c r="AF35" i="49"/>
  <c r="AG35" i="49" s="1"/>
  <c r="AB35" i="49"/>
  <c r="AC35" i="49" s="1"/>
  <c r="X35" i="49"/>
  <c r="Y35" i="49" s="1"/>
  <c r="S35" i="49"/>
  <c r="BR34" i="49"/>
  <c r="BO34" i="49"/>
  <c r="BL34" i="49"/>
  <c r="BH34" i="49"/>
  <c r="BI34" i="49" s="1"/>
  <c r="BD34" i="49"/>
  <c r="BE34" i="49" s="1"/>
  <c r="AZ34" i="49"/>
  <c r="BA34" i="49" s="1"/>
  <c r="AV34" i="49"/>
  <c r="AW34" i="49" s="1"/>
  <c r="AR34" i="49"/>
  <c r="AS34" i="49" s="1"/>
  <c r="AN34" i="49"/>
  <c r="AO34" i="49" s="1"/>
  <c r="AJ34" i="49"/>
  <c r="AK34" i="49" s="1"/>
  <c r="AF34" i="49"/>
  <c r="AG34" i="49" s="1"/>
  <c r="AB34" i="49"/>
  <c r="AC34" i="49" s="1"/>
  <c r="X34" i="49"/>
  <c r="Y34" i="49" s="1"/>
  <c r="S34" i="49"/>
  <c r="BR33" i="49"/>
  <c r="BO33" i="49"/>
  <c r="BL33" i="49"/>
  <c r="BH33" i="49"/>
  <c r="BI33" i="49" s="1"/>
  <c r="BD33" i="49"/>
  <c r="BE33" i="49" s="1"/>
  <c r="AZ33" i="49"/>
  <c r="BA33" i="49" s="1"/>
  <c r="AV33" i="49"/>
  <c r="AW33" i="49" s="1"/>
  <c r="AR33" i="49"/>
  <c r="AS33" i="49" s="1"/>
  <c r="AN33" i="49"/>
  <c r="AO33" i="49" s="1"/>
  <c r="AJ33" i="49"/>
  <c r="AK33" i="49" s="1"/>
  <c r="AF33" i="49"/>
  <c r="AG33" i="49" s="1"/>
  <c r="AB33" i="49"/>
  <c r="AC33" i="49" s="1"/>
  <c r="X33" i="49"/>
  <c r="Y33" i="49" s="1"/>
  <c r="S33" i="49"/>
  <c r="BR32" i="49"/>
  <c r="BO32" i="49"/>
  <c r="BL32" i="49"/>
  <c r="BH32" i="49"/>
  <c r="BI32" i="49" s="1"/>
  <c r="BD32" i="49"/>
  <c r="BE32" i="49" s="1"/>
  <c r="AZ32" i="49"/>
  <c r="BA32" i="49" s="1"/>
  <c r="AV32" i="49"/>
  <c r="AW32" i="49" s="1"/>
  <c r="AR32" i="49"/>
  <c r="AS32" i="49" s="1"/>
  <c r="AN32" i="49"/>
  <c r="AO32" i="49" s="1"/>
  <c r="AJ32" i="49"/>
  <c r="AK32" i="49" s="1"/>
  <c r="AF32" i="49"/>
  <c r="AG32" i="49" s="1"/>
  <c r="AB32" i="49"/>
  <c r="AC32" i="49" s="1"/>
  <c r="X32" i="49"/>
  <c r="Y32" i="49" s="1"/>
  <c r="S32" i="49"/>
  <c r="BR31" i="49"/>
  <c r="BO31" i="49"/>
  <c r="BL31" i="49"/>
  <c r="BH31" i="49"/>
  <c r="BI31" i="49" s="1"/>
  <c r="BD31" i="49"/>
  <c r="BE31" i="49" s="1"/>
  <c r="AZ31" i="49"/>
  <c r="BA31" i="49" s="1"/>
  <c r="AV31" i="49"/>
  <c r="AW31" i="49" s="1"/>
  <c r="AR31" i="49"/>
  <c r="AS31" i="49" s="1"/>
  <c r="AN31" i="49"/>
  <c r="AO31" i="49" s="1"/>
  <c r="AJ31" i="49"/>
  <c r="AK31" i="49" s="1"/>
  <c r="AF31" i="49"/>
  <c r="AG31" i="49" s="1"/>
  <c r="AB31" i="49"/>
  <c r="AC31" i="49" s="1"/>
  <c r="X31" i="49"/>
  <c r="Y31" i="49" s="1"/>
  <c r="S31" i="49"/>
  <c r="BR30" i="49"/>
  <c r="BO30" i="49"/>
  <c r="BL30" i="49"/>
  <c r="BH30" i="49"/>
  <c r="BI30" i="49" s="1"/>
  <c r="BD30" i="49"/>
  <c r="BE30" i="49" s="1"/>
  <c r="AZ30" i="49"/>
  <c r="BA30" i="49" s="1"/>
  <c r="AV30" i="49"/>
  <c r="AW30" i="49" s="1"/>
  <c r="AR30" i="49"/>
  <c r="AS30" i="49" s="1"/>
  <c r="AN30" i="49"/>
  <c r="AO30" i="49" s="1"/>
  <c r="AJ30" i="49"/>
  <c r="AK30" i="49" s="1"/>
  <c r="AF30" i="49"/>
  <c r="AG30" i="49" s="1"/>
  <c r="AB30" i="49"/>
  <c r="AC30" i="49" s="1"/>
  <c r="X30" i="49"/>
  <c r="Y30" i="49" s="1"/>
  <c r="S30" i="49"/>
  <c r="BR29" i="49"/>
  <c r="BO29" i="49"/>
  <c r="BL29" i="49"/>
  <c r="BH29" i="49"/>
  <c r="BI29" i="49" s="1"/>
  <c r="BD29" i="49"/>
  <c r="BE29" i="49" s="1"/>
  <c r="AZ29" i="49"/>
  <c r="BA29" i="49" s="1"/>
  <c r="AV29" i="49"/>
  <c r="AW29" i="49" s="1"/>
  <c r="AR29" i="49"/>
  <c r="AS29" i="49" s="1"/>
  <c r="AN29" i="49"/>
  <c r="AO29" i="49" s="1"/>
  <c r="AJ29" i="49"/>
  <c r="AK29" i="49" s="1"/>
  <c r="AF29" i="49"/>
  <c r="AG29" i="49" s="1"/>
  <c r="AB29" i="49"/>
  <c r="AC29" i="49" s="1"/>
  <c r="X29" i="49"/>
  <c r="Y29" i="49" s="1"/>
  <c r="S29" i="49"/>
  <c r="BR28" i="49"/>
  <c r="BO28" i="49"/>
  <c r="BL28" i="49"/>
  <c r="BH28" i="49"/>
  <c r="BI28" i="49" s="1"/>
  <c r="BD28" i="49"/>
  <c r="BE28" i="49" s="1"/>
  <c r="AZ28" i="49"/>
  <c r="BA28" i="49" s="1"/>
  <c r="AV28" i="49"/>
  <c r="AW28" i="49" s="1"/>
  <c r="AR28" i="49"/>
  <c r="AS28" i="49" s="1"/>
  <c r="AN28" i="49"/>
  <c r="AO28" i="49" s="1"/>
  <c r="AJ28" i="49"/>
  <c r="AK28" i="49" s="1"/>
  <c r="AF28" i="49"/>
  <c r="AG28" i="49" s="1"/>
  <c r="AB28" i="49"/>
  <c r="AC28" i="49" s="1"/>
  <c r="X28" i="49"/>
  <c r="Y28" i="49" s="1"/>
  <c r="S28" i="49"/>
  <c r="BR27" i="49"/>
  <c r="BO27" i="49"/>
  <c r="BL27" i="49"/>
  <c r="BH27" i="49"/>
  <c r="BI27" i="49" s="1"/>
  <c r="BD27" i="49"/>
  <c r="BE27" i="49" s="1"/>
  <c r="AZ27" i="49"/>
  <c r="BA27" i="49" s="1"/>
  <c r="AV27" i="49"/>
  <c r="AW27" i="49" s="1"/>
  <c r="AR27" i="49"/>
  <c r="AS27" i="49" s="1"/>
  <c r="AN27" i="49"/>
  <c r="AO27" i="49" s="1"/>
  <c r="AJ27" i="49"/>
  <c r="AK27" i="49" s="1"/>
  <c r="AF27" i="49"/>
  <c r="AG27" i="49" s="1"/>
  <c r="AB27" i="49"/>
  <c r="AC27" i="49" s="1"/>
  <c r="X27" i="49"/>
  <c r="Y27" i="49" s="1"/>
  <c r="S27" i="49"/>
  <c r="BR25" i="49"/>
  <c r="BO25" i="49"/>
  <c r="BL25" i="49"/>
  <c r="BH25" i="49"/>
  <c r="BI25" i="49" s="1"/>
  <c r="BD25" i="49"/>
  <c r="BE25" i="49" s="1"/>
  <c r="AZ25" i="49"/>
  <c r="BA25" i="49" s="1"/>
  <c r="AV25" i="49"/>
  <c r="AW25" i="49" s="1"/>
  <c r="AR25" i="49"/>
  <c r="AS25" i="49" s="1"/>
  <c r="AN25" i="49"/>
  <c r="AO25" i="49" s="1"/>
  <c r="AJ25" i="49"/>
  <c r="AK25" i="49" s="1"/>
  <c r="AF25" i="49"/>
  <c r="AG25" i="49" s="1"/>
  <c r="AB25" i="49"/>
  <c r="AC25" i="49" s="1"/>
  <c r="X25" i="49"/>
  <c r="Y25" i="49" s="1"/>
  <c r="S25" i="49"/>
  <c r="BR24" i="49"/>
  <c r="BO24" i="49"/>
  <c r="BL24" i="49"/>
  <c r="BH24" i="49"/>
  <c r="BI24" i="49" s="1"/>
  <c r="BD24" i="49"/>
  <c r="BE24" i="49" s="1"/>
  <c r="AZ24" i="49"/>
  <c r="BA24" i="49" s="1"/>
  <c r="AV24" i="49"/>
  <c r="AW24" i="49" s="1"/>
  <c r="AR24" i="49"/>
  <c r="AS24" i="49" s="1"/>
  <c r="AN24" i="49"/>
  <c r="AO24" i="49" s="1"/>
  <c r="AJ24" i="49"/>
  <c r="AK24" i="49" s="1"/>
  <c r="AF24" i="49"/>
  <c r="AG24" i="49" s="1"/>
  <c r="AB24" i="49"/>
  <c r="AC24" i="49" s="1"/>
  <c r="X24" i="49"/>
  <c r="Y24" i="49" s="1"/>
  <c r="S24" i="49"/>
  <c r="BR23" i="49"/>
  <c r="BO23" i="49"/>
  <c r="BL23" i="49"/>
  <c r="BH23" i="49"/>
  <c r="BI23" i="49" s="1"/>
  <c r="BD23" i="49"/>
  <c r="BE23" i="49" s="1"/>
  <c r="AZ23" i="49"/>
  <c r="BA23" i="49" s="1"/>
  <c r="AV23" i="49"/>
  <c r="AW23" i="49" s="1"/>
  <c r="AR23" i="49"/>
  <c r="AS23" i="49" s="1"/>
  <c r="AN23" i="49"/>
  <c r="AO23" i="49" s="1"/>
  <c r="AJ23" i="49"/>
  <c r="AK23" i="49" s="1"/>
  <c r="AF23" i="49"/>
  <c r="AG23" i="49" s="1"/>
  <c r="AB23" i="49"/>
  <c r="AC23" i="49" s="1"/>
  <c r="X23" i="49"/>
  <c r="Y23" i="49" s="1"/>
  <c r="BQ22" i="49"/>
  <c r="BP22" i="49"/>
  <c r="BN22" i="49"/>
  <c r="BM22" i="49"/>
  <c r="BG22" i="49"/>
  <c r="BF22" i="49"/>
  <c r="BC22" i="49"/>
  <c r="BB22" i="49"/>
  <c r="AY22" i="49"/>
  <c r="AX22" i="49"/>
  <c r="AU22" i="49"/>
  <c r="AT22" i="49"/>
  <c r="AQ22" i="49"/>
  <c r="AP22" i="49"/>
  <c r="AM22" i="49"/>
  <c r="AL22" i="49"/>
  <c r="AI22" i="49"/>
  <c r="AH22" i="49"/>
  <c r="AE22" i="49"/>
  <c r="AD22" i="49"/>
  <c r="AA22" i="49"/>
  <c r="Z22" i="49"/>
  <c r="W22" i="49"/>
  <c r="V22" i="49"/>
  <c r="U22" i="49"/>
  <c r="T22" i="49"/>
  <c r="R22" i="49"/>
  <c r="S23" i="49" s="1"/>
  <c r="M22" i="49"/>
  <c r="L22" i="49"/>
  <c r="K22" i="49"/>
  <c r="J22" i="49"/>
  <c r="BR21" i="49"/>
  <c r="BR20" i="49" s="1"/>
  <c r="BR22" i="49" s="1"/>
  <c r="BO21" i="49"/>
  <c r="BO20" i="49" s="1"/>
  <c r="BO22" i="49" s="1"/>
  <c r="BL21" i="49"/>
  <c r="BL20" i="49" s="1"/>
  <c r="BL22" i="49" s="1"/>
  <c r="BH21" i="49"/>
  <c r="BI21" i="49" s="1"/>
  <c r="BD21" i="49"/>
  <c r="BE21" i="49" s="1"/>
  <c r="AZ21" i="49"/>
  <c r="BA21" i="49" s="1"/>
  <c r="AV21" i="49"/>
  <c r="AW21" i="49" s="1"/>
  <c r="AR21" i="49"/>
  <c r="AS21" i="49" s="1"/>
  <c r="AN21" i="49"/>
  <c r="AN20" i="49" s="1"/>
  <c r="AO20" i="49" s="1"/>
  <c r="AJ21" i="49"/>
  <c r="AK21" i="49" s="1"/>
  <c r="AF21" i="49"/>
  <c r="AG21" i="49" s="1"/>
  <c r="AB21" i="49"/>
  <c r="AC21" i="49" s="1"/>
  <c r="X21" i="49"/>
  <c r="Y21" i="49" s="1"/>
  <c r="S21" i="49"/>
  <c r="S22" i="49" s="1"/>
  <c r="BQ19" i="49"/>
  <c r="BP19" i="49"/>
  <c r="BN19" i="49"/>
  <c r="BM19" i="49"/>
  <c r="BG19" i="49"/>
  <c r="BF19" i="49"/>
  <c r="BC19" i="49"/>
  <c r="BB19" i="49"/>
  <c r="AY19" i="49"/>
  <c r="AX19" i="49"/>
  <c r="AU19" i="49"/>
  <c r="AT19" i="49"/>
  <c r="AQ19" i="49"/>
  <c r="AP19" i="49"/>
  <c r="AM19" i="49"/>
  <c r="AL19" i="49"/>
  <c r="AI19" i="49"/>
  <c r="AH19" i="49"/>
  <c r="AE19" i="49"/>
  <c r="AD19" i="49"/>
  <c r="AA19" i="49"/>
  <c r="Z19" i="49"/>
  <c r="W19" i="49"/>
  <c r="V19" i="49"/>
  <c r="U19" i="49"/>
  <c r="T19" i="49"/>
  <c r="R19" i="49"/>
  <c r="S20" i="49" s="1"/>
  <c r="M19" i="49"/>
  <c r="L19" i="49"/>
  <c r="K19" i="49"/>
  <c r="J19" i="49"/>
  <c r="BR18" i="49"/>
  <c r="BO18" i="49"/>
  <c r="BL18" i="49"/>
  <c r="BH18" i="49"/>
  <c r="BI18" i="49" s="1"/>
  <c r="BD18" i="49"/>
  <c r="BE18" i="49" s="1"/>
  <c r="AZ18" i="49"/>
  <c r="BA18" i="49" s="1"/>
  <c r="AV18" i="49"/>
  <c r="AW18" i="49" s="1"/>
  <c r="AR18" i="49"/>
  <c r="AS18" i="49" s="1"/>
  <c r="AN18" i="49"/>
  <c r="AO18" i="49" s="1"/>
  <c r="AJ18" i="49"/>
  <c r="AK18" i="49" s="1"/>
  <c r="AF18" i="49"/>
  <c r="AG18" i="49" s="1"/>
  <c r="AB18" i="49"/>
  <c r="AC18" i="49" s="1"/>
  <c r="X18" i="49"/>
  <c r="Y18" i="49" s="1"/>
  <c r="S18" i="49"/>
  <c r="S19" i="49" s="1"/>
  <c r="BR17" i="49"/>
  <c r="BO17" i="49"/>
  <c r="BL17" i="49"/>
  <c r="BH17" i="49"/>
  <c r="BD17" i="49"/>
  <c r="BE17" i="49" s="1"/>
  <c r="AZ17" i="49"/>
  <c r="AV17" i="49"/>
  <c r="AW17" i="49" s="1"/>
  <c r="AR17" i="49"/>
  <c r="AS17" i="49" s="1"/>
  <c r="AN17" i="49"/>
  <c r="AO17" i="49" s="1"/>
  <c r="AJ17" i="49"/>
  <c r="AK17" i="49" s="1"/>
  <c r="AF17" i="49"/>
  <c r="AG17" i="49" s="1"/>
  <c r="AB17" i="49"/>
  <c r="X17" i="49"/>
  <c r="Y17" i="49" s="1"/>
  <c r="S17" i="49"/>
  <c r="BR16" i="49"/>
  <c r="BO16" i="49"/>
  <c r="BL16" i="49"/>
  <c r="BH16" i="49"/>
  <c r="BI16" i="49" s="1"/>
  <c r="BD16" i="49"/>
  <c r="BE16" i="49" s="1"/>
  <c r="AZ16" i="49"/>
  <c r="BA16" i="49" s="1"/>
  <c r="AV16" i="49"/>
  <c r="AW16" i="49" s="1"/>
  <c r="AR16" i="49"/>
  <c r="AS16" i="49" s="1"/>
  <c r="AN16" i="49"/>
  <c r="AO16" i="49" s="1"/>
  <c r="AJ16" i="49"/>
  <c r="AK16" i="49" s="1"/>
  <c r="AF16" i="49"/>
  <c r="AG16" i="49" s="1"/>
  <c r="AB16" i="49"/>
  <c r="AC16" i="49" s="1"/>
  <c r="X16" i="49"/>
  <c r="Y16" i="49" s="1"/>
  <c r="BQ15" i="49"/>
  <c r="BP15" i="49"/>
  <c r="BN15" i="49"/>
  <c r="BM15" i="49"/>
  <c r="BG15" i="49"/>
  <c r="BF15" i="49"/>
  <c r="BC15" i="49"/>
  <c r="BB15" i="49"/>
  <c r="AY15" i="49"/>
  <c r="AX15" i="49"/>
  <c r="AU15" i="49"/>
  <c r="AT15" i="49"/>
  <c r="AQ15" i="49"/>
  <c r="AP15" i="49"/>
  <c r="AM15" i="49"/>
  <c r="AL15" i="49"/>
  <c r="AI15" i="49"/>
  <c r="AH15" i="49"/>
  <c r="AE15" i="49"/>
  <c r="AD15" i="49"/>
  <c r="AA15" i="49"/>
  <c r="Z15" i="49"/>
  <c r="W15" i="49"/>
  <c r="V15" i="49"/>
  <c r="U15" i="49"/>
  <c r="T15" i="49"/>
  <c r="R15" i="49"/>
  <c r="S16" i="49" s="1"/>
  <c r="M15" i="49"/>
  <c r="L15" i="49"/>
  <c r="K15" i="49"/>
  <c r="J15" i="49"/>
  <c r="BR14" i="49"/>
  <c r="BO14" i="49"/>
  <c r="BL14" i="49"/>
  <c r="BH14" i="49"/>
  <c r="BI14" i="49" s="1"/>
  <c r="BD14" i="49"/>
  <c r="BE14" i="49" s="1"/>
  <c r="AZ14" i="49"/>
  <c r="BA14" i="49" s="1"/>
  <c r="AV14" i="49"/>
  <c r="AW14" i="49" s="1"/>
  <c r="AR14" i="49"/>
  <c r="AS14" i="49" s="1"/>
  <c r="AN14" i="49"/>
  <c r="AO14" i="49" s="1"/>
  <c r="AJ14" i="49"/>
  <c r="AK14" i="49" s="1"/>
  <c r="AF14" i="49"/>
  <c r="AG14" i="49" s="1"/>
  <c r="AB14" i="49"/>
  <c r="AC14" i="49" s="1"/>
  <c r="X14" i="49"/>
  <c r="Y14" i="49" s="1"/>
  <c r="S14" i="49"/>
  <c r="S15" i="49" s="1"/>
  <c r="BR13" i="49"/>
  <c r="BO13" i="49"/>
  <c r="BL13" i="49"/>
  <c r="BH13" i="49"/>
  <c r="BD13" i="49"/>
  <c r="BE13" i="49" s="1"/>
  <c r="AZ13" i="49"/>
  <c r="AV13" i="49"/>
  <c r="AW13" i="49" s="1"/>
  <c r="AR13" i="49"/>
  <c r="AN13" i="49"/>
  <c r="AO13" i="49" s="1"/>
  <c r="AJ13" i="49"/>
  <c r="AF13" i="49"/>
  <c r="AG13" i="49" s="1"/>
  <c r="AB13" i="49"/>
  <c r="X13" i="49"/>
  <c r="Y13" i="49" s="1"/>
  <c r="S13" i="49"/>
  <c r="BR12" i="49"/>
  <c r="BO12" i="49"/>
  <c r="BL12" i="49"/>
  <c r="BH12" i="49"/>
  <c r="BI12" i="49" s="1"/>
  <c r="BD12" i="49"/>
  <c r="BE12" i="49" s="1"/>
  <c r="AZ12" i="49"/>
  <c r="BA12" i="49" s="1"/>
  <c r="AV12" i="49"/>
  <c r="AW12" i="49" s="1"/>
  <c r="AR12" i="49"/>
  <c r="AS12" i="49" s="1"/>
  <c r="AN12" i="49"/>
  <c r="AO12" i="49" s="1"/>
  <c r="AJ12" i="49"/>
  <c r="AK12" i="49" s="1"/>
  <c r="AF12" i="49"/>
  <c r="AG12" i="49" s="1"/>
  <c r="AB12" i="49"/>
  <c r="AC12" i="49" s="1"/>
  <c r="X12" i="49"/>
  <c r="Y12" i="49" s="1"/>
  <c r="S12" i="49"/>
  <c r="BR11" i="49"/>
  <c r="BO11" i="49"/>
  <c r="BL11" i="49"/>
  <c r="BH11" i="49"/>
  <c r="BI11" i="49" s="1"/>
  <c r="BD11" i="49"/>
  <c r="BE11" i="49" s="1"/>
  <c r="AZ11" i="49"/>
  <c r="BA11" i="49" s="1"/>
  <c r="AV11" i="49"/>
  <c r="AW11" i="49" s="1"/>
  <c r="AR11" i="49"/>
  <c r="AS11" i="49" s="1"/>
  <c r="AN11" i="49"/>
  <c r="AO11" i="49" s="1"/>
  <c r="AJ11" i="49"/>
  <c r="AK11" i="49" s="1"/>
  <c r="AF11" i="49"/>
  <c r="AG11" i="49" s="1"/>
  <c r="AB11" i="49"/>
  <c r="AC11" i="49" s="1"/>
  <c r="X11" i="49"/>
  <c r="Y11" i="49" s="1"/>
  <c r="S11" i="49"/>
  <c r="BR10" i="49"/>
  <c r="BO10" i="49"/>
  <c r="BL10" i="49"/>
  <c r="BH10" i="49"/>
  <c r="BI10" i="49" s="1"/>
  <c r="BD10" i="49"/>
  <c r="BE10" i="49" s="1"/>
  <c r="AZ10" i="49"/>
  <c r="BA10" i="49" s="1"/>
  <c r="AV10" i="49"/>
  <c r="AW10" i="49" s="1"/>
  <c r="AR10" i="49"/>
  <c r="AS10" i="49" s="1"/>
  <c r="AN10" i="49"/>
  <c r="AO10" i="49" s="1"/>
  <c r="AJ10" i="49"/>
  <c r="AK10" i="49" s="1"/>
  <c r="AF10" i="49"/>
  <c r="AG10" i="49" s="1"/>
  <c r="AB10" i="49"/>
  <c r="AC10" i="49" s="1"/>
  <c r="X10" i="49"/>
  <c r="Y10" i="49" s="1"/>
  <c r="S10" i="49"/>
  <c r="BR9" i="49"/>
  <c r="BO9" i="49"/>
  <c r="BL9" i="49"/>
  <c r="BH9" i="49"/>
  <c r="BI9" i="49" s="1"/>
  <c r="BD9" i="49"/>
  <c r="BE9" i="49" s="1"/>
  <c r="AZ9" i="49"/>
  <c r="BA9" i="49" s="1"/>
  <c r="AV9" i="49"/>
  <c r="AW9" i="49" s="1"/>
  <c r="AR9" i="49"/>
  <c r="AS9" i="49" s="1"/>
  <c r="AN9" i="49"/>
  <c r="AO9" i="49" s="1"/>
  <c r="AJ9" i="49"/>
  <c r="AK9" i="49" s="1"/>
  <c r="AF9" i="49"/>
  <c r="AG9" i="49" s="1"/>
  <c r="AB9" i="49"/>
  <c r="AC9" i="49" s="1"/>
  <c r="X9" i="49"/>
  <c r="Y9" i="49" s="1"/>
  <c r="S9" i="49"/>
  <c r="G35" i="76" l="1"/>
  <c r="K35" i="76"/>
  <c r="A83" i="49"/>
  <c r="A84" i="49" s="1"/>
  <c r="A85" i="49" s="1"/>
  <c r="B34" i="76"/>
  <c r="BC53" i="76"/>
  <c r="BD53" i="76"/>
  <c r="AG33" i="76"/>
  <c r="AD33" i="76"/>
  <c r="AF33" i="76"/>
  <c r="AE33" i="76"/>
  <c r="AI33" i="76"/>
  <c r="AH33" i="76"/>
  <c r="BD75" i="76"/>
  <c r="BC75" i="76"/>
  <c r="AF71" i="49"/>
  <c r="AG71" i="49" s="1"/>
  <c r="AG31" i="76"/>
  <c r="AD31" i="76"/>
  <c r="AF31" i="76"/>
  <c r="AE31" i="76"/>
  <c r="AI31" i="76"/>
  <c r="AH31" i="76"/>
  <c r="G36" i="76"/>
  <c r="K36" i="76"/>
  <c r="Y34" i="76"/>
  <c r="AG14" i="76" s="1"/>
  <c r="X34" i="76"/>
  <c r="AG38" i="76" s="1"/>
  <c r="AG32" i="76"/>
  <c r="AD32" i="76"/>
  <c r="AF32" i="76"/>
  <c r="AE32" i="76"/>
  <c r="AI32" i="76"/>
  <c r="AH32" i="76"/>
  <c r="W33" i="76"/>
  <c r="A110" i="49"/>
  <c r="A111" i="49" s="1"/>
  <c r="A112" i="49" s="1"/>
  <c r="A113" i="49" s="1"/>
  <c r="B45" i="76"/>
  <c r="AB19" i="49"/>
  <c r="BR19" i="49"/>
  <c r="AB49" i="49"/>
  <c r="AC49" i="49" s="1"/>
  <c r="BH49" i="49"/>
  <c r="BI49" i="49" s="1"/>
  <c r="AZ19" i="49"/>
  <c r="BA19" i="49" s="1"/>
  <c r="BO19" i="49"/>
  <c r="BI69" i="49"/>
  <c r="BA58" i="49"/>
  <c r="BR15" i="49"/>
  <c r="AK58" i="49"/>
  <c r="AZ71" i="49"/>
  <c r="BA71" i="49" s="1"/>
  <c r="AR71" i="49"/>
  <c r="AS71" i="49" s="1"/>
  <c r="X71" i="49"/>
  <c r="Y71" i="49" s="1"/>
  <c r="BD71" i="49"/>
  <c r="BE71" i="49" s="1"/>
  <c r="AR15" i="49"/>
  <c r="AS15" i="49" s="1"/>
  <c r="BH59" i="49"/>
  <c r="BI59" i="49" s="1"/>
  <c r="BD59" i="49"/>
  <c r="BE59" i="49" s="1"/>
  <c r="AV59" i="49"/>
  <c r="AW59" i="49" s="1"/>
  <c r="AR59" i="49"/>
  <c r="AS59" i="49" s="1"/>
  <c r="AN59" i="49"/>
  <c r="AO59" i="49" s="1"/>
  <c r="AB59" i="49"/>
  <c r="AC59" i="49" s="1"/>
  <c r="X59" i="49"/>
  <c r="Y59" i="49" s="1"/>
  <c r="AZ49" i="49"/>
  <c r="BA49" i="49" s="1"/>
  <c r="AV49" i="49"/>
  <c r="AW49" i="49" s="1"/>
  <c r="AR49" i="49"/>
  <c r="AS49" i="49" s="1"/>
  <c r="AN49" i="49"/>
  <c r="AO49" i="49" s="1"/>
  <c r="AK47" i="49"/>
  <c r="AF49" i="49"/>
  <c r="AG49" i="49" s="1"/>
  <c r="X49" i="49"/>
  <c r="Y49" i="49" s="1"/>
  <c r="AC69" i="49"/>
  <c r="AW69" i="49"/>
  <c r="AV71" i="49"/>
  <c r="AW71" i="49" s="1"/>
  <c r="S60" i="49"/>
  <c r="BA59" i="49"/>
  <c r="AK59" i="49"/>
  <c r="AG59" i="49"/>
  <c r="AR20" i="49"/>
  <c r="AS20" i="49" s="1"/>
  <c r="AJ20" i="49"/>
  <c r="AK20" i="49" s="1"/>
  <c r="BL19" i="49"/>
  <c r="BH19" i="49"/>
  <c r="BI19" i="49" s="1"/>
  <c r="BO15" i="49"/>
  <c r="BL15" i="49"/>
  <c r="BH15" i="49"/>
  <c r="BI15" i="49" s="1"/>
  <c r="AZ15" i="49"/>
  <c r="BA15" i="49" s="1"/>
  <c r="AJ15" i="49"/>
  <c r="AK15" i="49" s="1"/>
  <c r="AB15" i="49"/>
  <c r="AC15" i="49" s="1"/>
  <c r="BH20" i="49"/>
  <c r="BH22" i="49" s="1"/>
  <c r="BI22" i="49" s="1"/>
  <c r="BD20" i="49"/>
  <c r="BE20" i="49" s="1"/>
  <c r="AZ20" i="49"/>
  <c r="AZ22" i="49" s="1"/>
  <c r="BA22" i="49" s="1"/>
  <c r="AN22" i="49"/>
  <c r="AO22" i="49" s="1"/>
  <c r="AF20" i="49"/>
  <c r="AG20" i="49" s="1"/>
  <c r="AB20" i="49"/>
  <c r="AB22" i="49" s="1"/>
  <c r="AC22" i="49" s="1"/>
  <c r="X20" i="49"/>
  <c r="Y20" i="49" s="1"/>
  <c r="BI17" i="49"/>
  <c r="BD19" i="49"/>
  <c r="BE19" i="49" s="1"/>
  <c r="BA17" i="49"/>
  <c r="AV19" i="49"/>
  <c r="AW19" i="49" s="1"/>
  <c r="AR19" i="49"/>
  <c r="AS19" i="49" s="1"/>
  <c r="AN19" i="49"/>
  <c r="AO19" i="49" s="1"/>
  <c r="AJ19" i="49"/>
  <c r="AK19" i="49" s="1"/>
  <c r="AF19" i="49"/>
  <c r="AG19" i="49" s="1"/>
  <c r="AC17" i="49"/>
  <c r="X19" i="49"/>
  <c r="Y19" i="49" s="1"/>
  <c r="AC19" i="49"/>
  <c r="BI13" i="49"/>
  <c r="BD15" i="49"/>
  <c r="BE15" i="49" s="1"/>
  <c r="BA13" i="49"/>
  <c r="AV15" i="49"/>
  <c r="AW15" i="49" s="1"/>
  <c r="AS13" i="49"/>
  <c r="AN15" i="49"/>
  <c r="AO15" i="49" s="1"/>
  <c r="AK13" i="49"/>
  <c r="AF15" i="49"/>
  <c r="AG15" i="49" s="1"/>
  <c r="AC13" i="49"/>
  <c r="X15" i="49"/>
  <c r="Y15" i="49" s="1"/>
  <c r="AV20" i="49"/>
  <c r="AO21" i="49"/>
  <c r="BQ340" i="49"/>
  <c r="BP340" i="49"/>
  <c r="BR338" i="49"/>
  <c r="BR340" i="49" s="1"/>
  <c r="BR339" i="49" s="1"/>
  <c r="AU340" i="49"/>
  <c r="AT340" i="49"/>
  <c r="AV338" i="49"/>
  <c r="AW338" i="49" s="1"/>
  <c r="BG340" i="49"/>
  <c r="BF340" i="49"/>
  <c r="BH338" i="49"/>
  <c r="BI338" i="49" s="1"/>
  <c r="BC340" i="49"/>
  <c r="BB340" i="49"/>
  <c r="BD338" i="49"/>
  <c r="BD340" i="49" s="1"/>
  <c r="AY340" i="49"/>
  <c r="AX340" i="49"/>
  <c r="AZ338" i="49"/>
  <c r="AZ340" i="49" s="1"/>
  <c r="AF338" i="49"/>
  <c r="AG338" i="49" s="1"/>
  <c r="AB338" i="49"/>
  <c r="AC338" i="49" s="1"/>
  <c r="AG19" i="76" l="1"/>
  <c r="AD19" i="76"/>
  <c r="AF19" i="76"/>
  <c r="AE19" i="76"/>
  <c r="AI19" i="76"/>
  <c r="AH19" i="76"/>
  <c r="AD54" i="76"/>
  <c r="AE54" i="76"/>
  <c r="AH54" i="76"/>
  <c r="A86" i="49"/>
  <c r="A87" i="49" s="1"/>
  <c r="A88" i="49" s="1"/>
  <c r="A89" i="49" s="1"/>
  <c r="B35" i="76"/>
  <c r="W35" i="76"/>
  <c r="AG10" i="76"/>
  <c r="AJ22" i="49"/>
  <c r="AK22" i="49" s="1"/>
  <c r="A114" i="49"/>
  <c r="A115" i="49" s="1"/>
  <c r="A116" i="49" s="1"/>
  <c r="B46" i="76"/>
  <c r="Y33" i="76"/>
  <c r="AG13" i="76" s="1"/>
  <c r="X33" i="76"/>
  <c r="AG37" i="76" s="1"/>
  <c r="AR22" i="49"/>
  <c r="AS22" i="49" s="1"/>
  <c r="BA20" i="49"/>
  <c r="BI20" i="49"/>
  <c r="BD22" i="49"/>
  <c r="BE22" i="49" s="1"/>
  <c r="AF22" i="49"/>
  <c r="AG22" i="49" s="1"/>
  <c r="AC20" i="49"/>
  <c r="X22" i="49"/>
  <c r="Y22" i="49" s="1"/>
  <c r="AW20" i="49"/>
  <c r="AV22" i="49"/>
  <c r="AW22" i="49" s="1"/>
  <c r="AV340" i="49"/>
  <c r="BH340" i="49"/>
  <c r="BD339" i="49"/>
  <c r="BE339" i="49" s="1"/>
  <c r="BE338" i="49"/>
  <c r="AZ339" i="49"/>
  <c r="BA339" i="49" s="1"/>
  <c r="BA338" i="49"/>
  <c r="AF340" i="49"/>
  <c r="AB340" i="49"/>
  <c r="Y35" i="76" l="1"/>
  <c r="AG15" i="76" s="1"/>
  <c r="X35" i="76"/>
  <c r="AG39" i="76" s="1"/>
  <c r="AG53" i="76"/>
  <c r="AD53" i="76"/>
  <c r="AE53" i="76"/>
  <c r="AH53" i="76"/>
  <c r="A117" i="49"/>
  <c r="B47" i="76"/>
  <c r="A90" i="49"/>
  <c r="A91" i="49" s="1"/>
  <c r="A92" i="49" s="1"/>
  <c r="B36" i="76"/>
  <c r="AF18" i="76"/>
  <c r="AG18" i="76"/>
  <c r="AD18" i="76"/>
  <c r="AE18" i="76"/>
  <c r="AI18" i="76"/>
  <c r="AH18" i="76"/>
  <c r="AF34" i="76"/>
  <c r="AG34" i="76"/>
  <c r="AD34" i="76"/>
  <c r="AE34" i="76"/>
  <c r="AH34" i="76"/>
  <c r="AI34" i="76"/>
  <c r="AG54" i="76"/>
  <c r="AV339" i="49"/>
  <c r="AW339" i="49" s="1"/>
  <c r="BH339" i="49"/>
  <c r="BI339" i="49" s="1"/>
  <c r="AF339" i="49"/>
  <c r="AG339" i="49" s="1"/>
  <c r="AB339" i="49"/>
  <c r="AC339" i="49" s="1"/>
  <c r="AG55" i="76" l="1"/>
  <c r="AD55" i="76"/>
  <c r="AE55" i="76"/>
  <c r="AH55" i="76"/>
  <c r="A93" i="49"/>
  <c r="B37" i="76"/>
  <c r="A118" i="49"/>
  <c r="A119" i="49" s="1"/>
  <c r="A120" i="49" s="1"/>
  <c r="B48" i="76"/>
  <c r="AI20" i="76"/>
  <c r="AG20" i="76"/>
  <c r="AD20" i="76"/>
  <c r="AF20" i="76"/>
  <c r="AE20" i="76"/>
  <c r="AH20" i="76"/>
  <c r="AE340" i="49"/>
  <c r="AD340" i="49"/>
  <c r="AA340" i="49"/>
  <c r="Z340" i="49"/>
  <c r="A121" i="49" l="1"/>
  <c r="A122" i="49" s="1"/>
  <c r="B49" i="76"/>
  <c r="A94" i="49"/>
  <c r="A95" i="49" s="1"/>
  <c r="A96" i="49" s="1"/>
  <c r="B38" i="76"/>
  <c r="O30" i="52"/>
  <c r="O31" i="52"/>
  <c r="O32" i="52"/>
  <c r="O33" i="52"/>
  <c r="O34" i="52"/>
  <c r="O35" i="52"/>
  <c r="O36" i="52"/>
  <c r="O37" i="52"/>
  <c r="O29" i="52"/>
  <c r="A97" i="49" l="1"/>
  <c r="A98" i="49" s="1"/>
  <c r="B39" i="76"/>
  <c r="O63" i="74"/>
  <c r="E6" i="74" l="1"/>
  <c r="E10" i="74"/>
  <c r="E17" i="74"/>
  <c r="E32" i="74"/>
  <c r="E42" i="74"/>
  <c r="E53" i="74"/>
  <c r="E54" i="74"/>
  <c r="E55" i="74"/>
  <c r="E56" i="74"/>
  <c r="E61" i="74"/>
  <c r="E24" i="74"/>
  <c r="E25" i="74"/>
  <c r="E13" i="74"/>
  <c r="E26" i="74" l="1"/>
  <c r="E12" i="74"/>
  <c r="E11" i="74"/>
  <c r="E27" i="74" l="1"/>
  <c r="BN340" i="49"/>
  <c r="BM340" i="49"/>
  <c r="AQ340" i="49"/>
  <c r="AP340" i="49"/>
  <c r="AM340" i="49"/>
  <c r="AL340" i="49"/>
  <c r="AI340" i="49"/>
  <c r="AH340" i="49"/>
  <c r="W340" i="49"/>
  <c r="V340" i="49"/>
  <c r="U340" i="49"/>
  <c r="T340" i="49"/>
  <c r="R340" i="49"/>
  <c r="M340" i="49"/>
  <c r="L340" i="49"/>
  <c r="K340" i="49"/>
  <c r="J340" i="49"/>
  <c r="F340" i="49"/>
  <c r="S339" i="49"/>
  <c r="S340" i="49" s="1"/>
  <c r="F339" i="49"/>
  <c r="BO338" i="49"/>
  <c r="BO340" i="49" s="1"/>
  <c r="BO339" i="49" s="1"/>
  <c r="BL338" i="49"/>
  <c r="BL340" i="49" s="1"/>
  <c r="BL339" i="49" s="1"/>
  <c r="AR338" i="49"/>
  <c r="AR340" i="49" s="1"/>
  <c r="AN338" i="49"/>
  <c r="AN340" i="49" s="1"/>
  <c r="AJ338" i="49"/>
  <c r="AJ340" i="49" s="1"/>
  <c r="X338" i="49"/>
  <c r="X340" i="49" s="1"/>
  <c r="S338" i="49"/>
  <c r="F338" i="49"/>
  <c r="BA340" i="49" l="1"/>
  <c r="BE340" i="49"/>
  <c r="AW340" i="49"/>
  <c r="BI340" i="49"/>
  <c r="AG340" i="49"/>
  <c r="AC340" i="49"/>
  <c r="AO338" i="49"/>
  <c r="AS340" i="49"/>
  <c r="AR339" i="49"/>
  <c r="AS339" i="49" s="1"/>
  <c r="AK340" i="49"/>
  <c r="AJ339" i="49"/>
  <c r="AK339" i="49" s="1"/>
  <c r="Y340" i="49"/>
  <c r="X339" i="49"/>
  <c r="Y339" i="49" s="1"/>
  <c r="AO340" i="49"/>
  <c r="AN339" i="49"/>
  <c r="AO339" i="49" s="1"/>
  <c r="Y338" i="49"/>
  <c r="AK338" i="49"/>
  <c r="AS338" i="49"/>
  <c r="K10" i="74" l="1"/>
  <c r="AD7" i="74" s="1"/>
  <c r="A18" i="74" l="1"/>
  <c r="A19" i="74" l="1"/>
  <c r="E18" i="74"/>
  <c r="E62" i="74"/>
  <c r="E64" i="74" l="1"/>
  <c r="E63" i="74"/>
  <c r="A20" i="74"/>
  <c r="E19" i="74"/>
  <c r="G24" i="74"/>
  <c r="I64" i="74"/>
  <c r="H64" i="74"/>
  <c r="J64" i="74"/>
  <c r="F64" i="74"/>
  <c r="I63" i="74"/>
  <c r="H63" i="74"/>
  <c r="J63" i="74"/>
  <c r="F63" i="74"/>
  <c r="K62" i="74"/>
  <c r="I61" i="74"/>
  <c r="H61" i="74"/>
  <c r="J61" i="74"/>
  <c r="F61" i="74"/>
  <c r="AM73" i="74"/>
  <c r="AQ73" i="74"/>
  <c r="AS73" i="74"/>
  <c r="AU73" i="74"/>
  <c r="AY73" i="74"/>
  <c r="D64" i="74"/>
  <c r="D63" i="74"/>
  <c r="J62" i="74"/>
  <c r="I62" i="74"/>
  <c r="H62" i="74"/>
  <c r="F62" i="74"/>
  <c r="D62" i="74"/>
  <c r="D61" i="74"/>
  <c r="K27" i="74"/>
  <c r="J27" i="74"/>
  <c r="I27" i="74"/>
  <c r="H27" i="74"/>
  <c r="G27" i="74"/>
  <c r="F27" i="74"/>
  <c r="D27" i="74"/>
  <c r="B27" i="74"/>
  <c r="K26" i="74"/>
  <c r="AF9" i="74" s="1"/>
  <c r="J26" i="74"/>
  <c r="I26" i="74"/>
  <c r="H26" i="74"/>
  <c r="G26" i="74"/>
  <c r="F26" i="74"/>
  <c r="D26" i="74"/>
  <c r="B26" i="74"/>
  <c r="K25" i="74"/>
  <c r="J25" i="74"/>
  <c r="I25" i="74"/>
  <c r="H25" i="74"/>
  <c r="G25" i="74"/>
  <c r="F25" i="74"/>
  <c r="D25" i="74"/>
  <c r="B25" i="74"/>
  <c r="J24" i="74"/>
  <c r="I24" i="74"/>
  <c r="H24" i="74"/>
  <c r="F24" i="74"/>
  <c r="D24" i="74"/>
  <c r="B24" i="74"/>
  <c r="D56" i="74"/>
  <c r="C56" i="74"/>
  <c r="B56" i="74"/>
  <c r="D55" i="74"/>
  <c r="C55" i="74"/>
  <c r="B55" i="74"/>
  <c r="J54" i="74"/>
  <c r="I54" i="74"/>
  <c r="H54" i="74"/>
  <c r="F54" i="74"/>
  <c r="D54" i="74"/>
  <c r="C54" i="74"/>
  <c r="B54" i="74"/>
  <c r="D53" i="74"/>
  <c r="C53" i="74"/>
  <c r="B53" i="74"/>
  <c r="D42" i="74"/>
  <c r="C42" i="74"/>
  <c r="D32" i="74"/>
  <c r="C32" i="74"/>
  <c r="J20" i="74"/>
  <c r="I20" i="74"/>
  <c r="H20" i="74"/>
  <c r="F20" i="74"/>
  <c r="D20" i="74"/>
  <c r="B20" i="74"/>
  <c r="J19" i="74"/>
  <c r="I19" i="74"/>
  <c r="H19" i="74"/>
  <c r="F19" i="74"/>
  <c r="D19" i="74"/>
  <c r="B19" i="74"/>
  <c r="J18" i="74"/>
  <c r="I18" i="74"/>
  <c r="H18" i="74"/>
  <c r="F18" i="74"/>
  <c r="D18" i="74"/>
  <c r="B18" i="74"/>
  <c r="K17" i="74"/>
  <c r="AE7" i="74" s="1"/>
  <c r="J17" i="74"/>
  <c r="I17" i="74"/>
  <c r="H17" i="74"/>
  <c r="G17" i="74"/>
  <c r="F17" i="74"/>
  <c r="D17" i="74"/>
  <c r="B17" i="74"/>
  <c r="K13" i="74"/>
  <c r="J13" i="74"/>
  <c r="I13" i="74"/>
  <c r="H13" i="74"/>
  <c r="G13" i="74"/>
  <c r="F13" i="74"/>
  <c r="D13" i="74"/>
  <c r="C13" i="74"/>
  <c r="B13" i="74"/>
  <c r="K12" i="74"/>
  <c r="AD9" i="74" s="1"/>
  <c r="J12" i="74"/>
  <c r="I12" i="74"/>
  <c r="H12" i="74"/>
  <c r="G12" i="74"/>
  <c r="F12" i="74"/>
  <c r="D12" i="74"/>
  <c r="C12" i="74"/>
  <c r="B12" i="74"/>
  <c r="K11" i="74"/>
  <c r="J11" i="74"/>
  <c r="I11" i="74"/>
  <c r="H11" i="74"/>
  <c r="G11" i="74"/>
  <c r="F11" i="74"/>
  <c r="D11" i="74"/>
  <c r="C11" i="74"/>
  <c r="B11" i="74"/>
  <c r="J10" i="74"/>
  <c r="I10" i="74"/>
  <c r="H10" i="74"/>
  <c r="G10" i="74"/>
  <c r="F10" i="74"/>
  <c r="D10" i="74"/>
  <c r="C10" i="74"/>
  <c r="B10" i="74"/>
  <c r="K6" i="74"/>
  <c r="J6" i="74"/>
  <c r="I6" i="74"/>
  <c r="H6" i="74"/>
  <c r="G6" i="74"/>
  <c r="F6" i="74"/>
  <c r="D6" i="74"/>
  <c r="C6" i="74"/>
  <c r="B6" i="74"/>
  <c r="I56" i="74"/>
  <c r="H56" i="74"/>
  <c r="J56" i="74"/>
  <c r="F56" i="74"/>
  <c r="I55" i="74"/>
  <c r="H55" i="74"/>
  <c r="J55" i="74"/>
  <c r="F55" i="74"/>
  <c r="K54" i="74"/>
  <c r="I53" i="74"/>
  <c r="H53" i="74"/>
  <c r="J53" i="74"/>
  <c r="F53" i="74"/>
  <c r="AF8" i="74" l="1"/>
  <c r="AF10" i="74"/>
  <c r="AD8" i="74"/>
  <c r="AD10" i="74"/>
  <c r="U18" i="74"/>
  <c r="U55" i="74"/>
  <c r="U63" i="74"/>
  <c r="U26" i="74"/>
  <c r="U11" i="74"/>
  <c r="K20" i="74"/>
  <c r="G19" i="74"/>
  <c r="K19" i="74"/>
  <c r="AE9" i="74" s="1"/>
  <c r="G20" i="74"/>
  <c r="K24" i="74"/>
  <c r="AF7" i="74" s="1"/>
  <c r="G18" i="74"/>
  <c r="K18" i="74"/>
  <c r="G62" i="74"/>
  <c r="E20" i="74"/>
  <c r="B61" i="74"/>
  <c r="B64" i="74"/>
  <c r="B62" i="74"/>
  <c r="O62" i="74"/>
  <c r="B63" i="74"/>
  <c r="G54" i="74"/>
  <c r="AE8" i="74" l="1"/>
  <c r="AE10" i="74"/>
  <c r="K61" i="74"/>
  <c r="G61" i="74"/>
  <c r="K63" i="74"/>
  <c r="G63" i="74"/>
  <c r="K55" i="74"/>
  <c r="G55" i="74"/>
  <c r="K56" i="74"/>
  <c r="G56" i="74"/>
  <c r="G53" i="74"/>
  <c r="K64" i="74" l="1"/>
  <c r="G64" i="74"/>
  <c r="P35" i="74" l="1"/>
  <c r="P33" i="74" l="1"/>
  <c r="P11" i="74"/>
  <c r="P26" i="74"/>
  <c r="P18" i="74"/>
  <c r="P55" i="74"/>
  <c r="P63" i="74"/>
  <c r="AI10" i="74" l="1"/>
  <c r="AI9" i="74"/>
  <c r="AI7" i="74"/>
  <c r="AH10" i="74"/>
  <c r="AH9" i="74"/>
  <c r="AH8" i="74"/>
  <c r="AH7" i="74"/>
  <c r="E43" i="74"/>
  <c r="A33" i="74"/>
  <c r="E33" i="74" s="1"/>
  <c r="AY74" i="74"/>
  <c r="AU74" i="74"/>
  <c r="AS74" i="74"/>
  <c r="T21" i="74"/>
  <c r="AE74" i="74" s="1"/>
  <c r="T65" i="74"/>
  <c r="T64" i="74"/>
  <c r="T28" i="74"/>
  <c r="W28" i="74" s="1"/>
  <c r="X28" i="74" s="1"/>
  <c r="T27" i="74"/>
  <c r="W27" i="74" s="1"/>
  <c r="X27" i="74" s="1"/>
  <c r="T45" i="74"/>
  <c r="T44" i="74"/>
  <c r="AF42" i="74"/>
  <c r="AF41" i="74"/>
  <c r="AP75" i="74"/>
  <c r="AO75" i="74"/>
  <c r="AQ74" i="74"/>
  <c r="AM74" i="74"/>
  <c r="AQ58" i="74"/>
  <c r="AM58" i="74"/>
  <c r="AQ57" i="74"/>
  <c r="AM57" i="74"/>
  <c r="T57" i="74"/>
  <c r="AQ56" i="74"/>
  <c r="AM56" i="74"/>
  <c r="T56" i="74"/>
  <c r="AQ55" i="74"/>
  <c r="AM55" i="74"/>
  <c r="AQ54" i="74"/>
  <c r="AM54" i="74"/>
  <c r="AQ53" i="74"/>
  <c r="AM53" i="74"/>
  <c r="AO37" i="74"/>
  <c r="AK37" i="74"/>
  <c r="T35" i="74"/>
  <c r="T34" i="74"/>
  <c r="T20" i="74"/>
  <c r="W20" i="74" s="1"/>
  <c r="T19" i="74"/>
  <c r="W19" i="74" s="1"/>
  <c r="T13" i="74"/>
  <c r="W13" i="74" s="1"/>
  <c r="T12" i="74"/>
  <c r="W12" i="74" s="1"/>
  <c r="V11" i="74" l="1"/>
  <c r="W11" i="74" s="1"/>
  <c r="A34" i="74"/>
  <c r="C33" i="74"/>
  <c r="J33" i="74"/>
  <c r="AT57" i="74" s="1"/>
  <c r="F33" i="74"/>
  <c r="H33" i="74"/>
  <c r="D33" i="74"/>
  <c r="I33" i="74"/>
  <c r="AS57" i="74" s="1"/>
  <c r="C43" i="74"/>
  <c r="J43" i="74"/>
  <c r="AX57" i="74" s="1"/>
  <c r="F43" i="74"/>
  <c r="D43" i="74"/>
  <c r="I43" i="74"/>
  <c r="AW57" i="74" s="1"/>
  <c r="H43" i="74"/>
  <c r="W57" i="74"/>
  <c r="X57" i="74" s="1"/>
  <c r="AH39" i="74" s="1"/>
  <c r="W65" i="74"/>
  <c r="T58" i="74"/>
  <c r="AH74" i="74" s="1"/>
  <c r="T29" i="74"/>
  <c r="AF74" i="74" s="1"/>
  <c r="V55" i="74"/>
  <c r="W55" i="74" s="1"/>
  <c r="AF39" i="74"/>
  <c r="X12" i="74"/>
  <c r="AD38" i="74" s="1"/>
  <c r="W64" i="74"/>
  <c r="AF38" i="74"/>
  <c r="W56" i="74"/>
  <c r="AI8" i="74"/>
  <c r="X19" i="74"/>
  <c r="AE38" i="74" s="1"/>
  <c r="T66" i="74"/>
  <c r="AI74" i="74" s="1"/>
  <c r="V18" i="74" l="1"/>
  <c r="W18" i="74" s="1"/>
  <c r="V26" i="74"/>
  <c r="E45" i="74"/>
  <c r="E44" i="74"/>
  <c r="A35" i="74"/>
  <c r="E35" i="74" s="1"/>
  <c r="E34" i="74"/>
  <c r="D45" i="74"/>
  <c r="C45" i="74"/>
  <c r="D34" i="74"/>
  <c r="C34" i="74"/>
  <c r="D44" i="74"/>
  <c r="C44" i="74"/>
  <c r="Y56" i="74"/>
  <c r="AH14" i="74" s="1"/>
  <c r="Y27" i="74"/>
  <c r="AF14" i="74" s="1"/>
  <c r="Y28" i="74"/>
  <c r="AF15" i="74" s="1"/>
  <c r="Y57" i="74"/>
  <c r="AH15" i="74" s="1"/>
  <c r="AY57" i="74"/>
  <c r="AU57" i="74"/>
  <c r="BD57" i="74" s="1"/>
  <c r="X13" i="74"/>
  <c r="AD39" i="74" s="1"/>
  <c r="X56" i="74"/>
  <c r="AH38" i="74" s="1"/>
  <c r="E46" i="74"/>
  <c r="A36" i="74"/>
  <c r="E36" i="74" s="1"/>
  <c r="Y19" i="74"/>
  <c r="AE14" i="74" s="1"/>
  <c r="Y55" i="74"/>
  <c r="AH13" i="74" s="1"/>
  <c r="X55" i="74"/>
  <c r="AH37" i="74" s="1"/>
  <c r="Y20" i="74"/>
  <c r="AE15" i="74" s="1"/>
  <c r="X20" i="74"/>
  <c r="AE39" i="74" s="1"/>
  <c r="Y65" i="74"/>
  <c r="AI15" i="74" s="1"/>
  <c r="Y64" i="74"/>
  <c r="AI14" i="74" s="1"/>
  <c r="X11" i="74"/>
  <c r="AD37" i="74" s="1"/>
  <c r="X65" i="74"/>
  <c r="AI39" i="74" s="1"/>
  <c r="X64" i="74"/>
  <c r="AI38" i="74" s="1"/>
  <c r="W26" i="74" l="1"/>
  <c r="X26" i="74" s="1"/>
  <c r="AF37" i="74" s="1"/>
  <c r="Y18" i="74"/>
  <c r="AE13" i="74" s="1"/>
  <c r="X18" i="74"/>
  <c r="AE37" i="74" s="1"/>
  <c r="C35" i="74"/>
  <c r="D35" i="74"/>
  <c r="D36" i="74"/>
  <c r="C36" i="74"/>
  <c r="D46" i="74"/>
  <c r="C46" i="74"/>
  <c r="BC57" i="74"/>
  <c r="E47" i="74"/>
  <c r="A37" i="74"/>
  <c r="E37" i="74" s="1"/>
  <c r="V63" i="74"/>
  <c r="W63" i="74" s="1"/>
  <c r="Y26" i="74" l="1"/>
  <c r="AF13" i="74" s="1"/>
  <c r="C37" i="74"/>
  <c r="D37" i="74"/>
  <c r="C47" i="74"/>
  <c r="D47" i="74"/>
  <c r="E48" i="74"/>
  <c r="A38" i="74"/>
  <c r="E38" i="74" s="1"/>
  <c r="Y63" i="74"/>
  <c r="AI13" i="74" s="1"/>
  <c r="X63" i="74"/>
  <c r="AI37" i="74" s="1"/>
  <c r="H38" i="74" l="1"/>
  <c r="D38" i="74"/>
  <c r="C38" i="74"/>
  <c r="I38" i="74"/>
  <c r="F38" i="74"/>
  <c r="J38" i="74"/>
  <c r="AT58" i="74" s="1"/>
  <c r="H48" i="74"/>
  <c r="D48" i="74"/>
  <c r="C48" i="74"/>
  <c r="J48" i="74"/>
  <c r="F48" i="74"/>
  <c r="I48" i="74"/>
  <c r="E49" i="74"/>
  <c r="A39" i="74"/>
  <c r="E39" i="74" s="1"/>
  <c r="AS58" i="74" l="1"/>
  <c r="AU58" i="74" s="1"/>
  <c r="BD58" i="74" s="1"/>
  <c r="D39" i="74"/>
  <c r="C39" i="74"/>
  <c r="D49" i="74"/>
  <c r="C49" i="74"/>
  <c r="BC58" i="74" l="1"/>
  <c r="T46" i="74" l="1"/>
  <c r="H49" i="74"/>
  <c r="F49" i="74"/>
  <c r="I47" i="74"/>
  <c r="H47" i="74"/>
  <c r="J47" i="74"/>
  <c r="F47" i="74"/>
  <c r="I46" i="74"/>
  <c r="H46" i="74"/>
  <c r="J46" i="74"/>
  <c r="F46" i="74"/>
  <c r="I45" i="74"/>
  <c r="H45" i="74"/>
  <c r="J45" i="74"/>
  <c r="F45" i="74"/>
  <c r="H44" i="74"/>
  <c r="F44" i="74"/>
  <c r="I42" i="74"/>
  <c r="H42" i="74"/>
  <c r="F42" i="74"/>
  <c r="H39" i="74"/>
  <c r="F39" i="74"/>
  <c r="H37" i="74"/>
  <c r="F37" i="74"/>
  <c r="I36" i="74"/>
  <c r="H36" i="74"/>
  <c r="J36" i="74"/>
  <c r="F36" i="74"/>
  <c r="I35" i="74"/>
  <c r="H35" i="74"/>
  <c r="J35" i="74"/>
  <c r="F35" i="74"/>
  <c r="H34" i="74"/>
  <c r="F34" i="74"/>
  <c r="I32" i="74"/>
  <c r="H32" i="74"/>
  <c r="F32" i="74"/>
  <c r="U33" i="74" l="1"/>
  <c r="U43" i="74"/>
  <c r="V43" i="74" s="1"/>
  <c r="I37" i="74"/>
  <c r="J39" i="74"/>
  <c r="AT56" i="74" s="1"/>
  <c r="J44" i="74"/>
  <c r="AX54" i="74" s="1"/>
  <c r="J49" i="74"/>
  <c r="AX56" i="74" s="1"/>
  <c r="J32" i="74"/>
  <c r="AT53" i="74" s="1"/>
  <c r="G43" i="74"/>
  <c r="K43" i="74"/>
  <c r="W44" i="74" s="1"/>
  <c r="K48" i="74"/>
  <c r="G48" i="74"/>
  <c r="I34" i="74"/>
  <c r="AS54" i="74" s="1"/>
  <c r="J34" i="74"/>
  <c r="AT54" i="74" s="1"/>
  <c r="J37" i="74"/>
  <c r="AT55" i="74" s="1"/>
  <c r="I39" i="74"/>
  <c r="AS56" i="74" s="1"/>
  <c r="J42" i="74"/>
  <c r="AX53" i="74" s="1"/>
  <c r="I44" i="74"/>
  <c r="AW54" i="74" s="1"/>
  <c r="I49" i="74"/>
  <c r="AW56" i="74" s="1"/>
  <c r="T14" i="74"/>
  <c r="AW53" i="74"/>
  <c r="AW55" i="74"/>
  <c r="AW58" i="74"/>
  <c r="AS53" i="74"/>
  <c r="AX58" i="74"/>
  <c r="AX55" i="74"/>
  <c r="AS55" i="74" l="1"/>
  <c r="AU55" i="74" s="1"/>
  <c r="BD55" i="74" s="1"/>
  <c r="H9" i="32"/>
  <c r="AY54" i="74"/>
  <c r="AY56" i="74"/>
  <c r="AU56" i="74"/>
  <c r="BD56" i="74" s="1"/>
  <c r="AU54" i="74"/>
  <c r="BD54" i="74" s="1"/>
  <c r="G34" i="74"/>
  <c r="K34" i="74"/>
  <c r="AG9" i="74" s="1"/>
  <c r="K45" i="74"/>
  <c r="W45" i="74" s="1"/>
  <c r="G45" i="74"/>
  <c r="AS37" i="74"/>
  <c r="AY53" i="74"/>
  <c r="G49" i="74"/>
  <c r="K49" i="74"/>
  <c r="K33" i="74"/>
  <c r="G33" i="74"/>
  <c r="K44" i="74"/>
  <c r="G44" i="74"/>
  <c r="K46" i="74"/>
  <c r="G46" i="74"/>
  <c r="G42" i="74"/>
  <c r="K42" i="74"/>
  <c r="K47" i="74"/>
  <c r="G47" i="74"/>
  <c r="G38" i="74"/>
  <c r="K38" i="74"/>
  <c r="AW37" i="74"/>
  <c r="V33" i="74"/>
  <c r="AY58" i="74"/>
  <c r="X44" i="74"/>
  <c r="Y44" i="74"/>
  <c r="P62" i="74"/>
  <c r="P54" i="74"/>
  <c r="P17" i="74"/>
  <c r="P32" i="74"/>
  <c r="P25" i="74"/>
  <c r="P10" i="74"/>
  <c r="T36" i="74"/>
  <c r="AG74" i="74" s="1"/>
  <c r="AU53" i="74"/>
  <c r="AY55" i="74"/>
  <c r="AD74" i="74"/>
  <c r="Y12" i="74"/>
  <c r="AD14" i="74" s="1"/>
  <c r="Y13" i="74"/>
  <c r="AD15" i="74" s="1"/>
  <c r="Y11" i="74"/>
  <c r="AD13" i="74" s="1"/>
  <c r="J9" i="32" l="1"/>
  <c r="H11" i="32"/>
  <c r="J14" i="32" s="1"/>
  <c r="J11" i="32"/>
  <c r="AS75" i="74"/>
  <c r="BC75" i="74" s="1"/>
  <c r="B42" i="74"/>
  <c r="BC56" i="74"/>
  <c r="BC54" i="74"/>
  <c r="BC55" i="74"/>
  <c r="G36" i="74"/>
  <c r="K36" i="74"/>
  <c r="K35" i="74"/>
  <c r="G35" i="74"/>
  <c r="K39" i="74"/>
  <c r="G39" i="74"/>
  <c r="K37" i="74"/>
  <c r="G37" i="74"/>
  <c r="K32" i="74"/>
  <c r="G32" i="74"/>
  <c r="W43" i="74"/>
  <c r="X43" i="74" s="1"/>
  <c r="AG8" i="74"/>
  <c r="W34" i="74"/>
  <c r="Y45" i="74"/>
  <c r="X45" i="74"/>
  <c r="BC53" i="74"/>
  <c r="BD53" i="74"/>
  <c r="AF33" i="74"/>
  <c r="AE33" i="74"/>
  <c r="AH33" i="74"/>
  <c r="AG33" i="74"/>
  <c r="AI33" i="74"/>
  <c r="AD33" i="74"/>
  <c r="B32" i="74"/>
  <c r="Q28" i="52"/>
  <c r="P28" i="52"/>
  <c r="Q30" i="52"/>
  <c r="Q31" i="52"/>
  <c r="Q32" i="52"/>
  <c r="Q33" i="52"/>
  <c r="Q34" i="52"/>
  <c r="Q35" i="52"/>
  <c r="Q36" i="52"/>
  <c r="Q37" i="52"/>
  <c r="Q29" i="52"/>
  <c r="P30" i="52"/>
  <c r="BD75" i="74" l="1"/>
  <c r="B44" i="74"/>
  <c r="B43" i="74"/>
  <c r="Y43" i="74"/>
  <c r="W35" i="74"/>
  <c r="AG10" i="74"/>
  <c r="AG7" i="74"/>
  <c r="W33" i="74"/>
  <c r="X34" i="74"/>
  <c r="AG38" i="74" s="1"/>
  <c r="Y34" i="74"/>
  <c r="AG14" i="74" s="1"/>
  <c r="AG32" i="74"/>
  <c r="AE32" i="74"/>
  <c r="AH32" i="74"/>
  <c r="AF32" i="74"/>
  <c r="AI32" i="74"/>
  <c r="AD32" i="74"/>
  <c r="P29" i="52"/>
  <c r="B33" i="74" l="1"/>
  <c r="B45" i="74"/>
  <c r="AG19" i="74"/>
  <c r="AI19" i="74"/>
  <c r="AE19" i="74"/>
  <c r="AH19" i="74"/>
  <c r="AF19" i="74"/>
  <c r="AD19" i="74"/>
  <c r="X33" i="74"/>
  <c r="AG37" i="74" s="1"/>
  <c r="AG54" i="74" s="1"/>
  <c r="Y33" i="74"/>
  <c r="AG13" i="74" s="1"/>
  <c r="AD18" i="74" s="1"/>
  <c r="AG31" i="74"/>
  <c r="AD31" i="74"/>
  <c r="AH31" i="74"/>
  <c r="AF31" i="74"/>
  <c r="AE31" i="74"/>
  <c r="AI31" i="74"/>
  <c r="AD34" i="74"/>
  <c r="AE34" i="74"/>
  <c r="AH34" i="74"/>
  <c r="AG34" i="74"/>
  <c r="AF34" i="74"/>
  <c r="AI34" i="74"/>
  <c r="AD54" i="74"/>
  <c r="AH54" i="74"/>
  <c r="AE54" i="74"/>
  <c r="X35" i="74"/>
  <c r="AG39" i="74" s="1"/>
  <c r="Y35" i="74"/>
  <c r="AG15" i="74" s="1"/>
  <c r="I13" i="70"/>
  <c r="B34" i="74" l="1"/>
  <c r="B46" i="74"/>
  <c r="AG20" i="74"/>
  <c r="AF20" i="74"/>
  <c r="AI20" i="74"/>
  <c r="AE20" i="74"/>
  <c r="AH20" i="74"/>
  <c r="AD20" i="74"/>
  <c r="AD55" i="74"/>
  <c r="AG55" i="74"/>
  <c r="AH55" i="74"/>
  <c r="AE55" i="74"/>
  <c r="AH18" i="74"/>
  <c r="AF18" i="74"/>
  <c r="AG18" i="74"/>
  <c r="AE18" i="74"/>
  <c r="AI18" i="74"/>
  <c r="AG53" i="74"/>
  <c r="AE53" i="74"/>
  <c r="AH53" i="74"/>
  <c r="AD53" i="74"/>
  <c r="I12" i="70"/>
  <c r="I11" i="70"/>
  <c r="I3" i="70"/>
  <c r="I2" i="70"/>
  <c r="B35" i="74" l="1"/>
  <c r="E16" i="70"/>
  <c r="E15" i="70"/>
  <c r="E20" i="70"/>
  <c r="E19" i="70"/>
  <c r="I16" i="70"/>
  <c r="I25" i="70" s="1"/>
  <c r="I15" i="70"/>
  <c r="H16" i="70"/>
  <c r="H15" i="70"/>
  <c r="H19" i="70"/>
  <c r="G13" i="70"/>
  <c r="F13" i="70"/>
  <c r="E13" i="70"/>
  <c r="D13" i="70"/>
  <c r="C13" i="70"/>
  <c r="H12" i="70"/>
  <c r="H11" i="70"/>
  <c r="H3" i="70"/>
  <c r="H2" i="70"/>
  <c r="K12" i="70"/>
  <c r="K11" i="70"/>
  <c r="K3" i="70"/>
  <c r="K2" i="70"/>
  <c r="J12" i="70"/>
  <c r="J11" i="70"/>
  <c r="J3" i="70"/>
  <c r="J2" i="70"/>
  <c r="G12" i="70"/>
  <c r="G11" i="70"/>
  <c r="G3" i="70"/>
  <c r="G2" i="70"/>
  <c r="F12" i="70"/>
  <c r="F11" i="70"/>
  <c r="F3" i="70"/>
  <c r="F2" i="70"/>
  <c r="E2" i="70"/>
  <c r="E3" i="70"/>
  <c r="E12" i="70"/>
  <c r="E11" i="70"/>
  <c r="D2" i="70"/>
  <c r="D3" i="70"/>
  <c r="D12" i="70"/>
  <c r="D11" i="70"/>
  <c r="C12" i="70"/>
  <c r="C11" i="70"/>
  <c r="C3" i="70"/>
  <c r="C2" i="70"/>
  <c r="B12" i="70"/>
  <c r="B11" i="70"/>
  <c r="B3" i="70"/>
  <c r="B2" i="70"/>
  <c r="B36" i="74" l="1"/>
  <c r="B47" i="74"/>
  <c r="E22" i="70"/>
  <c r="I22" i="70"/>
  <c r="H22" i="70"/>
  <c r="E25" i="70"/>
  <c r="I26" i="70"/>
  <c r="I23" i="70"/>
  <c r="I21" i="70"/>
  <c r="I20" i="70"/>
  <c r="I19" i="70"/>
  <c r="I27" i="70" s="1"/>
  <c r="I18" i="70"/>
  <c r="I17" i="70"/>
  <c r="I14" i="70"/>
  <c r="H17" i="70"/>
  <c r="E23" i="70"/>
  <c r="E21" i="70"/>
  <c r="E27" i="70"/>
  <c r="E26" i="70"/>
  <c r="E18" i="70"/>
  <c r="E14" i="70"/>
  <c r="E28" i="70" s="1"/>
  <c r="E17" i="70"/>
  <c r="H27" i="70"/>
  <c r="H26" i="70"/>
  <c r="H23" i="70"/>
  <c r="H21" i="70"/>
  <c r="H20" i="70"/>
  <c r="H14" i="70"/>
  <c r="H28" i="70" s="1"/>
  <c r="H18" i="70"/>
  <c r="B49" i="74" l="1"/>
  <c r="B48" i="74"/>
  <c r="I28" i="70"/>
  <c r="H13" i="70"/>
  <c r="H25" i="70" s="1"/>
  <c r="G16" i="70"/>
  <c r="G25" i="70" s="1"/>
  <c r="G15" i="70"/>
  <c r="B37" i="74" l="1"/>
  <c r="G18" i="70"/>
  <c r="G19" i="70"/>
  <c r="G27" i="70" s="1"/>
  <c r="G20" i="70"/>
  <c r="G22" i="70"/>
  <c r="G21" i="70"/>
  <c r="G14" i="70"/>
  <c r="G23" i="70"/>
  <c r="G17" i="70"/>
  <c r="G26" i="70"/>
  <c r="B39" i="74" l="1"/>
  <c r="B38" i="74"/>
  <c r="G28" i="70"/>
  <c r="F16" i="70"/>
  <c r="F25" i="70" s="1"/>
  <c r="F15" i="70"/>
  <c r="F14" i="70"/>
  <c r="D16" i="70"/>
  <c r="D25" i="70" s="1"/>
  <c r="D15" i="70"/>
  <c r="D14" i="70"/>
  <c r="F26" i="70" l="1"/>
  <c r="D26" i="70"/>
  <c r="F19" i="70"/>
  <c r="F27" i="70" s="1"/>
  <c r="D18" i="70"/>
  <c r="D19" i="70"/>
  <c r="D27" i="70" s="1"/>
  <c r="F20" i="70"/>
  <c r="D20" i="70"/>
  <c r="F22" i="70"/>
  <c r="D22" i="70"/>
  <c r="F21" i="70"/>
  <c r="D21" i="70"/>
  <c r="F23" i="70"/>
  <c r="D23" i="70"/>
  <c r="F17" i="70"/>
  <c r="D17" i="70"/>
  <c r="F18" i="70"/>
  <c r="F28" i="70" l="1"/>
  <c r="D28" i="70"/>
  <c r="C16" i="70"/>
  <c r="C25" i="70" s="1"/>
  <c r="C15" i="70"/>
  <c r="C14" i="70"/>
  <c r="C21" i="70" l="1"/>
  <c r="C23" i="70"/>
  <c r="C17" i="70"/>
  <c r="C26" i="70"/>
  <c r="C18" i="70"/>
  <c r="C19" i="70"/>
  <c r="C27" i="70" s="1"/>
  <c r="C20" i="70"/>
  <c r="C22" i="70"/>
  <c r="J17" i="70"/>
  <c r="B17" i="70"/>
  <c r="K17" i="70"/>
  <c r="J18" i="70"/>
  <c r="B18" i="70"/>
  <c r="K18" i="70"/>
  <c r="B19" i="70"/>
  <c r="K19" i="70"/>
  <c r="J19" i="70"/>
  <c r="B20" i="70"/>
  <c r="K20" i="70"/>
  <c r="J20" i="70"/>
  <c r="K22" i="70"/>
  <c r="J22" i="70"/>
  <c r="B22" i="70"/>
  <c r="K16" i="70"/>
  <c r="B16" i="70"/>
  <c r="B25" i="70" s="1"/>
  <c r="J16" i="70"/>
  <c r="B21" i="70"/>
  <c r="J21" i="70"/>
  <c r="K21" i="70"/>
  <c r="B23" i="70"/>
  <c r="K23" i="70"/>
  <c r="J23" i="70"/>
  <c r="K14" i="70"/>
  <c r="J14" i="70"/>
  <c r="B14" i="70"/>
  <c r="J15" i="70"/>
  <c r="B15" i="70"/>
  <c r="K15" i="70"/>
  <c r="B28" i="70" l="1"/>
  <c r="C28" i="70"/>
  <c r="J25" i="70"/>
  <c r="B26" i="70"/>
  <c r="J27" i="70"/>
  <c r="K25" i="70"/>
  <c r="J26" i="70"/>
  <c r="B27" i="70"/>
  <c r="K27" i="70"/>
  <c r="K26" i="70"/>
  <c r="B11" i="50" l="1"/>
  <c r="C74" i="50" l="1"/>
  <c r="C73" i="50"/>
  <c r="C72" i="50"/>
  <c r="C71" i="50"/>
  <c r="C70" i="50"/>
  <c r="C69" i="50"/>
  <c r="B74" i="50"/>
  <c r="B73" i="50"/>
  <c r="B72" i="50"/>
  <c r="B71" i="50"/>
  <c r="B70" i="50"/>
  <c r="B69" i="50"/>
  <c r="D75" i="50" l="1"/>
  <c r="C65" i="50" l="1"/>
  <c r="C64" i="50"/>
  <c r="C63" i="50"/>
  <c r="C62" i="50"/>
  <c r="C61" i="50"/>
  <c r="C60" i="50"/>
  <c r="B64" i="50"/>
  <c r="B65" i="50"/>
  <c r="B63" i="50"/>
  <c r="B62" i="50"/>
  <c r="B61" i="50"/>
  <c r="B60" i="50"/>
  <c r="AL3" i="49" l="1"/>
  <c r="D66" i="50"/>
  <c r="D73" i="50" l="1"/>
  <c r="D74" i="50"/>
  <c r="D69" i="50"/>
  <c r="D71" i="50"/>
  <c r="D70" i="50"/>
  <c r="D72" i="50"/>
  <c r="C56" i="50"/>
  <c r="C55" i="50"/>
  <c r="C54" i="50"/>
  <c r="C53" i="50"/>
  <c r="C52" i="50"/>
  <c r="C51" i="50"/>
  <c r="C50" i="50"/>
  <c r="C46" i="50"/>
  <c r="C45" i="50"/>
  <c r="C44" i="50"/>
  <c r="C43" i="50"/>
  <c r="C42" i="50"/>
  <c r="C41" i="50"/>
  <c r="B56" i="50"/>
  <c r="B55" i="50"/>
  <c r="B54" i="50"/>
  <c r="B53" i="50"/>
  <c r="B52" i="50"/>
  <c r="B51" i="50"/>
  <c r="B50" i="50"/>
  <c r="B46" i="50"/>
  <c r="B45" i="50"/>
  <c r="B44" i="50"/>
  <c r="B42" i="50"/>
  <c r="B43" i="50"/>
  <c r="B41" i="50"/>
  <c r="D57" i="50" l="1"/>
  <c r="D47" i="50" l="1"/>
  <c r="D46" i="50" s="1"/>
  <c r="K74" i="50" s="1"/>
  <c r="D50" i="50"/>
  <c r="D52" i="50"/>
  <c r="D54" i="50"/>
  <c r="D56" i="50"/>
  <c r="D51" i="50"/>
  <c r="D53" i="50"/>
  <c r="D55" i="50"/>
  <c r="D45" i="50" l="1"/>
  <c r="K73" i="50" s="1"/>
  <c r="D43" i="50"/>
  <c r="K71" i="50" s="1"/>
  <c r="D42" i="50"/>
  <c r="K70" i="50" s="1"/>
  <c r="D44" i="50"/>
  <c r="K72" i="50" s="1"/>
  <c r="I74" i="50"/>
  <c r="D61" i="50"/>
  <c r="D65" i="50"/>
  <c r="J74" i="50" s="1"/>
  <c r="D62" i="50"/>
  <c r="D63" i="50"/>
  <c r="D60" i="50"/>
  <c r="D64" i="50"/>
  <c r="J70" i="50" l="1"/>
  <c r="I73" i="50"/>
  <c r="I70" i="50"/>
  <c r="J73" i="50"/>
  <c r="J71" i="50"/>
  <c r="I71" i="50"/>
  <c r="I72" i="50"/>
  <c r="J72" i="50"/>
  <c r="R60" i="50" l="1"/>
  <c r="R43" i="50"/>
  <c r="R62" i="50"/>
  <c r="R61" i="50"/>
  <c r="R59" i="50"/>
  <c r="R54" i="50"/>
  <c r="R53" i="50"/>
  <c r="R52" i="50"/>
  <c r="R51" i="50"/>
  <c r="R45" i="50"/>
  <c r="R44" i="50"/>
  <c r="R42" i="50"/>
  <c r="B2" i="49" l="1"/>
  <c r="C62" i="74" l="1"/>
  <c r="C27" i="74"/>
  <c r="C20" i="74"/>
  <c r="C63" i="74"/>
  <c r="C61" i="74"/>
  <c r="C26" i="74"/>
  <c r="C24" i="74"/>
  <c r="C19" i="74"/>
  <c r="C17" i="74"/>
  <c r="C64" i="74"/>
  <c r="C25" i="74"/>
  <c r="C18" i="74"/>
  <c r="B3" i="49"/>
  <c r="B4" i="50"/>
  <c r="B3" i="50"/>
  <c r="B8" i="50"/>
  <c r="B7" i="50"/>
  <c r="B6" i="50"/>
  <c r="B5" i="50"/>
  <c r="N45" i="52"/>
  <c r="P37" i="52"/>
  <c r="P36" i="52"/>
  <c r="P35" i="52"/>
  <c r="P34" i="52"/>
  <c r="P33" i="52"/>
  <c r="P32" i="52"/>
  <c r="P31" i="52"/>
  <c r="B4" i="52"/>
  <c r="A4" i="52"/>
  <c r="B3" i="52"/>
  <c r="A3" i="52"/>
  <c r="B2" i="52"/>
  <c r="A2" i="52"/>
  <c r="L3" i="51"/>
  <c r="I92" i="34" l="1"/>
  <c r="I93" i="34" s="1"/>
  <c r="Q77" i="34"/>
  <c r="P77" i="34"/>
  <c r="L77" i="34"/>
  <c r="N77" i="34" s="1"/>
  <c r="K77" i="34"/>
  <c r="M77" i="34" s="1"/>
  <c r="Q75" i="34"/>
  <c r="P75" i="34"/>
  <c r="L75" i="34"/>
  <c r="N75" i="34" s="1"/>
  <c r="K75" i="34"/>
  <c r="M75" i="34" s="1"/>
  <c r="Q73" i="34"/>
  <c r="P73" i="34"/>
  <c r="L73" i="34"/>
  <c r="N73" i="34" s="1"/>
  <c r="K73" i="34"/>
  <c r="M73" i="34" s="1"/>
  <c r="Q71" i="34"/>
  <c r="P71" i="34"/>
  <c r="L71" i="34"/>
  <c r="N71" i="34" s="1"/>
  <c r="K71" i="34"/>
  <c r="M71" i="34" s="1"/>
  <c r="Q69" i="34"/>
  <c r="P69" i="34"/>
  <c r="L69" i="34"/>
  <c r="N69" i="34" s="1"/>
  <c r="K69" i="34"/>
  <c r="M69" i="34" s="1"/>
  <c r="Q67" i="34"/>
  <c r="P67" i="34"/>
  <c r="L67" i="34"/>
  <c r="N67" i="34" s="1"/>
  <c r="K67" i="34"/>
  <c r="M67" i="34" s="1"/>
  <c r="Q65" i="34"/>
  <c r="P65" i="34"/>
  <c r="L65" i="34"/>
  <c r="N65" i="34" s="1"/>
  <c r="K65" i="34"/>
  <c r="M65" i="34" s="1"/>
  <c r="Q63" i="34"/>
  <c r="P63" i="34"/>
  <c r="L63" i="34"/>
  <c r="N63" i="34" s="1"/>
  <c r="K63" i="34"/>
  <c r="M63" i="34" s="1"/>
  <c r="Q61" i="34"/>
  <c r="P61" i="34"/>
  <c r="L61" i="34"/>
  <c r="N61" i="34" s="1"/>
  <c r="K61" i="34"/>
  <c r="M61" i="34" s="1"/>
  <c r="Q59" i="34"/>
  <c r="P59" i="34"/>
  <c r="L59" i="34"/>
  <c r="N59" i="34" s="1"/>
  <c r="K59" i="34"/>
  <c r="M59" i="34" s="1"/>
  <c r="Q57" i="34"/>
  <c r="P57" i="34"/>
  <c r="L57" i="34"/>
  <c r="N57" i="34" s="1"/>
  <c r="K57" i="34"/>
  <c r="M57" i="34" s="1"/>
  <c r="Q55" i="34"/>
  <c r="P55" i="34"/>
  <c r="L55" i="34"/>
  <c r="N55" i="34" s="1"/>
  <c r="K55" i="34"/>
  <c r="M55" i="34" s="1"/>
  <c r="Q53" i="34"/>
  <c r="P53" i="34"/>
  <c r="L53" i="34"/>
  <c r="N53" i="34" s="1"/>
  <c r="K53" i="34"/>
  <c r="M53" i="34" s="1"/>
  <c r="Q51" i="34"/>
  <c r="P51" i="34"/>
  <c r="L51" i="34"/>
  <c r="N51" i="34" s="1"/>
  <c r="K51" i="34"/>
  <c r="M51" i="34" s="1"/>
  <c r="Q49" i="34"/>
  <c r="P49" i="34"/>
  <c r="L49" i="34"/>
  <c r="N49" i="34" s="1"/>
  <c r="K49" i="34"/>
  <c r="M49" i="34" s="1"/>
  <c r="Q47" i="34"/>
  <c r="P47" i="34"/>
  <c r="L47" i="34"/>
  <c r="N47" i="34" s="1"/>
  <c r="K47" i="34"/>
  <c r="M47" i="34" s="1"/>
  <c r="Q45" i="34"/>
  <c r="P45" i="34"/>
  <c r="L45" i="34"/>
  <c r="N45" i="34" s="1"/>
  <c r="K45" i="34"/>
  <c r="M45" i="34" s="1"/>
  <c r="Q43" i="34"/>
  <c r="P43" i="34"/>
  <c r="L43" i="34"/>
  <c r="N43" i="34" s="1"/>
  <c r="K43" i="34"/>
  <c r="M43" i="34" s="1"/>
  <c r="Q41" i="34"/>
  <c r="P41" i="34"/>
  <c r="L41" i="34"/>
  <c r="N41" i="34" s="1"/>
  <c r="K41" i="34"/>
  <c r="M41" i="34" s="1"/>
  <c r="Q39" i="34"/>
  <c r="P39" i="34"/>
  <c r="L39" i="34"/>
  <c r="N39" i="34" s="1"/>
  <c r="K39" i="34"/>
  <c r="M39" i="34" s="1"/>
  <c r="Q37" i="34"/>
  <c r="P37" i="34"/>
  <c r="L37" i="34"/>
  <c r="N37" i="34" s="1"/>
  <c r="K37" i="34"/>
  <c r="M37" i="34" s="1"/>
  <c r="Q35" i="34"/>
  <c r="P35" i="34"/>
  <c r="L35" i="34"/>
  <c r="N35" i="34" s="1"/>
  <c r="K35" i="34"/>
  <c r="M35" i="34" s="1"/>
  <c r="Q33" i="34"/>
  <c r="P33" i="34"/>
  <c r="L33" i="34"/>
  <c r="N33" i="34" s="1"/>
  <c r="K33" i="34"/>
  <c r="M33" i="34" s="1"/>
  <c r="Q31" i="34"/>
  <c r="P31" i="34"/>
  <c r="L31" i="34"/>
  <c r="N31" i="34" s="1"/>
  <c r="K31" i="34"/>
  <c r="M31" i="34" s="1"/>
  <c r="Q29" i="34"/>
  <c r="P29" i="34"/>
  <c r="L29" i="34"/>
  <c r="N29" i="34" s="1"/>
  <c r="K29" i="34"/>
  <c r="M29" i="34" s="1"/>
  <c r="Q27" i="34"/>
  <c r="P27" i="34"/>
  <c r="L27" i="34"/>
  <c r="N27" i="34" s="1"/>
  <c r="K27" i="34"/>
  <c r="M27" i="34" s="1"/>
  <c r="Q25" i="34"/>
  <c r="P25" i="34"/>
  <c r="L25" i="34"/>
  <c r="N25" i="34" s="1"/>
  <c r="K25" i="34"/>
  <c r="M25" i="34" s="1"/>
  <c r="Q23" i="34"/>
  <c r="P23" i="34"/>
  <c r="L23" i="34"/>
  <c r="N23" i="34" s="1"/>
  <c r="K23" i="34"/>
  <c r="M23" i="34" s="1"/>
  <c r="Q21" i="34"/>
  <c r="P21" i="34"/>
  <c r="L21" i="34"/>
  <c r="N21" i="34" s="1"/>
  <c r="K21" i="34"/>
  <c r="M21" i="34" s="1"/>
  <c r="Q19" i="34"/>
  <c r="P19" i="34"/>
  <c r="L19" i="34"/>
  <c r="N19" i="34" s="1"/>
  <c r="K19" i="34"/>
  <c r="M19" i="34" s="1"/>
  <c r="Q17" i="34"/>
  <c r="P17" i="34"/>
  <c r="L17" i="34"/>
  <c r="N17" i="34" s="1"/>
  <c r="K17" i="34"/>
  <c r="M17" i="34" s="1"/>
  <c r="Q15" i="34"/>
  <c r="P15" i="34"/>
  <c r="L15" i="34"/>
  <c r="N15" i="34" s="1"/>
  <c r="K15" i="34"/>
  <c r="M15" i="34" s="1"/>
  <c r="Q13" i="34"/>
  <c r="P13" i="34"/>
  <c r="L13" i="34"/>
  <c r="N13" i="34" s="1"/>
  <c r="K13" i="34"/>
  <c r="M13" i="34" s="1"/>
  <c r="Q11" i="34"/>
  <c r="P11" i="34"/>
  <c r="L11" i="34"/>
  <c r="N11" i="34" s="1"/>
  <c r="K11" i="34"/>
  <c r="M11" i="34" s="1"/>
  <c r="Q9" i="34"/>
  <c r="P9" i="34"/>
  <c r="L9" i="34"/>
  <c r="N9" i="34" s="1"/>
  <c r="K9" i="34"/>
  <c r="M9" i="34" s="1"/>
  <c r="Q7" i="34"/>
  <c r="P7" i="34"/>
  <c r="L7" i="34"/>
  <c r="N7" i="34" s="1"/>
  <c r="K7" i="34"/>
  <c r="M7" i="34" s="1"/>
  <c r="Q10" i="32"/>
  <c r="M5" i="32"/>
  <c r="D31" i="50"/>
  <c r="D30" i="50"/>
  <c r="D29" i="50"/>
  <c r="D28" i="50"/>
  <c r="C31" i="50"/>
  <c r="C30" i="50"/>
  <c r="C29" i="50"/>
  <c r="C28" i="50"/>
  <c r="B31" i="50"/>
  <c r="B30" i="50"/>
  <c r="B29" i="50"/>
  <c r="B28" i="50"/>
  <c r="AE38" i="50"/>
  <c r="AC38" i="50"/>
  <c r="AD38" i="50" s="1"/>
  <c r="AB38" i="50"/>
  <c r="AE37" i="50"/>
  <c r="AC37" i="50"/>
  <c r="AD37" i="50" s="1"/>
  <c r="AB37" i="50"/>
  <c r="AE36" i="50"/>
  <c r="AC36" i="50"/>
  <c r="AD36" i="50" s="1"/>
  <c r="AB36" i="50"/>
  <c r="AE35" i="50"/>
  <c r="AC35" i="50"/>
  <c r="AD35" i="50" s="1"/>
  <c r="AB35" i="50"/>
  <c r="AE34" i="50"/>
  <c r="AC34" i="50"/>
  <c r="AD34" i="50" s="1"/>
  <c r="AB34" i="50"/>
  <c r="AE33" i="50"/>
  <c r="AC33" i="50"/>
  <c r="AD33" i="50" s="1"/>
  <c r="AB33" i="50"/>
  <c r="AE32" i="50"/>
  <c r="AC32" i="50"/>
  <c r="AD32" i="50" s="1"/>
  <c r="AB32" i="50"/>
  <c r="AE31" i="50"/>
  <c r="AC31" i="50"/>
  <c r="AD31" i="50" s="1"/>
  <c r="AB31" i="50"/>
  <c r="R31" i="50" s="1"/>
  <c r="C23" i="50" s="1"/>
  <c r="AE30" i="50"/>
  <c r="AC30" i="50"/>
  <c r="AD30" i="50" s="1"/>
  <c r="AB30" i="50"/>
  <c r="AE29" i="50"/>
  <c r="AC29" i="50"/>
  <c r="AD29" i="50" s="1"/>
  <c r="AB29" i="50"/>
  <c r="AE28" i="50"/>
  <c r="AC28" i="50"/>
  <c r="AD28" i="50" s="1"/>
  <c r="AB28" i="50"/>
  <c r="R28" i="50" s="1"/>
  <c r="C20" i="50" s="1"/>
  <c r="AE27" i="50"/>
  <c r="AC27" i="50"/>
  <c r="AD27" i="50" s="1"/>
  <c r="AB27" i="50"/>
  <c r="AE26" i="50"/>
  <c r="AC26" i="50"/>
  <c r="AD26" i="50" s="1"/>
  <c r="AB26" i="50"/>
  <c r="AE25" i="50"/>
  <c r="AC25" i="50"/>
  <c r="AD25" i="50" s="1"/>
  <c r="AB25" i="50"/>
  <c r="AE24" i="50"/>
  <c r="AC24" i="50"/>
  <c r="AD24" i="50" s="1"/>
  <c r="AB24" i="50"/>
  <c r="AE18" i="50"/>
  <c r="AC18" i="50"/>
  <c r="AD18" i="50" s="1"/>
  <c r="AB18" i="50"/>
  <c r="AE17" i="50"/>
  <c r="AC17" i="50"/>
  <c r="AD17" i="50" s="1"/>
  <c r="AB17" i="50"/>
  <c r="AE16" i="50"/>
  <c r="AC16" i="50"/>
  <c r="AD16" i="50" s="1"/>
  <c r="AB16" i="50"/>
  <c r="AE15" i="50"/>
  <c r="AC15" i="50"/>
  <c r="AD15" i="50" s="1"/>
  <c r="AB15" i="50"/>
  <c r="AE14" i="50"/>
  <c r="AC14" i="50"/>
  <c r="AD14" i="50" s="1"/>
  <c r="AB14" i="50"/>
  <c r="AE13" i="50"/>
  <c r="AC13" i="50"/>
  <c r="AD13" i="50" s="1"/>
  <c r="AB13" i="50"/>
  <c r="AE12" i="50"/>
  <c r="AC12" i="50"/>
  <c r="AD12" i="50" s="1"/>
  <c r="AB12" i="50"/>
  <c r="AE11" i="50"/>
  <c r="AC11" i="50"/>
  <c r="AD11" i="50" s="1"/>
  <c r="AB11" i="50"/>
  <c r="R11" i="50" s="1"/>
  <c r="B23" i="50" s="1"/>
  <c r="AE10" i="50"/>
  <c r="AC10" i="50"/>
  <c r="AD10" i="50" s="1"/>
  <c r="AB10" i="50"/>
  <c r="AE9" i="50"/>
  <c r="AC9" i="50"/>
  <c r="AD9" i="50" s="1"/>
  <c r="AB9" i="50"/>
  <c r="AE8" i="50"/>
  <c r="AC8" i="50"/>
  <c r="AD8" i="50" s="1"/>
  <c r="AB8" i="50"/>
  <c r="AE7" i="50"/>
  <c r="AC7" i="50"/>
  <c r="AD7" i="50" s="1"/>
  <c r="AB7" i="50"/>
  <c r="AE6" i="50"/>
  <c r="AC6" i="50"/>
  <c r="AD6" i="50" s="1"/>
  <c r="AB6" i="50"/>
  <c r="AE5" i="50"/>
  <c r="AC5" i="50"/>
  <c r="AD5" i="50" s="1"/>
  <c r="AB5" i="50"/>
  <c r="AE4" i="50"/>
  <c r="AC4" i="50"/>
  <c r="AD4" i="50" s="1"/>
  <c r="AB4" i="50"/>
  <c r="R29" i="50" l="1"/>
  <c r="C21" i="50" s="1"/>
  <c r="R7" i="50"/>
  <c r="B19" i="50" s="1"/>
  <c r="R5" i="50"/>
  <c r="B17" i="50" s="1"/>
  <c r="R25" i="50"/>
  <c r="C17" i="50" s="1"/>
  <c r="O7" i="34"/>
  <c r="O9" i="34"/>
  <c r="R19" i="34"/>
  <c r="R27" i="34"/>
  <c r="R35" i="34"/>
  <c r="R59" i="34"/>
  <c r="R75" i="34"/>
  <c r="O15" i="34"/>
  <c r="R4" i="50"/>
  <c r="B16" i="50" s="1"/>
  <c r="AF8" i="50"/>
  <c r="AF12" i="50"/>
  <c r="O19" i="34"/>
  <c r="O21" i="34"/>
  <c r="R67" i="34"/>
  <c r="O29" i="34"/>
  <c r="R7" i="34"/>
  <c r="R43" i="34"/>
  <c r="R51" i="34"/>
  <c r="R37" i="34"/>
  <c r="R53" i="34"/>
  <c r="R26" i="50"/>
  <c r="C18" i="50" s="1"/>
  <c r="R30" i="50"/>
  <c r="C22" i="50" s="1"/>
  <c r="Q12" i="32"/>
  <c r="Q14" i="32" s="1"/>
  <c r="AF9" i="50"/>
  <c r="AF13" i="50"/>
  <c r="AF17" i="50"/>
  <c r="AF30" i="50"/>
  <c r="AF34" i="50"/>
  <c r="R45" i="34"/>
  <c r="R77" i="34"/>
  <c r="R6" i="50"/>
  <c r="B18" i="50" s="1"/>
  <c r="AF7" i="50"/>
  <c r="AF15" i="50"/>
  <c r="AF24" i="50"/>
  <c r="AF29" i="50"/>
  <c r="O37" i="34"/>
  <c r="O45" i="34"/>
  <c r="O53" i="34"/>
  <c r="O61" i="34"/>
  <c r="O69" i="34"/>
  <c r="O77" i="34"/>
  <c r="AF6" i="50"/>
  <c r="AF10" i="50"/>
  <c r="AF28" i="50"/>
  <c r="AF32" i="50"/>
  <c r="AF36" i="50"/>
  <c r="R9" i="34"/>
  <c r="R15" i="34"/>
  <c r="R21" i="34"/>
  <c r="R29" i="34"/>
  <c r="R61" i="34"/>
  <c r="R69" i="34"/>
  <c r="AF27" i="50"/>
  <c r="AF31" i="50"/>
  <c r="AF35" i="50"/>
  <c r="R23" i="34"/>
  <c r="R31" i="34"/>
  <c r="R39" i="34"/>
  <c r="R47" i="34"/>
  <c r="R55" i="34"/>
  <c r="R63" i="34"/>
  <c r="R71" i="34"/>
  <c r="O31" i="34"/>
  <c r="O47" i="34"/>
  <c r="O55" i="34"/>
  <c r="O63" i="34"/>
  <c r="O11" i="34"/>
  <c r="O23" i="34"/>
  <c r="O39" i="34"/>
  <c r="O71" i="34"/>
  <c r="R8" i="50"/>
  <c r="B20" i="50" s="1"/>
  <c r="R9" i="50"/>
  <c r="B21" i="50" s="1"/>
  <c r="R10" i="50"/>
  <c r="B22" i="50" s="1"/>
  <c r="AF11" i="50"/>
  <c r="R24" i="50"/>
  <c r="C16" i="50" s="1"/>
  <c r="AF37" i="50"/>
  <c r="R11" i="34"/>
  <c r="O13" i="34"/>
  <c r="O17" i="34"/>
  <c r="O25" i="34"/>
  <c r="O33" i="34"/>
  <c r="O41" i="34"/>
  <c r="O49" i="34"/>
  <c r="O57" i="34"/>
  <c r="O65" i="34"/>
  <c r="O73" i="34"/>
  <c r="R13" i="34"/>
  <c r="R17" i="34"/>
  <c r="R25" i="34"/>
  <c r="O27" i="34"/>
  <c r="R33" i="34"/>
  <c r="O35" i="34"/>
  <c r="R41" i="34"/>
  <c r="O43" i="34"/>
  <c r="R49" i="34"/>
  <c r="O51" i="34"/>
  <c r="R57" i="34"/>
  <c r="O59" i="34"/>
  <c r="R65" i="34"/>
  <c r="O67" i="34"/>
  <c r="R73" i="34"/>
  <c r="O75" i="34"/>
  <c r="H13" i="32"/>
  <c r="H14" i="32" s="1"/>
  <c r="H15" i="32" s="1"/>
  <c r="D20" i="32" s="1"/>
  <c r="D21" i="32" s="1"/>
  <c r="D22" i="32" s="1"/>
  <c r="D23" i="32" s="1"/>
  <c r="D24" i="32" s="1"/>
  <c r="D25" i="32" s="1"/>
  <c r="D26" i="32" s="1"/>
  <c r="D27" i="32" s="1"/>
  <c r="D28" i="32" s="1"/>
  <c r="AF25" i="50"/>
  <c r="AF26" i="50"/>
  <c r="R27" i="50"/>
  <c r="C19" i="50" s="1"/>
  <c r="AF33" i="50"/>
  <c r="AF38" i="50"/>
  <c r="AF16" i="50"/>
  <c r="AF4" i="50"/>
  <c r="AF5" i="50"/>
  <c r="AF14" i="50"/>
  <c r="AF18" i="50"/>
  <c r="D41" i="50" l="1"/>
  <c r="D24" i="50"/>
  <c r="E21" i="50" s="1"/>
  <c r="K69" i="50" l="1"/>
  <c r="I69" i="50"/>
  <c r="J69" i="50"/>
  <c r="E18" i="50"/>
  <c r="D16" i="50"/>
  <c r="D20" i="50"/>
  <c r="D18" i="50"/>
  <c r="D23" i="50"/>
  <c r="D17" i="50"/>
  <c r="D21" i="50"/>
  <c r="E17" i="50"/>
  <c r="E20" i="50"/>
  <c r="E16" i="50"/>
  <c r="D22" i="50"/>
  <c r="E19" i="50"/>
  <c r="D19" i="50"/>
  <c r="E23" i="50"/>
  <c r="E22" i="50"/>
</calcChain>
</file>

<file path=xl/sharedStrings.xml><?xml version="1.0" encoding="utf-8"?>
<sst xmlns="http://schemas.openxmlformats.org/spreadsheetml/2006/main" count="6016" uniqueCount="1178">
  <si>
    <t>Test #</t>
  </si>
  <si>
    <t>Cycle</t>
  </si>
  <si>
    <t>Start Comments</t>
  </si>
  <si>
    <t>End Comments</t>
  </si>
  <si>
    <t>lb</t>
  </si>
  <si>
    <t>Vehicle</t>
  </si>
  <si>
    <t>Location</t>
  </si>
  <si>
    <t>Test purpose</t>
  </si>
  <si>
    <t>Principal Investigator</t>
  </si>
  <si>
    <t>Test Cycle and phases</t>
  </si>
  <si>
    <t>COMPLETION CHECK</t>
  </si>
  <si>
    <t>Pretest Soak time</t>
  </si>
  <si>
    <t>Test cell temperature</t>
  </si>
  <si>
    <t>Fan speed</t>
  </si>
  <si>
    <r>
      <t xml:space="preserve">Emissions </t>
    </r>
    <r>
      <rPr>
        <b/>
        <sz val="10"/>
        <color theme="1"/>
        <rFont val="Calibri"/>
        <family val="2"/>
        <scheme val="minor"/>
      </rPr>
      <t>(Bag, modal Semtech)</t>
    </r>
  </si>
  <si>
    <t>Direct Fuel scale</t>
  </si>
  <si>
    <t>Hioki</t>
  </si>
  <si>
    <t>Vehicle Climate Control</t>
  </si>
  <si>
    <t>Hood position</t>
  </si>
  <si>
    <t>Windows position</t>
  </si>
  <si>
    <r>
      <t>Driver</t>
    </r>
    <r>
      <rPr>
        <b/>
        <sz val="10"/>
        <color theme="1"/>
        <rFont val="Calibri"/>
        <family val="2"/>
        <scheme val="minor"/>
      </rPr>
      <t xml:space="preserve"> (same. DNM Does Not Mater, Robot, engineer)</t>
    </r>
  </si>
  <si>
    <t>-</t>
  </si>
  <si>
    <t>72F</t>
  </si>
  <si>
    <t>NO</t>
  </si>
  <si>
    <t>No</t>
  </si>
  <si>
    <t>Yes</t>
  </si>
  <si>
    <t>OFF</t>
  </si>
  <si>
    <t>Down</t>
  </si>
  <si>
    <t>DNM</t>
  </si>
  <si>
    <t>Vehicle loss determination</t>
  </si>
  <si>
    <t>12 hr</t>
  </si>
  <si>
    <t>A</t>
  </si>
  <si>
    <t>B</t>
  </si>
  <si>
    <t>C</t>
  </si>
  <si>
    <t>ETW</t>
  </si>
  <si>
    <t>lbm</t>
  </si>
  <si>
    <t>lb/mph</t>
  </si>
  <si>
    <t>Instrumentation</t>
  </si>
  <si>
    <t>Facilities</t>
  </si>
  <si>
    <t>Standard Dynamometer</t>
  </si>
  <si>
    <t>Channel 1</t>
  </si>
  <si>
    <t>Channel 2</t>
  </si>
  <si>
    <t>Channel 3</t>
  </si>
  <si>
    <t>Channel 4</t>
  </si>
  <si>
    <t>Channel 5</t>
  </si>
  <si>
    <t>Channel 6</t>
  </si>
  <si>
    <t>Dyno Target A:</t>
  </si>
  <si>
    <t>Dyno Target B:</t>
  </si>
  <si>
    <t>Dyno Target C:</t>
  </si>
  <si>
    <t>20F</t>
  </si>
  <si>
    <t>veh spd</t>
  </si>
  <si>
    <t>Closed</t>
  </si>
  <si>
    <t>lb/mph2</t>
  </si>
  <si>
    <t>4WD dyno GUI table#</t>
  </si>
  <si>
    <t>Highway</t>
  </si>
  <si>
    <t>HWY</t>
  </si>
  <si>
    <t>SC03</t>
  </si>
  <si>
    <t>UDDS</t>
  </si>
  <si>
    <t>0% grade</t>
  </si>
  <si>
    <t>3% grade</t>
  </si>
  <si>
    <t>6% grade</t>
  </si>
  <si>
    <t>35-55 mph</t>
  </si>
  <si>
    <t>55-65 mph</t>
  </si>
  <si>
    <t>35-70 mph</t>
  </si>
  <si>
    <t>55-80 mph</t>
  </si>
  <si>
    <t>Maximum sustained speed</t>
  </si>
  <si>
    <t>[mph]</t>
  </si>
  <si>
    <t>Time [s]</t>
  </si>
  <si>
    <t>Gradeability - Max speed at 25% grade from stop</t>
  </si>
  <si>
    <t xml:space="preserve">UDDS cold start </t>
  </si>
  <si>
    <t xml:space="preserve">US06 </t>
  </si>
  <si>
    <t>US06 City</t>
  </si>
  <si>
    <t xml:space="preserve">US06 Highway </t>
  </si>
  <si>
    <t>Vehicle test weight</t>
  </si>
  <si>
    <t>C target road load</t>
  </si>
  <si>
    <t>B target road load</t>
  </si>
  <si>
    <t>A target road load</t>
  </si>
  <si>
    <t>[lb]</t>
  </si>
  <si>
    <t>[lb/mph]</t>
  </si>
  <si>
    <t>[lb/mph2]</t>
  </si>
  <si>
    <t>Vehicle VIN</t>
  </si>
  <si>
    <t>File Name</t>
  </si>
  <si>
    <t>Cursor A Time</t>
  </si>
  <si>
    <t>Cursor B Time</t>
  </si>
  <si>
    <t>Avg A-B Dyno_Spd[mph]</t>
  </si>
  <si>
    <t>Vehicle speed [m/s]</t>
  </si>
  <si>
    <t>Wheel power [kW]</t>
  </si>
  <si>
    <t>Fuel Power [kW]</t>
  </si>
  <si>
    <t>Vehicle Eff [%]</t>
  </si>
  <si>
    <t>SSS 0% grade</t>
  </si>
  <si>
    <t>SPECIAL COMMENTS</t>
  </si>
  <si>
    <t>SSS 6% grade</t>
  </si>
  <si>
    <t>Cursor A Dyno_Spd[mph]</t>
  </si>
  <si>
    <t>Cursor B Dyno_Spd[mph]</t>
  </si>
  <si>
    <t>Passing Time 0% Grade</t>
  </si>
  <si>
    <t>Accel Time</t>
  </si>
  <si>
    <t>Passing Time 3% Grade</t>
  </si>
  <si>
    <t>Passing Time 6% Grade</t>
  </si>
  <si>
    <t>Cycle Filename (use to determine cycle)</t>
  </si>
  <si>
    <t>Represented Test Veh Make</t>
  </si>
  <si>
    <t>Represented Test Veh Model</t>
  </si>
  <si>
    <t>Test Vehicle ID</t>
  </si>
  <si>
    <t>Vehicle Type</t>
  </si>
  <si>
    <t># of Gears</t>
  </si>
  <si>
    <t>Electric consumption [Wh/mi]</t>
  </si>
  <si>
    <t>CAUTION: DO NOT PUBLISH THE NUMBERS ON THE RIGHT OF THE RED COLUMN. 
The numbers on the right are only to support the reporting on the left</t>
  </si>
  <si>
    <t>SOC</t>
  </si>
  <si>
    <t>Avg A-B I1</t>
  </si>
  <si>
    <t>Avg A-B Dyno_TractiveForce[N]</t>
  </si>
  <si>
    <t>Cursor A Pedal_Accel_Pos_CAN[%]</t>
  </si>
  <si>
    <t>Cursor B Pedal_Accel_Pos_CAN[%]</t>
  </si>
  <si>
    <t>Battery Power [kW]</t>
  </si>
  <si>
    <t>EC [Wh/mi]</t>
  </si>
  <si>
    <t>Cumulative Miles</t>
  </si>
  <si>
    <t>Vehicle Manufacturer Name</t>
  </si>
  <si>
    <t>Veh Mfr Code</t>
  </si>
  <si>
    <t>Test Veh Configuration #</t>
  </si>
  <si>
    <t>Test Veh Displacement (L)</t>
  </si>
  <si>
    <t>Actual Tested Testgroup</t>
  </si>
  <si>
    <t>Rated Horsepower</t>
  </si>
  <si>
    <t># of Cylinders and Rotors</t>
  </si>
  <si>
    <t>Engine Code</t>
  </si>
  <si>
    <t>Tested Transmission Type Code</t>
  </si>
  <si>
    <t>Tested Transmission Type</t>
  </si>
  <si>
    <t>Transmission Lockup?</t>
  </si>
  <si>
    <t>Drive System Code</t>
  </si>
  <si>
    <t>Drive System Description</t>
  </si>
  <si>
    <t>Transmission Overdrive Code</t>
  </si>
  <si>
    <t>Transmission Overdrive Desc</t>
  </si>
  <si>
    <t>Equivalent Test Weight (lbs.)</t>
  </si>
  <si>
    <t>Axle Ratio</t>
  </si>
  <si>
    <t>N/V Ratio</t>
  </si>
  <si>
    <t>Shift Indicator Light Use Cd</t>
  </si>
  <si>
    <t>Shift Indicator Light Use Desc</t>
  </si>
  <si>
    <t>Test Number</t>
  </si>
  <si>
    <t>Test Originator</t>
  </si>
  <si>
    <t>Analytically Derived FE?</t>
  </si>
  <si>
    <t>Test Procedure Cd</t>
  </si>
  <si>
    <t>Test Procedure Description</t>
  </si>
  <si>
    <t>Test Fuel Type Cd</t>
  </si>
  <si>
    <t>Test Fuel Type Description</t>
  </si>
  <si>
    <t>Test Category</t>
  </si>
  <si>
    <t>THC (g/mi)</t>
  </si>
  <si>
    <t>CO (g/mi)</t>
  </si>
  <si>
    <t>CO2 (g/mi)</t>
  </si>
  <si>
    <t>NOx (g/mi)</t>
  </si>
  <si>
    <t>PM (g/mi)</t>
  </si>
  <si>
    <t>CH4 (g/mi)</t>
  </si>
  <si>
    <t>N2O (g/mi)</t>
  </si>
  <si>
    <t>RND_ADJ_FE</t>
  </si>
  <si>
    <t>FE_UNIT</t>
  </si>
  <si>
    <t>FE Bag 1</t>
  </si>
  <si>
    <t>FE Bag 2</t>
  </si>
  <si>
    <t>FE Bag 3</t>
  </si>
  <si>
    <t>FE Bag 4</t>
  </si>
  <si>
    <t>Target Coef A (lbf)</t>
  </si>
  <si>
    <t>Target Coef B (lbf/mph)</t>
  </si>
  <si>
    <t>Target Coef C (lbf/mph**2)</t>
  </si>
  <si>
    <t>Set Coef A (lbf)</t>
  </si>
  <si>
    <t>Set Coef B (lbf/mph)</t>
  </si>
  <si>
    <t>Set Coef C (lbf/mph**2)</t>
  </si>
  <si>
    <t>Aftertreatment Device Cd</t>
  </si>
  <si>
    <t>Aftertreatment Device Desc</t>
  </si>
  <si>
    <t>Police - Emergency Vehicle?</t>
  </si>
  <si>
    <t>Averaging Group ID</t>
  </si>
  <si>
    <t>Averaging Weighting Factor</t>
  </si>
  <si>
    <t>Averaging Method Cd</t>
  </si>
  <si>
    <t>Averging Method Desc</t>
  </si>
  <si>
    <t xml:space="preserve">       Do Not Delete Below This Line       </t>
  </si>
  <si>
    <t>12V Charging Watts</t>
  </si>
  <si>
    <t>12V Charging A</t>
  </si>
  <si>
    <t>key off</t>
  </si>
  <si>
    <t>horn</t>
  </si>
  <si>
    <t>rear def</t>
  </si>
  <si>
    <t>ac off</t>
  </si>
  <si>
    <t>ac max cool, high fan</t>
  </si>
  <si>
    <t>hazzard</t>
  </si>
  <si>
    <t>blinkers</t>
  </si>
  <si>
    <t>lights off</t>
  </si>
  <si>
    <t>brights</t>
  </si>
  <si>
    <t xml:space="preserve">headlights </t>
  </si>
  <si>
    <t>parking lights</t>
  </si>
  <si>
    <t>key on</t>
  </si>
  <si>
    <t>DC/Dc Loss (Watts)</t>
  </si>
  <si>
    <t>DC/DC Output (Watts)</t>
  </si>
  <si>
    <t>HV Input (Watts)</t>
  </si>
  <si>
    <t xml:space="preserve"> Total Power @ SS (Watts)</t>
  </si>
  <si>
    <t>12V Watts</t>
  </si>
  <si>
    <t>HV Watts</t>
  </si>
  <si>
    <t xml:space="preserve">12V Curr Used (A) </t>
  </si>
  <si>
    <t>HV Curr Used (A)</t>
  </si>
  <si>
    <t>5 = 12V batt gnd</t>
  </si>
  <si>
    <t xml:space="preserve">4 = Coolant Heater (inverted) </t>
  </si>
  <si>
    <t>3 = 12DCDC Out</t>
  </si>
  <si>
    <t>2 = HV Batt Post DCDC</t>
  </si>
  <si>
    <t>1 = HV Batt</t>
  </si>
  <si>
    <t>Cursor B (Time)</t>
  </si>
  <si>
    <t>Cursor A (Time)</t>
  </si>
  <si>
    <t>Driver Item</t>
  </si>
  <si>
    <t>Hioki Current = Avg A-B (Amps)</t>
  </si>
  <si>
    <t>Voltage HV Batt</t>
  </si>
  <si>
    <t>Voltage 12V Bus</t>
  </si>
  <si>
    <t>Avg A-B (Volts)</t>
  </si>
  <si>
    <t>Avg A-B Drive_Trace_Schedule[mph]</t>
  </si>
  <si>
    <t>Test</t>
  </si>
  <si>
    <t>Avg A-B P1</t>
  </si>
  <si>
    <t>Test weight [lb]</t>
  </si>
  <si>
    <t>UDDS#1</t>
  </si>
  <si>
    <t>UDDS#2</t>
  </si>
  <si>
    <t>US06</t>
  </si>
  <si>
    <t>25% Gradeability</t>
  </si>
  <si>
    <t>Test File:</t>
  </si>
  <si>
    <t>DC Wh</t>
  </si>
  <si>
    <t>Modified</t>
  </si>
  <si>
    <t>input --&gt;</t>
  </si>
  <si>
    <t xml:space="preserve"> = DC Wh Charge</t>
  </si>
  <si>
    <t>UDDS 1</t>
  </si>
  <si>
    <t>&lt;-- input</t>
  </si>
  <si>
    <t xml:space="preserve"> = 95% of DC Wh</t>
  </si>
  <si>
    <t>UDDS 3</t>
  </si>
  <si>
    <t>HWY   2</t>
  </si>
  <si>
    <t>HWY   1</t>
  </si>
  <si>
    <t xml:space="preserve"> = SS wh/mi</t>
  </si>
  <si>
    <t>US06  4</t>
  </si>
  <si>
    <t>UDDS 2</t>
  </si>
  <si>
    <t>US06  1</t>
  </si>
  <si>
    <t xml:space="preserve">2 x U+U+H+US06 = </t>
  </si>
  <si>
    <t>SSS + WOT</t>
  </si>
  <si>
    <t xml:space="preserve">Wh to deplete in Middle SS = </t>
  </si>
  <si>
    <t xml:space="preserve">  for 10% left over</t>
  </si>
  <si>
    <t xml:space="preserve">Estimated Miles at 55mph = </t>
  </si>
  <si>
    <t>Cursor A Drive_Trace_Schedule[mph]</t>
  </si>
  <si>
    <t>Cursor B Drive_Trace_Schedule[mph]</t>
  </si>
  <si>
    <t>Model Year</t>
  </si>
  <si>
    <t>Unlock</t>
  </si>
  <si>
    <t>open door</t>
  </si>
  <si>
    <t>close door</t>
  </si>
  <si>
    <t>Ramp heat off</t>
  </si>
  <si>
    <t xml:space="preserve">mirror </t>
  </si>
  <si>
    <t xml:space="preserve"> PF window down/up hold</t>
  </si>
  <si>
    <t>radio off</t>
  </si>
  <si>
    <t>wipers int</t>
  </si>
  <si>
    <t>wipers max</t>
  </si>
  <si>
    <t>rear wiper</t>
  </si>
  <si>
    <t>full off</t>
  </si>
  <si>
    <t>door open and close</t>
  </si>
  <si>
    <t>40F</t>
  </si>
  <si>
    <t>J1634</t>
  </si>
  <si>
    <t>MILES</t>
  </si>
  <si>
    <t>seconds</t>
  </si>
  <si>
    <t>Time</t>
  </si>
  <si>
    <t>SSS to US06 Transition time for pasting to test file.</t>
  </si>
  <si>
    <t>Speed</t>
  </si>
  <si>
    <t>Phase #</t>
  </si>
  <si>
    <t>Grade</t>
  </si>
  <si>
    <t>Comments</t>
  </si>
  <si>
    <t>Use a "Copy" and "Paste Values" to move this section into the SSS+ US06 test file</t>
  </si>
  <si>
    <t>mph</t>
  </si>
  <si>
    <t>95 MAX</t>
  </si>
  <si>
    <t>20F No Heat</t>
  </si>
  <si>
    <t>Temp</t>
  </si>
  <si>
    <t>Range (mi)</t>
  </si>
  <si>
    <t>UDDS #1</t>
  </si>
  <si>
    <t>Energy Consumption</t>
  </si>
  <si>
    <t>UDDS #2</t>
  </si>
  <si>
    <t>UDDS #3</t>
  </si>
  <si>
    <t>UDDS #4</t>
  </si>
  <si>
    <t>HWY #1</t>
  </si>
  <si>
    <t>HWY #2</t>
  </si>
  <si>
    <t>US06 #1</t>
  </si>
  <si>
    <t>US06 #2</t>
  </si>
  <si>
    <t>Charge information</t>
  </si>
  <si>
    <t>DC Wh/mi</t>
  </si>
  <si>
    <t>0F Ambient with 72F Cabin</t>
  </si>
  <si>
    <t>20F Ambient with 72F Cabin</t>
  </si>
  <si>
    <t>95F Ambient with 72F Cabin</t>
  </si>
  <si>
    <t>FRE (Full recharge nrj)</t>
  </si>
  <si>
    <t>J1634 MCT Multi cycle test calculations</t>
  </si>
  <si>
    <t>HWY#1</t>
  </si>
  <si>
    <t>K (scaling factor)</t>
  </si>
  <si>
    <t>K_udds1</t>
  </si>
  <si>
    <t>K-Uddsn</t>
  </si>
  <si>
    <t>Rcycle</t>
  </si>
  <si>
    <t>Eacccycle</t>
  </si>
  <si>
    <t>UBE</t>
  </si>
  <si>
    <t>ch1</t>
  </si>
  <si>
    <t>US06#1</t>
  </si>
  <si>
    <t>AC Wh/mi</t>
  </si>
  <si>
    <t>RAF1</t>
  </si>
  <si>
    <t>mi</t>
  </si>
  <si>
    <t>Range [mi]</t>
  </si>
  <si>
    <t>Actual Data</t>
  </si>
  <si>
    <t>72F Charge</t>
  </si>
  <si>
    <t>Energy Consumption (DC Wh/mi)</t>
  </si>
  <si>
    <t>Energy Consumption (AC Wh/mi)</t>
  </si>
  <si>
    <t xml:space="preserve"> (DC Wh/mi)</t>
  </si>
  <si>
    <t xml:space="preserve"> (AC Wh/mi)</t>
  </si>
  <si>
    <t>Test Cell RH [%]</t>
  </si>
  <si>
    <t>Test Cell Baro [in/Hg]</t>
  </si>
  <si>
    <t>Cycle Distance [mi]</t>
  </si>
  <si>
    <t>Updated</t>
  </si>
  <si>
    <t>Soak temperature</t>
  </si>
  <si>
    <t>Solar lamps [W/m2]</t>
  </si>
  <si>
    <t>Special test notes</t>
  </si>
  <si>
    <t>Open</t>
  </si>
  <si>
    <t>Original</t>
  </si>
  <si>
    <t>95°F</t>
  </si>
  <si>
    <t>HVAC to 72F</t>
  </si>
  <si>
    <t>Steady State Speed depletion (1bag) + US06 (2 Bag)</t>
  </si>
  <si>
    <t>Start US06</t>
  </si>
  <si>
    <t>APRF Test Vehicle</t>
  </si>
  <si>
    <t>Total Recharge Energy</t>
  </si>
  <si>
    <t>AC kwh</t>
  </si>
  <si>
    <t>AVTE Reporting from Dynamometer Testing</t>
  </si>
  <si>
    <t>Cell Color Key:</t>
  </si>
  <si>
    <t xml:space="preserve">Data from EPA website: </t>
  </si>
  <si>
    <t>Sheet</t>
  </si>
  <si>
    <t>Print date</t>
  </si>
  <si>
    <t>VIN #</t>
  </si>
  <si>
    <t>All Other =&gt; Legibility Only</t>
  </si>
  <si>
    <t>Vehicle / Dyno Setup</t>
  </si>
  <si>
    <t>Dyno setup =</t>
  </si>
  <si>
    <t>4WD</t>
  </si>
  <si>
    <t>Used For Plotting Comparison --&gt;</t>
  </si>
  <si>
    <t>Hioki 4 channel</t>
  </si>
  <si>
    <t>Speed [mph]</t>
  </si>
  <si>
    <t>Channel 7</t>
  </si>
  <si>
    <t xml:space="preserve">Channel 8 </t>
  </si>
  <si>
    <t>Analog</t>
  </si>
  <si>
    <t xml:space="preserve">Tire size </t>
  </si>
  <si>
    <t>Dyno Speed [mph]</t>
  </si>
  <si>
    <t>Wheel Speed [rpm]</t>
  </si>
  <si>
    <t>CAN signals (All listed)</t>
  </si>
  <si>
    <t xml:space="preserve">Test # </t>
  </si>
  <si>
    <t>APRF 4WD - 371</t>
  </si>
  <si>
    <t xml:space="preserve">Calculated Duration at 65 = </t>
  </si>
  <si>
    <t xml:space="preserve">End of 65 mph section with start @ 25s = </t>
  </si>
  <si>
    <t>End of 65</t>
  </si>
  <si>
    <t>20°F</t>
  </si>
  <si>
    <t xml:space="preserve">Estimated Miles at 65mph = </t>
  </si>
  <si>
    <t>Passing Manuever BEV</t>
  </si>
  <si>
    <t>72°F</t>
  </si>
  <si>
    <t>Power Cycle Mapping</t>
  </si>
  <si>
    <t>with stable regen limit</t>
  </si>
  <si>
    <t>Steady State Speed [mph]</t>
  </si>
  <si>
    <t>65mph SSS</t>
  </si>
  <si>
    <t>SS@65mph#2 (until depleted)</t>
  </si>
  <si>
    <t>If necessary based on J1634 calculations 65mph</t>
  </si>
  <si>
    <t>Click here for a link to the No-Soak MCT 55-65mph &amp; US06 test folder</t>
  </si>
  <si>
    <t>UDDS#1 (2bag) + HWY #1 (1bag) UDDS#2 (2bag) + US06 #1 (2 bag)</t>
  </si>
  <si>
    <t xml:space="preserve">UDDS cold start* </t>
  </si>
  <si>
    <t>HWYx2 (2 bag) + coast down</t>
  </si>
  <si>
    <t xml:space="preserve">UCS+UHSx3+Hx2+USx2 = </t>
  </si>
  <si>
    <t>Gear</t>
  </si>
  <si>
    <t>Solar lights 'ON' 30 minutes prior to first test, HVAC-AUTO-72°F</t>
  </si>
  <si>
    <t>Mount vehicle in FWD or 4WD</t>
  </si>
  <si>
    <t>Test ID:</t>
  </si>
  <si>
    <t>72F Recharge Allocation Factor</t>
  </si>
  <si>
    <t>Recharge Allocation Factor</t>
  </si>
  <si>
    <t>hold for dc dc stable 12V batt charge</t>
  </si>
  <si>
    <t>Test Cell Temp [C]</t>
  </si>
  <si>
    <t>Test ID [#]</t>
  </si>
  <si>
    <t>Charge Data</t>
  </si>
  <si>
    <t>Channel check out (see TestInoIstru tab) - drive some (65mph for 5-10 min) before starting the HWYx2+coast</t>
  </si>
  <si>
    <t>0°F</t>
  </si>
  <si>
    <t>ADFE Test Number</t>
  </si>
  <si>
    <t>ADFE Total Road Load HP</t>
  </si>
  <si>
    <t>ADFE Equiv. Test Weight (lbs.)</t>
  </si>
  <si>
    <t>ADFE N/V Ratio</t>
  </si>
  <si>
    <t>Enable temp at next test mode (once charge is complete)</t>
  </si>
  <si>
    <t>Charge in the afternoon at 0°F + record charge (for capacity)</t>
  </si>
  <si>
    <t>MK10/30/15</t>
  </si>
  <si>
    <t>Wheel RPM Test</t>
  </si>
  <si>
    <t>x</t>
  </si>
  <si>
    <t>Passing Maneuvers 0, 3, 6% grade</t>
  </si>
  <si>
    <t>approx motor speed</t>
  </si>
  <si>
    <t>0F</t>
  </si>
  <si>
    <t>Increase over 72F</t>
  </si>
  <si>
    <t xml:space="preserve">95F </t>
  </si>
  <si>
    <t>Starting Mileage</t>
  </si>
  <si>
    <t>Calculated using channel 1 --&gt; 500 A clamp</t>
  </si>
  <si>
    <t>AC Wh/mi Increase with respect to 72F UDDS</t>
  </si>
  <si>
    <t>% of Range with respect 72F</t>
  </si>
  <si>
    <t># of HS cycles</t>
  </si>
  <si>
    <t>Date</t>
  </si>
  <si>
    <t>L1 Recharge Energy</t>
  </si>
  <si>
    <t>L2 Recharge Energy</t>
  </si>
  <si>
    <t>Test Name</t>
  </si>
  <si>
    <t>Vehicle Name</t>
  </si>
  <si>
    <t>BEV</t>
  </si>
  <si>
    <t xml:space="preserve">Charge Level </t>
  </si>
  <si>
    <t>Charger Type</t>
  </si>
  <si>
    <t>Cell Temp [C]</t>
  </si>
  <si>
    <t>Prior Test Temp [C]</t>
  </si>
  <si>
    <t xml:space="preserve">A/C Compressor - Heat Pump </t>
  </si>
  <si>
    <t>PTC Heater</t>
  </si>
  <si>
    <t>DCDC in (estimate)</t>
  </si>
  <si>
    <t>Off</t>
  </si>
  <si>
    <t>DT-Inertia Work Ratio Rating</t>
  </si>
  <si>
    <t>DT-Absolute Speed Change Ratg</t>
  </si>
  <si>
    <t>DT-Energy Economy Rating</t>
  </si>
  <si>
    <t>https://www.epa.gov/compliance-and-fuel-economy-data/data-cars-used-testing-fuel-economy</t>
  </si>
  <si>
    <t>robot</t>
  </si>
  <si>
    <t xml:space="preserve">Charge to 'Full' </t>
  </si>
  <si>
    <t>Level 1</t>
  </si>
  <si>
    <t>WOT'sx10 (or until derating). Accel to 80, decel at varying braking levels.</t>
  </si>
  <si>
    <t>Day 1 - J1634 MCT Combo Shortcut Test, 72°F</t>
  </si>
  <si>
    <t>AC Compressor</t>
  </si>
  <si>
    <t>AMTL- 4WD - ANL Bldg 371</t>
  </si>
  <si>
    <t>NHTSA 2020 Vehicle Technology Assessment</t>
  </si>
  <si>
    <t>UDDS#1 (2bag) + HWY #1 (1bag) + UDDS#2 (2bag) + US06 #1 (2 bag)</t>
  </si>
  <si>
    <t>Dyno Speed</t>
  </si>
  <si>
    <t>Dyno Tractive Force</t>
  </si>
  <si>
    <t>Dyno Load Cell</t>
  </si>
  <si>
    <t>Dyno Speed- Front</t>
  </si>
  <si>
    <t>Dyno Tractive Force- Front</t>
  </si>
  <si>
    <t>Dyno Load Cell- Front</t>
  </si>
  <si>
    <t>Dyno Speed- Rear</t>
  </si>
  <si>
    <t>Dyno Tractive Force- Rear</t>
  </si>
  <si>
    <t>Dyno Load Cell- Rear</t>
  </si>
  <si>
    <t>Cell Temp</t>
  </si>
  <si>
    <t>Cell RH</t>
  </si>
  <si>
    <t>Drive Trace Schedule</t>
  </si>
  <si>
    <t>Exhaust Bag</t>
  </si>
  <si>
    <t>Ampactity (A)</t>
  </si>
  <si>
    <t>Additional Instrumentation</t>
  </si>
  <si>
    <t>Repeat cycles until cycle thermal stability</t>
  </si>
  <si>
    <t>WLTP x 2</t>
  </si>
  <si>
    <t>Scaling</t>
  </si>
  <si>
    <t>Notes</t>
  </si>
  <si>
    <t>Analog Hioki</t>
  </si>
  <si>
    <t>HV Battery Voltage</t>
  </si>
  <si>
    <t>HV Battery Current High</t>
  </si>
  <si>
    <t>HV Battery Current Low</t>
  </si>
  <si>
    <t>HV Battery Power High</t>
  </si>
  <si>
    <t>HV Battery Power Low</t>
  </si>
  <si>
    <t>Motor Front Power</t>
  </si>
  <si>
    <t>Motor Rear Power</t>
  </si>
  <si>
    <t>Motor Front Current</t>
  </si>
  <si>
    <t>Motor Rear Current</t>
  </si>
  <si>
    <t>DCDC HV current</t>
  </si>
  <si>
    <t>DCDC LV current</t>
  </si>
  <si>
    <t>DCDC LV power</t>
  </si>
  <si>
    <t>PTC Heater current</t>
  </si>
  <si>
    <t>AC compressor current</t>
  </si>
  <si>
    <t>DCDC HV power</t>
  </si>
  <si>
    <t>Channel match</t>
  </si>
  <si>
    <t>Signals listed in vspy</t>
  </si>
  <si>
    <t>Radiator outlet temp</t>
  </si>
  <si>
    <t>Cabin Interior Temp (headrest passenger)</t>
  </si>
  <si>
    <t>Cabin Vent Temp (Driver middle)</t>
  </si>
  <si>
    <t>Cabin footwell temp (Driver middle)</t>
  </si>
  <si>
    <t>Hioki ref</t>
  </si>
  <si>
    <t>DCDC LV Voltage</t>
  </si>
  <si>
    <t>V</t>
  </si>
  <si>
    <t>16625-14039</t>
  </si>
  <si>
    <t>Very fast ramp rate to 100% pedal</t>
  </si>
  <si>
    <t>Standard</t>
  </si>
  <si>
    <t>##INFO(Test Cycle File Name)</t>
  </si>
  <si>
    <t>##INFO(Test Start Time)</t>
  </si>
  <si>
    <t>##INFO(Test Start Comments)</t>
  </si>
  <si>
    <t>##INFO(Test End Comments)</t>
  </si>
  <si>
    <t>##DATAMEAN(Exhaust_Bag, =$$,Cell_Temp[C],)</t>
  </si>
  <si>
    <t>##DATAMEAN(Exhaust_Bag, =$$,Cell_RH[%],)</t>
  </si>
  <si>
    <t>##DATAMEAN(Exhaust_Bag, =$$,Cell_Press[inHg],)</t>
  </si>
  <si>
    <t>##DATAMEAN(Exhaust_Bag, =$$,Tire_Front_Temp[C],)</t>
  </si>
  <si>
    <t>##INFO(Dyno Test Weight [lb])</t>
  </si>
  <si>
    <t>##INFO(Dyno Target A)</t>
  </si>
  <si>
    <t>##INFO(Dyno Target B)</t>
  </si>
  <si>
    <t>##INFO(Dyno Target C)</t>
  </si>
  <si>
    <t>##PHASE($$, Phase Distance [mi])</t>
  </si>
  <si>
    <t>##DATA(Exhaust_Bag, =$$, WP1)</t>
  </si>
  <si>
    <t>##DATA(Exhaust_Bag, =$$-, WP1)</t>
  </si>
  <si>
    <t>##DATA(Exhaust_Bag, =$$, WP2)</t>
  </si>
  <si>
    <t>##DATA(Exhaust_Bag, =$$-, WP2)</t>
  </si>
  <si>
    <t>##DATA(Exhaust_Bag, =$$, WP3)</t>
  </si>
  <si>
    <t>##DATA(Exhaust_Bag, =$$-, WP3)</t>
  </si>
  <si>
    <t>##DATA(Exhaust_Bag, =$$, WP4)</t>
  </si>
  <si>
    <t>##DATA(Exhaust_Bag, =$$-, WP4)</t>
  </si>
  <si>
    <t>##INFO(Test Driver)</t>
  </si>
  <si>
    <t>##PHASE($$,J2951 APCtime,)</t>
  </si>
  <si>
    <t>##PHASE($$,J2951 ASCR,)</t>
  </si>
  <si>
    <t>##PHASE($$,J2951 ASC_d,)</t>
  </si>
  <si>
    <t>##PHASE($$,J2951 ASC_t,)</t>
  </si>
  <si>
    <t>##PHASE($$,J2951 CE_d,)</t>
  </si>
  <si>
    <t>##PHASE($$,J2951 CE_t,)</t>
  </si>
  <si>
    <t>##PHASE($$,J2951 DR,)</t>
  </si>
  <si>
    <t>##PHASE($$,J2951 D_d,)</t>
  </si>
  <si>
    <t>##PHASE($$,J2951 D_t,)</t>
  </si>
  <si>
    <t>##PHASE($$,J2951 EER,)</t>
  </si>
  <si>
    <t>##PHASE($$,J2951 ER,)</t>
  </si>
  <si>
    <t>##PHASE($$,J2951 IWR,)</t>
  </si>
  <si>
    <t>Split Phase Calculation</t>
  </si>
  <si>
    <t>Combined Calculation</t>
  </si>
  <si>
    <t>Phase Number</t>
  </si>
  <si>
    <t>Test Time</t>
  </si>
  <si>
    <t>Mean Front Tire Temperature [C]</t>
  </si>
  <si>
    <t>Start SOC</t>
  </si>
  <si>
    <t>End SOC</t>
  </si>
  <si>
    <t xml:space="preserve">HV Batt (500A)
Start 
WP1 [Wh]
</t>
  </si>
  <si>
    <t>Test Driver</t>
  </si>
  <si>
    <t>APCtime</t>
  </si>
  <si>
    <t>ASCR</t>
  </si>
  <si>
    <t>ASC_d</t>
  </si>
  <si>
    <t>ASC_t</t>
  </si>
  <si>
    <t>CE_d</t>
  </si>
  <si>
    <t>CE_t</t>
  </si>
  <si>
    <t>DR</t>
  </si>
  <si>
    <t>D_d</t>
  </si>
  <si>
    <t>D_t</t>
  </si>
  <si>
    <t>EER</t>
  </si>
  <si>
    <t>ER</t>
  </si>
  <si>
    <t>IWR</t>
  </si>
  <si>
    <t>Day 0 Coastdowns, Channel Check and Prep</t>
  </si>
  <si>
    <t>Delta SOC</t>
  </si>
  <si>
    <t>240V AC Charge- Pre EVSE (80A)
Δ [Wh]</t>
  </si>
  <si>
    <t>Regen charge limit</t>
  </si>
  <si>
    <t>no</t>
  </si>
  <si>
    <t>Charge Efficiency</t>
  </si>
  <si>
    <t>Preconditioning test- Cabin and Powertrain Warmup testing</t>
  </si>
  <si>
    <t>SOC down to ~ 80%</t>
  </si>
  <si>
    <t>2020 Tesla Model 3 LR_AWD</t>
  </si>
  <si>
    <t>Tesla v2 Wall Connector</t>
  </si>
  <si>
    <t>Charge AC Wh- post EVSE</t>
  </si>
  <si>
    <t>Charge AC Wh- pre EVSE</t>
  </si>
  <si>
    <t>DIF energy</t>
  </si>
  <si>
    <t>DIR energy</t>
  </si>
  <si>
    <t>DCDC Out</t>
  </si>
  <si>
    <t>DCDC In</t>
  </si>
  <si>
    <t>Charge DC Wh- Batt</t>
  </si>
  <si>
    <t>Prior Test DC Wh</t>
  </si>
  <si>
    <t>EVSE Efficiency</t>
  </si>
  <si>
    <t>Charger Efficiency</t>
  </si>
  <si>
    <t>J1634 Recharge Allocation Factor (RAF)</t>
  </si>
  <si>
    <t>12V Batt</t>
  </si>
  <si>
    <t>Tesla L1 EVSE</t>
  </si>
  <si>
    <t>Partial CAN data- Vspy crash</t>
  </si>
  <si>
    <t>Clamp eff</t>
  </si>
  <si>
    <t>SMCT- UDDS UDDS HWY US06 HWY UDDS UDDS - 12BAG</t>
  </si>
  <si>
    <t>Level 2</t>
  </si>
  <si>
    <t>PDM Net</t>
  </si>
  <si>
    <t>12V DCDC out</t>
  </si>
  <si>
    <t>12V batt ground</t>
  </si>
  <si>
    <t>1N4BZ1CP5KC318216</t>
  </si>
  <si>
    <t>Nissan</t>
  </si>
  <si>
    <t>NSX</t>
  </si>
  <si>
    <t>NISSAN</t>
  </si>
  <si>
    <t>LEAF</t>
  </si>
  <si>
    <t>KWB115</t>
  </si>
  <si>
    <t>JNSXV0000TLA</t>
  </si>
  <si>
    <t>Car</t>
  </si>
  <si>
    <t>EVAA6</t>
  </si>
  <si>
    <t>OT</t>
  </si>
  <si>
    <t>Other</t>
  </si>
  <si>
    <t>Y</t>
  </si>
  <si>
    <t>F</t>
  </si>
  <si>
    <t>2-Wheel Drive, Front</t>
  </si>
  <si>
    <t>1</t>
  </si>
  <si>
    <t>No gear ratio &lt; 1</t>
  </si>
  <si>
    <t>Not eqipped</t>
  </si>
  <si>
    <t>JNSX10050513</t>
  </si>
  <si>
    <t>MFR</t>
  </si>
  <si>
    <t/>
  </si>
  <si>
    <t>84</t>
  </si>
  <si>
    <t>Charge Depleting Highway</t>
  </si>
  <si>
    <t>62</t>
  </si>
  <si>
    <t>Electricity</t>
  </si>
  <si>
    <t>CD</t>
  </si>
  <si>
    <t>MPG</t>
  </si>
  <si>
    <t>N</t>
  </si>
  <si>
    <t>H</t>
  </si>
  <si>
    <t>Harmonic averaging (1/(Sum(i=1 to n) (FET(i) / WT(i)))</t>
  </si>
  <si>
    <t>JNSX10050525</t>
  </si>
  <si>
    <t>81</t>
  </si>
  <si>
    <t>Charge Depleting UDDS</t>
  </si>
  <si>
    <t>E</t>
  </si>
  <si>
    <t>JNSX10050514</t>
  </si>
  <si>
    <t>JNSX10050515</t>
  </si>
  <si>
    <t>JNSX10050516</t>
  </si>
  <si>
    <t>JNSX10050517</t>
  </si>
  <si>
    <t>JNSX10050519</t>
  </si>
  <si>
    <t>JNSX10050520</t>
  </si>
  <si>
    <t>KWC511</t>
  </si>
  <si>
    <t>KNSXV0000TS3</t>
  </si>
  <si>
    <t>EVAA7</t>
  </si>
  <si>
    <t>KNSX10056715</t>
  </si>
  <si>
    <t>KNSX10056716</t>
  </si>
  <si>
    <t>KNSX10056717</t>
  </si>
  <si>
    <t>KNSX10056718</t>
  </si>
  <si>
    <t>LEAF SV/SL</t>
  </si>
  <si>
    <t>KNSX10057205</t>
  </si>
  <si>
    <t>KNSX10057206</t>
  </si>
  <si>
    <t>KNSX10056743</t>
  </si>
  <si>
    <t>KNSX10056744</t>
  </si>
  <si>
    <t>EPA-Leaf</t>
  </si>
  <si>
    <t>EPA-Tesla M3</t>
  </si>
  <si>
    <t>Day 2 - J1634 MCT Combo Shortcut Test, 72°F Repeat 1</t>
  </si>
  <si>
    <t xml:space="preserve">Day 0 - Setup </t>
  </si>
  <si>
    <t>Accessory load test</t>
  </si>
  <si>
    <t>*~no battery storage above 97.6 SOC</t>
  </si>
  <si>
    <t>SSS 0-80-0 0%,3%,6% grade, 60 sec hold</t>
  </si>
  <si>
    <t>skip 30s hold test</t>
  </si>
  <si>
    <t>240VAC Charge</t>
  </si>
  <si>
    <t>AC Comp Pos Leg</t>
  </si>
  <si>
    <t>AC Comp Neg Leg</t>
  </si>
  <si>
    <t>PTC heater Pos Leg</t>
  </si>
  <si>
    <t>PTC heater Neg</t>
  </si>
  <si>
    <t>UDDS 1 , 505</t>
  </si>
  <si>
    <t xml:space="preserve">UDDS 1 </t>
  </si>
  <si>
    <t>UDDS 1 , Combined</t>
  </si>
  <si>
    <t>HWY 1</t>
  </si>
  <si>
    <t>UDDS 2, 505</t>
  </si>
  <si>
    <t>UDDS 2, combined</t>
  </si>
  <si>
    <t>US06 1, city</t>
  </si>
  <si>
    <t>US06 1, hwy</t>
  </si>
  <si>
    <t>US06 1, combined</t>
  </si>
  <si>
    <t>Charge L2 23C</t>
  </si>
  <si>
    <t>HWYx3 + coastdowns</t>
  </si>
  <si>
    <t>HV Batt (500A) WP1
Δ [Wh]</t>
  </si>
  <si>
    <t>HV Batt (500A) Energy consumption ΔWP1
[Wh/mi]</t>
  </si>
  <si>
    <t>25% grade test</t>
  </si>
  <si>
    <t>Stairs up down, 0%, 3%, 6% grade</t>
  </si>
  <si>
    <t xml:space="preserve">Tip Ins 35-55, 55-65, 35-70, 55-80 x 3 </t>
  </si>
  <si>
    <t>Power Cycle Ramps8-Opt5-Filtered</t>
  </si>
  <si>
    <t>WOT x 10</t>
  </si>
  <si>
    <t>US06 x 10</t>
  </si>
  <si>
    <t>1p</t>
  </si>
  <si>
    <t>2p</t>
  </si>
  <si>
    <t>c1+2p</t>
  </si>
  <si>
    <t>3p</t>
  </si>
  <si>
    <t>4p</t>
  </si>
  <si>
    <t>5p</t>
  </si>
  <si>
    <t>c4+5p</t>
  </si>
  <si>
    <t>s6p</t>
  </si>
  <si>
    <t>7p</t>
  </si>
  <si>
    <t>c6+7p</t>
  </si>
  <si>
    <t>72F with Climate Off</t>
  </si>
  <si>
    <r>
      <rPr>
        <b/>
        <sz val="11"/>
        <color theme="1"/>
        <rFont val="Calibri"/>
        <family val="2"/>
        <scheme val="minor"/>
      </rPr>
      <t xml:space="preserve">Energy Consumption </t>
    </r>
    <r>
      <rPr>
        <sz val="11"/>
        <color theme="1"/>
        <rFont val="Calibri"/>
        <family val="2"/>
        <scheme val="minor"/>
      </rPr>
      <t>(unadjusted, uncorrected)</t>
    </r>
  </si>
  <si>
    <t>DC Wh/mi Increase with respect to 72F UDDS</t>
  </si>
  <si>
    <t>UDDS HS</t>
  </si>
  <si>
    <t>72F Full Discharge Test UBE</t>
  </si>
  <si>
    <t>Manufacturer - 2018</t>
  </si>
  <si>
    <t xml:space="preserve">Manufacturer - 2020 </t>
  </si>
  <si>
    <t>MCT 1</t>
  </si>
  <si>
    <t>MCT 2 - Headlight on/off</t>
  </si>
  <si>
    <t>95F w/ solar</t>
  </si>
  <si>
    <t>Energy(Wh)</t>
  </si>
  <si>
    <t>Distance (mi</t>
  </si>
  <si>
    <t>Ecdc_cyc</t>
  </si>
  <si>
    <t>%Dif 2018</t>
  </si>
  <si>
    <t>%Dif 2020</t>
  </si>
  <si>
    <t>UDDS1</t>
  </si>
  <si>
    <t>UDDS2</t>
  </si>
  <si>
    <t>UDDS3</t>
  </si>
  <si>
    <t>UDDS4</t>
  </si>
  <si>
    <t>HWY1</t>
  </si>
  <si>
    <t>HWY2</t>
  </si>
  <si>
    <t>Recharge Allocation Factors</t>
  </si>
  <si>
    <t>SS1+US06</t>
  </si>
  <si>
    <t>SS2</t>
  </si>
  <si>
    <t>Total</t>
  </si>
  <si>
    <t>AC Wh</t>
  </si>
  <si>
    <t>RAF</t>
  </si>
  <si>
    <t>2018 MFR</t>
  </si>
  <si>
    <t>2020 MFR</t>
  </si>
  <si>
    <t>20F w/ preconditioning</t>
  </si>
  <si>
    <t>95F w/o solar</t>
  </si>
  <si>
    <t xml:space="preserve"> Hioki AC Charge WP3    [kWh]</t>
  </si>
  <si>
    <t>72F J1634 MCT</t>
  </si>
  <si>
    <t>72F J1634 MCT, Repeat #1</t>
  </si>
  <si>
    <t>72°F - Performance Testing</t>
  </si>
  <si>
    <t>20F J1634 MCT</t>
  </si>
  <si>
    <t>← Hand Calc'd Cell</t>
  </si>
  <si>
    <t>Edc cycle</t>
  </si>
  <si>
    <t>usable battery energy</t>
  </si>
  <si>
    <t xml:space="preserve">Edc </t>
  </si>
  <si>
    <t>test discharge energy</t>
  </si>
  <si>
    <t>Used 35C+850W/m2 data  + no precondition data</t>
  </si>
  <si>
    <t>ac max cool 60°F, low fan</t>
  </si>
  <si>
    <t>heater 90°F, max heat, fan low</t>
  </si>
  <si>
    <t>heater 90°F, max heat, fan hi</t>
  </si>
  <si>
    <t>Reduce Heat dial to mid 75°F</t>
  </si>
  <si>
    <t>return to full 90°F</t>
  </si>
  <si>
    <t>wipers full on-low</t>
  </si>
  <si>
    <t>defrost max @72°F heat setting</t>
  </si>
  <si>
    <t>Forrest Jehlik</t>
  </si>
  <si>
    <t>2020 Chevrolet Bolt</t>
  </si>
  <si>
    <t>Ext 2-6403</t>
  </si>
  <si>
    <t xml:space="preserve">US06#2 (2bag) + UDDS#3 (1bag) + HWY#2 + UDDS#4 (2bag) </t>
  </si>
  <si>
    <t>SC03x2: 1st one prep, second normal</t>
  </si>
  <si>
    <t>No averaging</t>
  </si>
  <si>
    <t>GM</t>
  </si>
  <si>
    <t>GMX</t>
  </si>
  <si>
    <t>CHEVROLET</t>
  </si>
  <si>
    <t>EPA Coastdown</t>
  </si>
  <si>
    <t>EPA Bolt</t>
  </si>
  <si>
    <t>EPA-Bolt</t>
  </si>
  <si>
    <t>BOLT EV</t>
  </si>
  <si>
    <t>0050N002EA</t>
  </si>
  <si>
    <t>LGMXV00.0002</t>
  </si>
  <si>
    <t>CVT</t>
  </si>
  <si>
    <t>Continuously Variable</t>
  </si>
  <si>
    <t>LGMX10059796</t>
  </si>
  <si>
    <t>LGMX10059797</t>
  </si>
  <si>
    <t>HWYx3 (3 bag) + coast down</t>
  </si>
  <si>
    <t>Blank Bag</t>
  </si>
  <si>
    <t>SS 65 MPH 3600 seconds</t>
  </si>
  <si>
    <t>SS 65 MPH 3600 seconds (until deplete)</t>
  </si>
  <si>
    <t>72°F, J1634 MCT Combo Shortcut Test, WLTPx2</t>
  </si>
  <si>
    <t>Z:\All Daq\Drive Cycles\Drive Cycle Archive\HWY CYCLES\HWYx3 3bag w_coastdown time 3600 .txt</t>
  </si>
  <si>
    <t>09/09/20, 09:30:03 AM</t>
  </si>
  <si>
    <t>hWYx3, 3 BAG WITH COASTDOWNTIME TO ESTABLISH VEHICLE LOSSES IN 4wd MODE</t>
  </si>
  <si>
    <t>ok, accepted new dyno sets and ran 3 vehicle on coastdowns which all came in OK</t>
  </si>
  <si>
    <t>Robot1</t>
  </si>
  <si>
    <t>##DATA(Exhaust_Bag, =$$, HVBatt_SOC_CAN4__per)</t>
  </si>
  <si>
    <t>##DATA(Exhaust_Bag, =$$,HVBatt_SOC_CAN4__per)</t>
  </si>
  <si>
    <t>##DATA(Exhaust_Bag, =$$-,HVBatt_SOC_CAN4__per)</t>
  </si>
  <si>
    <t>DCDC_In (20A) 
 Start WP2 [Wh]</t>
  </si>
  <si>
    <t>DCDC out (200A) 
 Start WP3 [Wh]</t>
  </si>
  <si>
    <t>DCDC out (200A) 
 End WP3 [Wh]</t>
  </si>
  <si>
    <t>DCDC_In (20A) WP2
Δ [Wh]</t>
  </si>
  <si>
    <t>DCDC_In (20A) WP2 Energy consumption ΔWP2
[Wh/mi]</t>
  </si>
  <si>
    <t>DCDC_In (20A) WP3
Δ [Wh]</t>
  </si>
  <si>
    <t>DCDC_In (20A) WP3 Energy consumption ΔWP3
[Wh/mi]</t>
  </si>
  <si>
    <t>12V batt (200A) 
Start WP4 [Wh]</t>
  </si>
  <si>
    <t>12V batt (200A) 
End WP4 [Wh]</t>
  </si>
  <si>
    <t>12V Batt (200A)
Δ WP4 [Wh]</t>
  </si>
  <si>
    <t>12V Batt (200A) Δ WP4 [Wh/mi]</t>
  </si>
  <si>
    <t>##DATA(Exhaust_Bag, =$$, WP5)</t>
  </si>
  <si>
    <t>##DATA(Exhaust_Bag, =$$-, WP5)</t>
  </si>
  <si>
    <t>AC Comp Start (40A) WP5 [Wh]</t>
  </si>
  <si>
    <t>AC Comp End (40A) WP5 [Wh]</t>
  </si>
  <si>
    <t>AC Comp (40A)
Δ WP5 [Wh]</t>
  </si>
  <si>
    <t>AC Comp (40A) Δ WP5 [Wh/mi]</t>
  </si>
  <si>
    <t>##DATA(Exhaust_Bag, =$$, WP6)</t>
  </si>
  <si>
    <t>##DATA(Exhaust_Bag, =$$-, WP6)</t>
  </si>
  <si>
    <t>##DATA(Exhaust_Bag, =$$, WP7)</t>
  </si>
  <si>
    <t>##DATA(Exhaust_Bag, =$$-, WP7)</t>
  </si>
  <si>
    <t>##DATA(Exhaust_Bag, =$$, WP8)</t>
  </si>
  <si>
    <t>##DATA(Exhaust_Bag, =$$-, WP8)</t>
  </si>
  <si>
    <t>##DATA(Exhaust_Bag, =$$, WP9)</t>
  </si>
  <si>
    <t>##DATA(Exhaust_Bag, =$$-, WP9)</t>
  </si>
  <si>
    <t>##DATA(Exhaust_Bag, =$$, WP10)</t>
  </si>
  <si>
    <t>##DATA(Exhaust_Bag, =$$-, WP10)</t>
  </si>
  <si>
    <t>HV Batt (500A) End
WP1 [Wh]</t>
  </si>
  <si>
    <t>DCDC_In (20A) 
 End WP2 [Wh]</t>
  </si>
  <si>
    <t>Coolant Heater (40A) Start WP6 [Wh]</t>
  </si>
  <si>
    <t>Coolant Heater (40A) End WP6 [Wh]</t>
  </si>
  <si>
    <t>Batt Heater (40A) Start WP7 [Wh]</t>
  </si>
  <si>
    <t>Batt Heater (40A) End WP7 [Wh]</t>
  </si>
  <si>
    <t>HV_Batt_Charge Start (200A) WP8 [Wh]</t>
  </si>
  <si>
    <t>HV_Batt_Charge (200A) End WP8 [Wh]</t>
  </si>
  <si>
    <t>Coolant Heater (40A)
Δ WP6 [Wh]</t>
  </si>
  <si>
    <t>Coolant Heater (40A) Δ WP6  [Wh/mi]</t>
  </si>
  <si>
    <t>Batt Heater (40A)
Δ WP7 [Wh]</t>
  </si>
  <si>
    <t>Batt Heater (40A) Δ WP7  [Wh/mi]</t>
  </si>
  <si>
    <t>HV_Batt_Charge (200A)
Δ WP8 [Wh]</t>
  </si>
  <si>
    <t>HV_Batt_Charge (200A) Δ WP8  [Wh/mi]</t>
  </si>
  <si>
    <t>(Post) EVSE-240V Charge (40A) Start WP9 [Wh]</t>
  </si>
  <si>
    <t>(Post) EVSE-240V Charge (40A) End WP9 [Wh]</t>
  </si>
  <si>
    <t>(Post) EVSE-240V (40A) Charge 
Δ WP9 [Wh]</t>
  </si>
  <si>
    <t>(Post) EVSE-240V Charge (40A)  Δ WP9  [Wh/mi]</t>
  </si>
  <si>
    <t>(Pre) EVSE-240V Charge (40A) Start WP10 [Wh]</t>
  </si>
  <si>
    <t>(Pre) EVSE-240V Charge (40A) End WP10 [Wh]</t>
  </si>
  <si>
    <t>(Pre) EVSE-240V Charge (40A)
Δ WP10 [Wh]</t>
  </si>
  <si>
    <t>(Pre) EVSE-240V Charge (40A) Δ WP10  [Wh/mi]</t>
  </si>
  <si>
    <t>##DATA(Exhaust_Bag, =$$-, HVBatt_SOC_CAN4__per)</t>
  </si>
  <si>
    <t>240VAC Charge-Pre EVSE (40A) Start WP10 [Wh]</t>
  </si>
  <si>
    <t>240VAC Charge-Pre EVSE (40A) End WP10 [Wh]</t>
  </si>
  <si>
    <t>240VAC Charge-Post EVSE (40A) Start WP9 [Wh]</t>
  </si>
  <si>
    <t>240VAC Charge-Post EVSE (40A) End WP9 [Wh]</t>
  </si>
  <si>
    <t>240V AC Charge- Post EVSE (80A)
Δ [Wh]</t>
  </si>
  <si>
    <t>Z:\All Daq\Drive Cycles\Blank Bags\Blank 1Bag 1800.txt</t>
  </si>
  <si>
    <t>09/09/20, 12:02:37 PM</t>
  </si>
  <si>
    <t>Blank bag log of HVAC swings to verify data</t>
  </si>
  <si>
    <t>ok</t>
  </si>
  <si>
    <t>xx</t>
  </si>
  <si>
    <t>NaN</t>
  </si>
  <si>
    <t>Z:\All Daq\Drive Cycles\J1634 Combined\UDDS-Split HWY UDDS-Split US06-Split ELECTRIC 7 Bag 4820.txt</t>
  </si>
  <si>
    <t>09/09/20, 12:59:21 PM</t>
  </si>
  <si>
    <t xml:space="preserve">J1634 MCT first 4 cycles, data and Vspy merge checkout. </t>
  </si>
  <si>
    <t>Z:\All Daq\Drive Cycles\J1634 Combined\SSS 65mph 3600.txt</t>
  </si>
  <si>
    <t>09/09/20, 02:30:08 PM</t>
  </si>
  <si>
    <t xml:space="preserve">SSS 65MPH 3600 seconds, 65MPH SSS baseline </t>
  </si>
  <si>
    <t>Z:\All Daq\Drive Cycles\J1634 Combined\65mph 1634 Capacity 3 hour 10800.txt</t>
  </si>
  <si>
    <t>09/10/20, 12:43:23 PM</t>
  </si>
  <si>
    <t>65MPH SSS until deplete</t>
  </si>
  <si>
    <t>Z:\All Daq\Drive Cycles\Blank Bags\Blank 1 Bag 50400 (14 hours).txt</t>
  </si>
  <si>
    <t>09/10/20, 01:49:02 PM</t>
  </si>
  <si>
    <t>Blank 1 bag charge log</t>
  </si>
  <si>
    <t>Z:\All Daq\Drive Cycles\Blank Bags\Blank 1Bag 3600.txt</t>
  </si>
  <si>
    <t>09/11/20, 08:53:53 AM</t>
  </si>
  <si>
    <t>Blank 1 bag regenerative charge limit, motor vehicle in drive until battery no longer accepts regenerative energy</t>
  </si>
  <si>
    <t>Z:\All Daq\Drive Cycles\SS_Stairs and Tip-ins\stairs_up_down_80mph_60sec_ramp_3_bag x3 w_0_3_6pct grade_w55MPH_warmup_3652.txt</t>
  </si>
  <si>
    <t>09/11/20, 09:58:55 AM</t>
  </si>
  <si>
    <t xml:space="preserve">SSS 0-80-0 @ 0%, 3% &amp; 6% grade, 1 minute hold with 10 minute warmup at 55MPH, PRNDL in D </t>
  </si>
  <si>
    <t>XX</t>
  </si>
  <si>
    <t>Inf</t>
  </si>
  <si>
    <t>Z:\All Daq\Drive Cycles\SS_Stairs and Tip-ins\TipIns 35-55 55-65 35-70 55-80 X3 w_55mph warmup 4bags 1162.txt</t>
  </si>
  <si>
    <t>09/11/20, 01:28:32 PM</t>
  </si>
  <si>
    <t xml:space="preserve">Tip-Ins (passing manuevers) at 0%, 3% &amp; 6% grade with 10 minute warmup at 55MPH, PRNDL in L </t>
  </si>
  <si>
    <t>Z:\All Daq\Drive Cycles\RampCycles\NewRamps8-0pt5-Filtered2s.txt</t>
  </si>
  <si>
    <t>09/11/20, 02:01:49 PM</t>
  </si>
  <si>
    <t xml:space="preserve">Power cycle mapping, PRNDL in L </t>
  </si>
  <si>
    <t>09/11/20, 02:20:12 PM</t>
  </si>
  <si>
    <t>WOTs X 10, blank 1 bag</t>
  </si>
  <si>
    <t>09/11/20, 02:40:36 PM</t>
  </si>
  <si>
    <t>25% grade until stabilized or derate</t>
  </si>
  <si>
    <t xml:space="preserve">WLTPx2 </t>
  </si>
  <si>
    <t>WLTPx2</t>
  </si>
  <si>
    <t>6p</t>
  </si>
  <si>
    <t>8p</t>
  </si>
  <si>
    <t xml:space="preserve">72°F, HWYx2 + Coastowns. Vehicle losses changed 3-5% (tires suspect at 1k breakin). Redo coastdowns. Use data above carefully as vehicle losses reduced. </t>
  </si>
  <si>
    <t>HWYx2 + coastdowns</t>
  </si>
  <si>
    <t>c1+2+3+4p</t>
  </si>
  <si>
    <t>c5+6+7+8p</t>
  </si>
  <si>
    <t>09/14/20, 12:23:31 PM</t>
  </si>
  <si>
    <t>J1634MCT UDDS-HWY-UDDS-US06, cold start from full charge, headlights-OFF</t>
  </si>
  <si>
    <t>ok, Vspy file split into 2 file, will need to remerge</t>
  </si>
  <si>
    <t>Z:\All Daq\Drive Cycles\Drive Cycle Archive\WLTP\WLTPv4x2 8bag 10 minute soak 4200.txt</t>
  </si>
  <si>
    <t>09/14/20, 02:02:22 PM</t>
  </si>
  <si>
    <t>WLTP headlights-OFF</t>
  </si>
  <si>
    <t>Z:\All Daq\Drive Cycles\Blank Bags\Blank 1 Bag 21600 (6 hours).txt</t>
  </si>
  <si>
    <t>09/14/20, 03:21:05 PM</t>
  </si>
  <si>
    <t>Blank 1 bag, 6 hours charge test</t>
  </si>
  <si>
    <t>MK</t>
  </si>
  <si>
    <t>09/15/20, 08:25:59 AM</t>
  </si>
  <si>
    <t>J1634 MCT, UDDS-HWY-UDDS-US06, in L Mode, Headlights -OFF</t>
  </si>
  <si>
    <t>72°F, J1634 MCT Combo Shortcut Test</t>
  </si>
  <si>
    <t>Z:\All Daq\Drive Cycles\Drive Cycle Archive\HWY CYCLES\HWYx2 2bag w_coastdown time 3600 .txt</t>
  </si>
  <si>
    <t>09/15/20, 01:16:15 PM</t>
  </si>
  <si>
    <t>Hwyx2, 2 bag with coastdowntime to check vehicle losses</t>
  </si>
  <si>
    <t>ok, saved new dyno sets as vehicle has changed since initial coastdown</t>
  </si>
  <si>
    <t>SSS 65mph depletion</t>
  </si>
  <si>
    <t>US06 2, city</t>
  </si>
  <si>
    <t>s1p</t>
  </si>
  <si>
    <t>US06 2, hwy</t>
  </si>
  <si>
    <t>US06 2, combined</t>
  </si>
  <si>
    <t>UDDS 3, 505</t>
  </si>
  <si>
    <t>UDDS 3, combined</t>
  </si>
  <si>
    <t>c3+4p</t>
  </si>
  <si>
    <t>UDDS 4, 505</t>
  </si>
  <si>
    <t>UDDS 4</t>
  </si>
  <si>
    <t>UDDS 4, combined</t>
  </si>
  <si>
    <t>72°F - J1634 MCT Combo Shortcut Test</t>
  </si>
  <si>
    <t>72°F - J1634 MCT Combo Shortcut Test, Repeat 1</t>
  </si>
  <si>
    <t>09/16/20, 08:31:33 AM</t>
  </si>
  <si>
    <t>J1634 MCT, UDDS-HWY-UDDS-US06, in L mode, Headlights -OFF</t>
  </si>
  <si>
    <t>Z:\All Daq\Drive Cycles\J1634 Combined\65mph 1634 Capacity 10000 seconds.txt</t>
  </si>
  <si>
    <t>09/16/20, 09:59:30 AM</t>
  </si>
  <si>
    <t>65mph SSS until deplete</t>
  </si>
  <si>
    <t>KS</t>
  </si>
  <si>
    <t>Z:\All Daq\Drive Cycles\J1634 Combined\US06-Split UDDS-Split HWY UDDS-Split ELECTRIC 7 Bag 5328.txt</t>
  </si>
  <si>
    <t>09/16/20, 12:55:00 PM</t>
  </si>
  <si>
    <t>J1634 MCT, US06-UDDS-HWY-UDDS, in L-mode, Headlights -OFF</t>
  </si>
  <si>
    <t>FJ</t>
  </si>
  <si>
    <t>09/16/20, 02:33:58 PM</t>
  </si>
  <si>
    <t>65mph SSS until full depletion</t>
  </si>
  <si>
    <t>Z:\All Daq\Drive Cycles\Blank Bags\Blank 1 Bag 46800 (13 hours).txt</t>
  </si>
  <si>
    <t>09/16/20, 03:04:22 PM</t>
  </si>
  <si>
    <t>J1634 MCT, charge to full using L2 charger after full MCT deplete, 46800 seconds (13 hours)</t>
  </si>
  <si>
    <t>Day 3 - J1634 MCT Combo Shortcut Test, 72°F Repeat 2 + WLTPx2 US06x10</t>
  </si>
  <si>
    <t>Day 6 - J1634 MCT Combo Shortcut 95°F W/ Solar</t>
  </si>
  <si>
    <t>Day 7 - J1634 MCT Combo Shortcut 95°F  No Solar</t>
  </si>
  <si>
    <t>Day 8 - J1634 MCT Combo Shortcut Test, 20°F - no preconditioning (unplugged)</t>
  </si>
  <si>
    <t>Day 9 - J1634 MCT Combo Shortcut Test, 20°F w/ powertrain preconditioning</t>
  </si>
  <si>
    <t xml:space="preserve">Day 10 - J1634 MCT Combo Shortcut Test, 0°F </t>
  </si>
  <si>
    <t>Day 11-72F Accessory load cycles, final HWY+Coastdown</t>
  </si>
  <si>
    <t>09/17/20, 07:46:23 AM</t>
  </si>
  <si>
    <t>J1634 MCT, start from full charge, UDDS-HWY-UDDS-US06, in L mode, Headlights -OFF</t>
  </si>
  <si>
    <t>09/17/20, 09:30:55 AM</t>
  </si>
  <si>
    <t xml:space="preserve">J1634 MCT 65mph SSS depletion, 10000 sec. </t>
  </si>
  <si>
    <t>09/17/20, 12:25:35 PM</t>
  </si>
  <si>
    <t xml:space="preserve">J1634 MCT, US06-UDDS-HWY-UDDS, in L-mode, Headlights-OFF. </t>
  </si>
  <si>
    <t>09/17/20, 02:00:19 PM</t>
  </si>
  <si>
    <t>J1634 MCT, 65mph SSS unitl full depletion</t>
  </si>
  <si>
    <t>Day 4 - J1634- Balloted new version</t>
  </si>
  <si>
    <t>Day 5 -72F-Performance Testing</t>
  </si>
  <si>
    <t>09/17/20, 02:27:48 PM</t>
  </si>
  <si>
    <t>72°F - J1634 MCT 4 cycle Shortcut Test, WLTP2x, US06x10 (thermal stability)</t>
  </si>
  <si>
    <t>9p</t>
  </si>
  <si>
    <t>10p</t>
  </si>
  <si>
    <t>US06x10</t>
  </si>
  <si>
    <t>09/18/20, 07:38:37 AM</t>
  </si>
  <si>
    <t>J1634 MCT, start from full charge, UDDS-HWY-UDDS-US06, In L-mode, Headlights -OFF</t>
  </si>
  <si>
    <t>Z:\All Daq\Drive Cycles\Drive Cycle Archive\WLTP\WLTPv4x2 8bag no soak 3615.txt</t>
  </si>
  <si>
    <t>09/18/20, 09:05:08 AM</t>
  </si>
  <si>
    <t>WLTPx2 8bag, in L-mode, Headlights -OFF</t>
  </si>
  <si>
    <t>Z:\All Daq\Drive Cycles\J1634 Combined\USO6x10 10 bag NoSoak 6001.txt</t>
  </si>
  <si>
    <t>09/18/20, 10:10:05 AM</t>
  </si>
  <si>
    <t>US06x10, 10bag, in L-mode, Headlights -OFF</t>
  </si>
  <si>
    <t>72°F - MCT Testing / J1634- Balloted new version</t>
  </si>
  <si>
    <t>HWY 2</t>
  </si>
  <si>
    <t>c9+10p</t>
  </si>
  <si>
    <t>11p</t>
  </si>
  <si>
    <t>12p</t>
  </si>
  <si>
    <t>c11+12p</t>
  </si>
  <si>
    <t>SSS Depletion</t>
  </si>
  <si>
    <t>Z:\All Daq\Drive Cycles\J1634 Combined\SMCT\SMCT-UDDS - UDDS - HWY -US06 - HWY- UDDS - UDDS NOSOAK 12 Bag 7676.txt</t>
  </si>
  <si>
    <t>09/21/20, 07:27:26 AM</t>
  </si>
  <si>
    <t>J1634 SMCT Balloted New Version, UDDS-UDDS-HWY-US06-HWY-UDDS-UDDS, 12 bag, no-soak</t>
  </si>
  <si>
    <t>Z:\All Daq\Drive Cycles\J1634 Combined\65mph 1634 Capacity 4 hour 14400.txt</t>
  </si>
  <si>
    <t>09/21/20, 09:41:34 AM</t>
  </si>
  <si>
    <t>J1634 SMCT Balloted New Version, SSS 65mph until deplete</t>
  </si>
  <si>
    <t>X</t>
  </si>
  <si>
    <t>OK from previous test</t>
  </si>
  <si>
    <t>95°F - J1634 MCT Combo Shortcut Test w/ 850W/m2 solar</t>
  </si>
  <si>
    <t>09/21/20, 01:20:19 PM</t>
  </si>
  <si>
    <t>Blank 1 bag 13 hour charge log test</t>
  </si>
  <si>
    <t>09/22/20, 08:34:39 AM</t>
  </si>
  <si>
    <t>SSS, 0-80-0, 60 second hold at 0%, 3%, and 6% grade</t>
  </si>
  <si>
    <t>09/22/20, 09:40:44 AM</t>
  </si>
  <si>
    <t>Passing Manuevers at 0%, 3%, and 6% grade</t>
  </si>
  <si>
    <t>09/22/20, 10:03:57 AM</t>
  </si>
  <si>
    <t>Power Ramp Cycles</t>
  </si>
  <si>
    <t>09/22/20, 10:24:20 AM</t>
  </si>
  <si>
    <t xml:space="preserve">WOTs X 10, </t>
  </si>
  <si>
    <t>Z:\All Daq\Drive Cycles\SS_Stairs and Tip-ins\55MPH SSS 10 minute warmup with mapping time 7200.txt</t>
  </si>
  <si>
    <t>09/22/20, 10:35:05 AM</t>
  </si>
  <si>
    <t>25% grade test with 10 minute warmup at 55MPH</t>
  </si>
  <si>
    <t>Z:\All Daq\Drive Cycles\J1634 Combined\UDDS-Split HWY UDDS-Split ELECTRIC 5 Bag 4128.txt</t>
  </si>
  <si>
    <t>09/23/20, 08:21:54 AM</t>
  </si>
  <si>
    <t xml:space="preserve">J1634 MCT in hot test cell (95°F) with solar @ 850 W/m^2.  HVAC Auto-72°F, Solar light on 30 minutes prior to test start, UDDS-HWY-UDDS (pulled wrong test file, should have US06 as well) </t>
  </si>
  <si>
    <t>Z:\All Daq\Drive Cycles\Drive Cycle Archive\US06 CYCLES\USO6 2Bag 600 CityHighwaySplit.txt</t>
  </si>
  <si>
    <t>SC03 x 3, #1</t>
  </si>
  <si>
    <t>SC03 x 2, #1</t>
  </si>
  <si>
    <t>SC03 x 2, #2</t>
  </si>
  <si>
    <t>Z:\All Daq\Drive Cycles\J1634 Combined\65mph 1634 Capacity 9600 seconds.txt</t>
  </si>
  <si>
    <t>09/23/20, 09:49:54 AM</t>
  </si>
  <si>
    <t>J1634 MCT in hot test cell (95°F) with solar @ 850 W/m^2.  HVAC Auto-72°F, Middel deplete for 9600 seconds</t>
  </si>
  <si>
    <t>09/23/20, 12:37:19 PM</t>
  </si>
  <si>
    <t>J1634 MCT in hot test cell (95°F) with solar @ 850 W/m^2.  HVAC Auto-72°F, US06, 2 bag</t>
  </si>
  <si>
    <t>Z:\All Daq\Drive Cycles\EPA cycles (checked)\SCO3 (checked)\SC03x2 2Bag 1802.txt</t>
  </si>
  <si>
    <t>09/23/20, 12:50:38 PM</t>
  </si>
  <si>
    <t>J1634 MCT in hot test cell (95°F) with solar @ 850 W/m^2.  HVAC Auto-72°F, SC03x2</t>
  </si>
  <si>
    <t>Stopped test due to DAQ overheat from solar</t>
  </si>
  <si>
    <t>09/23/20, 01:12:26 PM</t>
  </si>
  <si>
    <t>Z:\All Daq\Drive Cycles\EPA cycles (checked)\HWFET (checked)\HWY 1Bag 5spd 765.txt</t>
  </si>
  <si>
    <t>09/23/20, 01:46:53 PM</t>
  </si>
  <si>
    <t>J1634 MCT in hot test cell (95°F) with solar @ 850 W/m^2.  HVAC Auto-72°F, HWY, 1 bag</t>
  </si>
  <si>
    <t>Z:\All Daq\Drive Cycles\EPA cycles (checked)\UDDS (checked)\UDDS 2Bags 5spd 1374.txt</t>
  </si>
  <si>
    <t>09/23/20, 02:09:14 PM</t>
  </si>
  <si>
    <t>J1634 MCT in hot test cell (95°F) with solar @ 850 W/m^2.  HVAC Auto-72°F, UDDS-2 bag</t>
  </si>
  <si>
    <t>Z:\All Daq\Drive Cycles\J1634 Combined\65mph 1634 Capacity 3200 seconds.txt</t>
  </si>
  <si>
    <t>09/23/20, 02:35:37 PM</t>
  </si>
  <si>
    <t>J1634 MCT in hot test cell (95°F) with solar @ 850 W/m^2.  HVAC Auto-72°F, SSS 65MPH until deplet</t>
  </si>
  <si>
    <t>09/23/20, 02:56:42 PM</t>
  </si>
  <si>
    <t>J1634 MCT in hot test cell (95°F) Charge to full, 13 hour blank bag</t>
  </si>
  <si>
    <t>09/23/20, 09:34:02 AM</t>
  </si>
  <si>
    <t>J1634 MCT in hot test cell (95°F) with solar @ 850 W/m^2.  HVAC Auto-72°F, Solar light on 30 minutes prior to test start, US06, 2 bag to complete first half cycles</t>
  </si>
  <si>
    <t>95°F - J1634 MCT4 Combo Shortcut Test w/ no solar</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</si>
  <si>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</si>
  <si>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09/24/20, 07:49:20 AM</t>
  </si>
  <si>
    <t>J1634 MCT in hot test cell (95°F) UDDS-HWY-UDDS-US06 with NO Solar</t>
  </si>
  <si>
    <t>ok, may need to remerge Vspy data, file was split in two during test</t>
  </si>
  <si>
    <t>20°F - J1634 MCT Combo Shortcut Test, 20°F - (plugged in overnight)</t>
  </si>
  <si>
    <t>wh</t>
  </si>
  <si>
    <t>SUM</t>
  </si>
  <si>
    <t>cold hwy</t>
  </si>
  <si>
    <t>hot hwy</t>
  </si>
  <si>
    <t>hot 65 mph sss</t>
  </si>
  <si>
    <t>%batt</t>
  </si>
  <si>
    <t>calc (see input below)--&gt;</t>
  </si>
  <si>
    <t>09/25/20, 07:26:22 AM</t>
  </si>
  <si>
    <t>J1634 MCT in cold test cell (20°F) UDDS-HWY-UDDS-US06. full charge, plugged in overnight</t>
  </si>
  <si>
    <t>Z:\All Daq\Drive Cycles\J1634 Combined\65mph 1634 Capacity 5400 seconds.txt</t>
  </si>
  <si>
    <t>09/25/20, 08:56:07 AM</t>
  </si>
  <si>
    <t>J1634 MCT in cold test cell (20°F), 65mph SSS deplete 5400s.</t>
  </si>
  <si>
    <t>09/25/20, 10:32:43 AM</t>
  </si>
  <si>
    <t>J1634 MCT in cold test cell (20°F), 6US06-UDDS-HWY-UDDS, in L-mode, Headlights -OFF, HVAC 72-Auto</t>
  </si>
  <si>
    <t xml:space="preserve">ok
</t>
  </si>
  <si>
    <t>09/25/20, 12:07:01 PM</t>
  </si>
  <si>
    <t>J1634 MCT in cold test cell (20°F), 65mph sss until full deplet, in L-mode, Headlights -OFF, HVAC 72-Auto</t>
  </si>
  <si>
    <t xml:space="preserve">Vehicle went into "low power mode" on dash at SOC=2.5%. Probably due to heating loads rather than run down to lower SOC. 
ok.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</si>
  <si>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</si>
  <si>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09/25/20, 12:34:49 PM</t>
  </si>
  <si>
    <t>J1634 MCT in cold test cell (20°F), charge to full using L2 charger after full MCT deplete, 46800 seonds (13 hours)</t>
  </si>
  <si>
    <t>~firest 10 min of VSpy CAN data not collected, also, charger connected ~1min before start of test so very initial charging not collected</t>
  </si>
  <si>
    <t>20°F - J1634 MCT Combo Shortcut Test, 20°F - (plugged in overnight) Pre-Conditioning test</t>
  </si>
  <si>
    <t>20°F - J1634 MCT Combo Shortcut Test, 20°F - failed (eBrake). Use above data for Batt Capacity</t>
  </si>
  <si>
    <t>UDDS 1 , ph2</t>
  </si>
  <si>
    <t>UDDS 2, ph2</t>
  </si>
  <si>
    <t>1hr Pre-Conditioning Charging</t>
  </si>
  <si>
    <t xml:space="preserve">##DATA(Exhaust_Bag, =1, HVBatt_SOC_CAN4__per)DATA CHANNEL NOT FOUND DATA CHANNEL NOT FOUND </t>
  </si>
  <si>
    <t xml:space="preserve">##DATA(Exhaust_Bag, =1-,HVBatt_SOC_CAN4__per)DATA CHANNEL NOT FOUND DATA CHANNEL NOT FOUND </t>
  </si>
  <si>
    <t xml:space="preserve">##DATA(Exhaust_Bag, =1-, HVBatt_SOC_CAN4__per)DATA CHANNEL NOT FOUND DATA CHANNEL NOT FOUND </t>
  </si>
  <si>
    <t>Z:\All Daq\Drive Cycles\J1634 Combined\65mph 1634 Capacity 5 hour 18000.txt</t>
  </si>
  <si>
    <t>09/28/20, 08:53:11 AM</t>
  </si>
  <si>
    <t>J1634 MCT in cold test cell (20°F), 65MPH SSS deplete</t>
  </si>
  <si>
    <t>09/28/20, 11:53:02 AM</t>
  </si>
  <si>
    <t xml:space="preserve">J1634 MCT in cold test cell (20°F), 13 hour charge log </t>
  </si>
  <si>
    <t>Z:\All Daq\Drive Cycles\J1634 Combined\UDDS-Split HWY UDDS-Split US06-Split ELECTRIC 8 Bag with 20 min preconditioning 6050.txt</t>
  </si>
  <si>
    <t>09/29/20, 07:36:04 AM</t>
  </si>
  <si>
    <t>J1634 MCT in cold test cell (20°F), UDDS-HWY-UDDS-US06 with 20 minute precondition, vehicle plugged in</t>
  </si>
  <si>
    <t>0°F - J1634 MCT Combo Shortcut Test, 20°F - (plugged in overnight)</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</si>
  <si>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</si>
  <si>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09/30/20, 07:42:50 AM</t>
  </si>
  <si>
    <t>J1634 MCT in cold test cell (0°F), UDDS-HWY-UDDS-US06, HVAC-AUTO-72°F</t>
  </si>
  <si>
    <t>09/30/20, 09:10:04 AM</t>
  </si>
  <si>
    <t>J1634 MCT in cold test cell (0°F), 65MPH SSS middle deplete-AUTO-72°F</t>
  </si>
  <si>
    <t>09/30/20, 10:19:15 AM</t>
  </si>
  <si>
    <t>J1634 MCT in cold test cell (0°F),US06, UDDS-HWY-UDDS, HVAC-AUTO-72°F</t>
  </si>
  <si>
    <t xml:space="preserve">Lights left on last UDDS, otherwise, ok. </t>
  </si>
  <si>
    <t>Robot</t>
  </si>
  <si>
    <t>Z:\All Daq\Drive Cycles\J1634 Combined\65mph 1634 Capacity 3800 seconds.txt</t>
  </si>
  <si>
    <t>09/30/20, 11:53:29 AM</t>
  </si>
  <si>
    <t>J1634 MCT in cold test cell (0°F), HVAC auto 72F, 65MPH sss until deplete</t>
  </si>
  <si>
    <t>09/30/20, 12:26:21 PM</t>
  </si>
  <si>
    <t>J1634 MCT in cold test cell (0°F), 13 hour charge log</t>
  </si>
  <si>
    <t xml:space="preserve">##PHASE(3,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</si>
  <si>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##PHASE(4,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</si>
  <si>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##DATA(Exhaust_Bag, =1, HVBatt_SOC_CAN4__per)DATA CHANNEL NOT FOUND DATA CHANNEL NOT FOUND DATA CHANNEL NOT FOUND TEST CHANNEL NOT FOUND DATA CHANNEL NOT FOUND DATA CHANNEL NOT FOUND </t>
  </si>
  <si>
    <t xml:space="preserve">##DATA(Exhaust_Bag, =1-,HVBatt_SOC_CAN4__per)DATA CHANNEL NOT FOUND DATA CHANNEL NOT FOUND DATA CHANNEL NOT FOUND TEST CHANNEL NOT FOUND DATA CHANNEL NOT FOUND DATA CHANNEL NOT FOUND </t>
  </si>
  <si>
    <t xml:space="preserve">##DATA(Exhaust_Bag, =1-, HVBatt_SOC_CAN4__per)DATA CHANNEL NOT FOUND DATA CHANNEL NOT FOUND DATA CHANNEL NOT FOUND TEST CHANNEL NOT FOUND DATA CHANNEL NOT FOUND DATA CHANNEL NOT FOUND </t>
  </si>
  <si>
    <t xml:space="preserve">##PHASE(2, Phase Distance [mi])CHANNEL NOT FOUND CHANNEL NOT FOUND CHANNEL NOT FOUND CHANNEL NOT FOUND CHANNEL NOT FOUND </t>
  </si>
  <si>
    <t xml:space="preserve">##DATA(Exhaust_Bag, =2, HVBatt_SOC_CAN4__per)DATA CHANNEL NOT FOUND DATA CHANNEL NOT FOUND TEST CHANNEL NOT FOUND DATA CHANNEL NOT FOUND DATA CHANNEL NOT FOUND </t>
  </si>
  <si>
    <t xml:space="preserve">##DATA(Exhaust_Bag, =2-,HVBatt_SOC_CAN4__per)DATA CHANNEL NOT FOUND DATA CHANNEL NOT FOUND TEST CHANNEL NOT FOUND DATA CHANNEL NOT FOUND DATA CHANNEL NOT FOUND </t>
  </si>
  <si>
    <t xml:space="preserve">##DATA(Exhaust_Bag, =2, HVBatt_SOC_CAN4__per)DATA CHANNEL NOT FOUND DATA CHANNEL NOT FOUND DATA CHANNEL NOT FOUND DATA CHANNEL NOT FOUND </t>
  </si>
  <si>
    <t xml:space="preserve">##DATA(Exhaust_Bag, =2-, HVBatt_SOC_CAN4__per)DATA CHANNEL NOT FOUND DATA CHANNEL NOT FOUND DATA CHANNEL NOT FOUND DATA CHANNEL NOT FOUND </t>
  </si>
  <si>
    <t>-18C Ambient with 22C Cabin</t>
  </si>
  <si>
    <t>-7C Ambient with 22C Cabin</t>
  </si>
  <si>
    <t>-7CF Ambient with 22C Cabin (preconditioned)</t>
  </si>
  <si>
    <t>+22C Ambient with Climate off</t>
  </si>
  <si>
    <t>+35C Ambient with 22C Cabin</t>
  </si>
  <si>
    <t>+35C w/o solar with 22C Cabin</t>
  </si>
  <si>
    <t>72F- Final Coastdowns, accessory load tests</t>
  </si>
  <si>
    <t>Blank Bag 1300s</t>
  </si>
  <si>
    <t>##DATAMEAN(Exhaust_Bag, =1,Cell_Temp[C],)</t>
  </si>
  <si>
    <t>##DATAMEAN(Exhaust_Bag, =1,Cell_RH[%],)</t>
  </si>
  <si>
    <t>##DATAMEAN(Exhaust_Bag, =1,Cell_Press[inHg],)</t>
  </si>
  <si>
    <t>##DATAMEAN(Exhaust_Bag, =1,Tire_Front_Temp[C],)</t>
  </si>
  <si>
    <t>##PHASE(1, Phase Distance [mi])</t>
  </si>
  <si>
    <t>##DATA(Exhaust_Bag, =1, HVBatt_SOC_CAN4__per)</t>
  </si>
  <si>
    <t>##DATA(Exhaust_Bag, =1-,HVBatt_SOC_CAN4__per)</t>
  </si>
  <si>
    <t>##DATA(Exhaust_Bag, =1, WP1)</t>
  </si>
  <si>
    <t>##DATA(Exhaust_Bag, =1-, WP1)</t>
  </si>
  <si>
    <t>##DATA(Exhaust_Bag, =1, WP2)</t>
  </si>
  <si>
    <t>##DATA(Exhaust_Bag, =1-, WP2)</t>
  </si>
  <si>
    <t>##DATA(Exhaust_Bag, =1, WP3)</t>
  </si>
  <si>
    <t>##DATA(Exhaust_Bag, =1-, WP3)</t>
  </si>
  <si>
    <t>##DATA(Exhaust_Bag, =1, WP4)</t>
  </si>
  <si>
    <t>##DATA(Exhaust_Bag, =1-, WP4)</t>
  </si>
  <si>
    <t>##DATA(Exhaust_Bag, =1, WP5)</t>
  </si>
  <si>
    <t>##DATA(Exhaust_Bag, =1-, WP5)</t>
  </si>
  <si>
    <t>##DATA(Exhaust_Bag, =1, WP6)</t>
  </si>
  <si>
    <t>##DATA(Exhaust_Bag, =1-, WP6)</t>
  </si>
  <si>
    <t>##DATA(Exhaust_Bag, =1, WP7)</t>
  </si>
  <si>
    <t>##DATA(Exhaust_Bag, =1-, WP7)</t>
  </si>
  <si>
    <t>##DATA(Exhaust_Bag, =1, WP8)</t>
  </si>
  <si>
    <t>##DATA(Exhaust_Bag, =1-, WP8)</t>
  </si>
  <si>
    <t>##DATA(Exhaust_Bag, =1, WP9)</t>
  </si>
  <si>
    <t>##DATA(Exhaust_Bag, =1-, WP9)</t>
  </si>
  <si>
    <t>##DATA(Exhaust_Bag, =1, WP10)</t>
  </si>
  <si>
    <t>##DATA(Exhaust_Bag, =1-, WP10)</t>
  </si>
  <si>
    <t>##DATA(Exhaust_Bag, =1-, HVBatt_SOC_CAN4__per)</t>
  </si>
  <si>
    <t>##PHASE(1,J2951 APCtime,)</t>
  </si>
  <si>
    <t>##PHASE(1,J2951 ASCR,)</t>
  </si>
  <si>
    <t>##PHASE(1,J2951 ASC_d,)</t>
  </si>
  <si>
    <t>##PHASE(1,J2951 ASC_t,)</t>
  </si>
  <si>
    <t>##PHASE(1,J2951 CE_d,)</t>
  </si>
  <si>
    <t>##PHASE(1,J2951 CE_t,)</t>
  </si>
  <si>
    <t>##PHASE(1,J2951 DR,)</t>
  </si>
  <si>
    <t>##PHASE(1,J2951 D_d,)</t>
  </si>
  <si>
    <t>##PHASE(1,J2951 D_t,)</t>
  </si>
  <si>
    <t>##PHASE(1,J2951 EER,)</t>
  </si>
  <si>
    <t>##PHASE(1,J2951 ER,)</t>
  </si>
  <si>
    <t>##PHASE(1,J2951 IWR,)</t>
  </si>
  <si>
    <t>##DATAMEAN(Exhaust_Bag, =2,Cell_Temp[C],)</t>
  </si>
  <si>
    <t>##DATAMEAN(Exhaust_Bag, =2,Cell_RH[%],)</t>
  </si>
  <si>
    <t>##DATAMEAN(Exhaust_Bag, =2,Cell_Press[inHg],)</t>
  </si>
  <si>
    <t>##DATAMEAN(Exhaust_Bag, =2,Tire_Front_Temp[C],)</t>
  </si>
  <si>
    <t>##PHASE(2, Phase Distance [mi])</t>
  </si>
  <si>
    <t>##DATA(Exhaust_Bag, =2, HVBatt_SOC_CAN4__per)</t>
  </si>
  <si>
    <t>##DATA(Exhaust_Bag, =2-,HVBatt_SOC_CAN4__per)</t>
  </si>
  <si>
    <t>##DATA(Exhaust_Bag, =2, WP1)</t>
  </si>
  <si>
    <t>##DATA(Exhaust_Bag, =2-, WP1)</t>
  </si>
  <si>
    <t>##DATA(Exhaust_Bag, =2, WP2)</t>
  </si>
  <si>
    <t>##DATA(Exhaust_Bag, =2-, WP2)</t>
  </si>
  <si>
    <t>##DATA(Exhaust_Bag, =2, WP3)</t>
  </si>
  <si>
    <t>##DATA(Exhaust_Bag, =2-, WP3)</t>
  </si>
  <si>
    <t>##DATA(Exhaust_Bag, =2, WP4)</t>
  </si>
  <si>
    <t>##DATA(Exhaust_Bag, =2-, WP4)</t>
  </si>
  <si>
    <t>##DATA(Exhaust_Bag, =2, WP5)</t>
  </si>
  <si>
    <t>##DATA(Exhaust_Bag, =2-, WP5)</t>
  </si>
  <si>
    <t>##DATA(Exhaust_Bag, =2, WP6)</t>
  </si>
  <si>
    <t>##DATA(Exhaust_Bag, =2-, WP6)</t>
  </si>
  <si>
    <t>##DATA(Exhaust_Bag, =2, WP7)</t>
  </si>
  <si>
    <t>##DATA(Exhaust_Bag, =2-, WP7)</t>
  </si>
  <si>
    <t>##DATA(Exhaust_Bag, =2, WP8)</t>
  </si>
  <si>
    <t>##DATA(Exhaust_Bag, =2-, WP8)</t>
  </si>
  <si>
    <t>##DATA(Exhaust_Bag, =2, WP9)</t>
  </si>
  <si>
    <t>##DATA(Exhaust_Bag, =2-, WP9)</t>
  </si>
  <si>
    <t>##DATA(Exhaust_Bag, =2, WP10)</t>
  </si>
  <si>
    <t>##DATA(Exhaust_Bag, =2-, WP10)</t>
  </si>
  <si>
    <t>##DATA(Exhaust_Bag, =2-, HVBatt_SOC_CAN4__per)</t>
  </si>
  <si>
    <t>##PHASE(2,J2951 APCtime,)</t>
  </si>
  <si>
    <t>##PHASE(2,J2951 ASCR,)</t>
  </si>
  <si>
    <t>##PHASE(2,J2951 ASC_d,)</t>
  </si>
  <si>
    <t>##PHASE(2,J2951 ASC_t,)</t>
  </si>
  <si>
    <t>##PHASE(2,J2951 CE_d,)</t>
  </si>
  <si>
    <t>##PHASE(2,J2951 CE_t,)</t>
  </si>
  <si>
    <t>##PHASE(2,J2951 DR,)</t>
  </si>
  <si>
    <t>##PHASE(2,J2951 D_d,)</t>
  </si>
  <si>
    <t>##PHASE(2,J2951 D_t,)</t>
  </si>
  <si>
    <t>##PHASE(2,J2951 EER,)</t>
  </si>
  <si>
    <t>##PHASE(2,J2951 ER,)</t>
  </si>
  <si>
    <t>##PHASE(2,J2951 IWR,)</t>
  </si>
  <si>
    <t>##DATAMEAN(Exhaust_Bag, =3,Cell_Temp[C],)</t>
  </si>
  <si>
    <t>##DATAMEAN(Exhaust_Bag, =3,Cell_RH[%],)</t>
  </si>
  <si>
    <t>##DATAMEAN(Exhaust_Bag, =3,Cell_Press[inHg],)</t>
  </si>
  <si>
    <t>##DATAMEAN(Exhaust_Bag, =3,Tire_Front_Temp[C],)</t>
  </si>
  <si>
    <t>##PHASE(3, Phase Distance [mi])</t>
  </si>
  <si>
    <t>##DATA(Exhaust_Bag, =3, HVBatt_SOC_CAN4__per)</t>
  </si>
  <si>
    <t>##DATA(Exhaust_Bag, =3-,HVBatt_SOC_CAN4__per)</t>
  </si>
  <si>
    <t>##DATA(Exhaust_Bag, =3, WP1)</t>
  </si>
  <si>
    <t>##DATA(Exhaust_Bag, =3-, WP1)</t>
  </si>
  <si>
    <t>##DATA(Exhaust_Bag, =3, WP2)</t>
  </si>
  <si>
    <t>##DATA(Exhaust_Bag, =3-, WP2)</t>
  </si>
  <si>
    <t>##DATA(Exhaust_Bag, =3, WP3)</t>
  </si>
  <si>
    <t>##DATA(Exhaust_Bag, =3-, WP3)</t>
  </si>
  <si>
    <t>##DATA(Exhaust_Bag, =3, WP4)</t>
  </si>
  <si>
    <t>##DATA(Exhaust_Bag, =3-, WP4)</t>
  </si>
  <si>
    <t>##DATA(Exhaust_Bag, =3, WP5)</t>
  </si>
  <si>
    <t>##DATA(Exhaust_Bag, =3-, WP5)</t>
  </si>
  <si>
    <t>##DATA(Exhaust_Bag, =3, WP6)</t>
  </si>
  <si>
    <t>##DATA(Exhaust_Bag, =3-, WP6)</t>
  </si>
  <si>
    <t>##DATA(Exhaust_Bag, =3, WP7)</t>
  </si>
  <si>
    <t>##DATA(Exhaust_Bag, =3-, WP7)</t>
  </si>
  <si>
    <t>##DATA(Exhaust_Bag, =3, WP8)</t>
  </si>
  <si>
    <t>##DATA(Exhaust_Bag, =3-, WP8)</t>
  </si>
  <si>
    <t>##DATA(Exhaust_Bag, =3, WP9)</t>
  </si>
  <si>
    <t>##DATA(Exhaust_Bag, =3-, WP9)</t>
  </si>
  <si>
    <t>##DATA(Exhaust_Bag, =3, WP10)</t>
  </si>
  <si>
    <t>##DATA(Exhaust_Bag, =3-, WP10)</t>
  </si>
  <si>
    <t>##DATA(Exhaust_Bag, =3-, HVBatt_SOC_CAN4__per)</t>
  </si>
  <si>
    <t>##PHASE(3,J2951 APCtime,)</t>
  </si>
  <si>
    <t>##PHASE(3,J2951 ASCR,)</t>
  </si>
  <si>
    <t>##PHASE(3,J2951 ASC_d,)</t>
  </si>
  <si>
    <t>##PHASE(3,J2951 ASC_t,)</t>
  </si>
  <si>
    <t>##PHASE(3,J2951 CE_d,)</t>
  </si>
  <si>
    <t>##PHASE(3,J2951 CE_t,)</t>
  </si>
  <si>
    <t>##PHASE(3,J2951 DR,)</t>
  </si>
  <si>
    <t>##PHASE(3,J2951 D_d,)</t>
  </si>
  <si>
    <t>##PHASE(3,J2951 D_t,)</t>
  </si>
  <si>
    <t>##PHASE(3,J2951 EER,)</t>
  </si>
  <si>
    <t>##PHASE(3,J2951 ER,)</t>
  </si>
  <si>
    <t>##PHASE(3,J2951 IWR,)</t>
  </si>
  <si>
    <t xml:space="preserve">##DATA(Exhaust_Bag, =1, HVBatt_SOC_CAN4__per)TEST CHANNEL NOT FOUND TEST CHANNEL NOT FOUND TEST CHANNEL NOT FOUND DATA CHANNEL NOT FOUND DATA CHANNEL NOT FOUND DATA CHANNEL NOT FOUND DATA CHANNEL NOT FOUND DATA CHANNEL NOT FOUND DATA CHANNEL NOT FOUND DATA CHANNEL NOT FOUND DATA CHANNEL NOT FOUND 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</si>
  <si>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=1-,HVBatt_SOC_CAN4__per)TEST CHANNEL NOT FOUND TEST CHANNEL NOT FOUND 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</si>
  <si>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TEST CHANNEL NOT FOUND 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</si>
  <si>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TEST CHANNEL NOT FOUND 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</si>
  <si>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</si>
  <si>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</si>
  <si>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</si>
  <si>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</si>
  <si>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</si>
  <si>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</si>
  <si>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</si>
  <si>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</si>
  <si>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</si>
  <si>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##INFO(TINVALID COMMAND  INVALID COMMAND  INVALID COMMAND  INVALID COMMAND  INVALID COMMAND  INVALID COMMAND  INVALID COMMAND  INVALID COMMAND  INVALID COMMAND  INVALID COMMAND  INVALID COMMAND  INVALID COMMAND  INVALID COMMAND  INVALID COMMAND  INVALID COMMAND  INVALID COMMAND  INVALID COMMAND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</si>
  <si>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</si>
  <si>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</si>
  <si>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</si>
  <si>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##PHASE(2,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</si>
  <si>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##PHASE(3,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</si>
  <si>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##PHASE(4,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</si>
  <si>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##INFO(TINVALID COMMAND  INVALID COMMAND  INVALID COMMAND  INVALID COMMAND  INVALID COMMAND  INVALID COMMAND  INVALID COMMAND  INVALID COMMAND  INVALID COMMAND  INVALID COMMAND  INVALID COMMAND  INVALID COMMAND  </t>
  </si>
  <si>
    <t xml:space="preserve">##DATA(Exhaust_Bag, =1, 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</si>
  <si>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=1-,HVBatt_SOC_CAN4__per)DATA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</si>
  <si>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Start Time</t>
  </si>
  <si>
    <t>End Time</t>
  </si>
  <si>
    <t>door lock/unlock x4</t>
  </si>
  <si>
    <t>radio</t>
  </si>
  <si>
    <t>no signal</t>
  </si>
  <si>
    <t>-7C Ambient with 22C Cabin (no-precondition)</t>
  </si>
  <si>
    <t>-7CF Ambient with 22oC Cabin (preconditioned)</t>
  </si>
  <si>
    <t>-18C Ambient with 22oC Cabin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</si>
</sst>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0.0"/>
    <numFmt numFmtId="165" formatCode="0.000"/>
    <numFmt numFmtId="166" formatCode="0.0000"/>
    <numFmt numFmtId="167" formatCode="0.00000"/>
    <numFmt numFmtId="168" formatCode="[$-F800]dddd\,\ mmmm\ dd\,\ yyyy"/>
    <numFmt numFmtId="169" formatCode="0.000000"/>
    <numFmt numFmtId="170" formatCode="0.0%"/>
    <numFmt numFmtId="171" formatCode="[=0]0;0.000"/>
    <numFmt numFmtId="172" formatCode="[=0]0;0.00"/>
    <numFmt numFmtId="173" formatCode="[=0]0;0.0"/>
    <numFmt numFmtId="174" formatCode="[=0]0;0.0000000"/>
    <numFmt numFmtId="175" formatCode="[=0]0;0.00000"/>
    <numFmt numFmtId="176" formatCode="[=0]0;0.000000"/>
    <numFmt numFmtId="177" formatCode="[=0]0;0.0000"/>
  </numFmts>
  <fonts count="41" x14ac:knownFonts="1">
    <font>
      <sz val="11"/>
      <color theme="1"/>
      <name val="Calibri"/>
      <family val="2"/>
      <scheme val="minor"/>
    </font>
    <font>
      <sz val="8"/>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i/>
      <sz val="11"/>
      <color theme="1"/>
      <name val="Calibri"/>
      <family val="2"/>
      <scheme val="minor"/>
    </font>
    <font>
      <b/>
      <sz val="12"/>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b/>
      <sz val="11"/>
      <color theme="1"/>
      <name val="Calibri"/>
      <family val="2"/>
      <scheme val="minor"/>
    </font>
    <font>
      <sz val="10"/>
      <color theme="1"/>
      <name val="Calibri"/>
      <family val="2"/>
      <scheme val="minor"/>
    </font>
    <font>
      <u/>
      <sz val="11"/>
      <color theme="10"/>
      <name val="Calibri"/>
      <family val="2"/>
      <scheme val="minor"/>
    </font>
    <font>
      <b/>
      <sz val="12"/>
      <color theme="1"/>
      <name val="Calibri"/>
      <family val="2"/>
      <scheme val="minor"/>
    </font>
    <font>
      <b/>
      <sz val="10"/>
      <color theme="1"/>
      <name val="Calibri"/>
      <family val="2"/>
      <scheme val="minor"/>
    </font>
    <font>
      <b/>
      <sz val="11"/>
      <color rgb="FF000000"/>
      <name val="Calibri"/>
      <family val="2"/>
      <scheme val="minor"/>
    </font>
    <font>
      <sz val="11"/>
      <color rgb="FF00000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8"/>
      <name val="Arial"/>
      <family val="2"/>
    </font>
    <font>
      <sz val="11"/>
      <color theme="1" tint="0.499984740745262"/>
      <name val="Calibri"/>
      <family val="2"/>
      <scheme val="minor"/>
    </font>
    <font>
      <b/>
      <sz val="16"/>
      <color theme="1"/>
      <name val="Calibri"/>
      <family val="2"/>
      <scheme val="minor"/>
    </font>
    <font>
      <sz val="14"/>
      <color theme="1"/>
      <name val="Calibri"/>
      <family val="2"/>
      <scheme val="minor"/>
    </font>
    <font>
      <sz val="10"/>
      <name val="Times New Roman"/>
      <family val="1"/>
    </font>
    <font>
      <b/>
      <sz val="14"/>
      <color theme="1"/>
      <name val="Calibri"/>
      <family val="2"/>
      <scheme val="minor"/>
    </font>
    <font>
      <sz val="18"/>
      <color theme="3"/>
      <name val="Cambria"/>
      <family val="2"/>
      <scheme val="major"/>
    </font>
    <font>
      <b/>
      <sz val="11"/>
      <color rgb="FFF11A09"/>
      <name val="Calibri"/>
      <family val="2"/>
      <scheme val="minor"/>
    </font>
    <font>
      <sz val="11"/>
      <name val="Calibri"/>
      <family val="2"/>
      <scheme val="minor"/>
    </font>
    <font>
      <sz val="8"/>
      <color rgb="FFFF0000"/>
      <name val="Arial"/>
      <family val="2"/>
    </font>
    <font>
      <b/>
      <sz val="8"/>
      <color theme="1"/>
      <name val="Arial"/>
      <family val="2"/>
    </font>
    <font>
      <sz val="8"/>
      <color theme="1"/>
      <name val="Arial"/>
      <family val="2"/>
    </font>
    <font>
      <b/>
      <sz val="8"/>
      <color rgb="FFFF0000"/>
      <name val="Arial"/>
      <family val="2"/>
    </font>
  </fonts>
  <fills count="71">
    <fill>
      <patternFill patternType="none"/>
    </fill>
    <fill>
      <patternFill patternType="gray125"/>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bgColor indexed="64"/>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rgb="FFF6FC04"/>
        <bgColor indexed="64"/>
      </patternFill>
    </fill>
    <fill>
      <patternFill patternType="solid">
        <fgColor rgb="FF8BE1FF"/>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ABF8F"/>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0070C0"/>
        <bgColor indexed="64"/>
      </patternFill>
    </fill>
    <fill>
      <patternFill patternType="solid">
        <fgColor rgb="FF00B0F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E6B8B7"/>
        <bgColor indexed="64"/>
      </patternFill>
    </fill>
    <fill>
      <patternFill patternType="solid">
        <fgColor rgb="FFC4BD97"/>
        <bgColor indexed="64"/>
      </patternFill>
    </fill>
    <fill>
      <patternFill patternType="solid">
        <fgColor rgb="FFCCC0DA"/>
        <bgColor indexed="64"/>
      </patternFill>
    </fill>
    <fill>
      <patternFill patternType="solid">
        <fgColor theme="0"/>
        <bgColor indexed="64"/>
      </patternFill>
    </fill>
    <fill>
      <patternFill patternType="solid">
        <fgColor theme="9" tint="0.79998168889431442"/>
        <bgColor indexed="64"/>
      </patternFill>
    </fill>
  </fills>
  <borders count="77">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rgb="FF7F7F7F"/>
      </left>
      <right style="thin">
        <color rgb="FF7F7F7F"/>
      </right>
      <top style="thin">
        <color rgb="FF7F7F7F"/>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ck">
        <color indexed="64"/>
      </right>
      <top/>
      <bottom/>
      <diagonal/>
    </border>
    <border>
      <left style="medium">
        <color indexed="64"/>
      </left>
      <right/>
      <top style="thin">
        <color indexed="64"/>
      </top>
      <bottom style="thin">
        <color indexed="64"/>
      </bottom>
      <diagonal/>
    </border>
  </borders>
  <cellStyleXfs count="51">
    <xf numFmtId="0" fontId="0" fillId="0" borderId="0"/>
    <xf numFmtId="0" fontId="2" fillId="2" borderId="3" applyNumberFormat="0" applyAlignment="0" applyProtection="0"/>
    <xf numFmtId="0" fontId="3" fillId="3" borderId="4" applyNumberFormat="0" applyAlignment="0" applyProtection="0"/>
    <xf numFmtId="0" fontId="4" fillId="3" borderId="3" applyNumberFormat="0" applyAlignment="0" applyProtection="0"/>
    <xf numFmtId="0" fontId="7" fillId="5" borderId="0" applyNumberFormat="0" applyBorder="0" applyAlignment="0" applyProtection="0"/>
    <xf numFmtId="0" fontId="8" fillId="6" borderId="0" applyNumberFormat="0" applyBorder="0" applyAlignment="0" applyProtection="0"/>
    <xf numFmtId="0" fontId="9" fillId="7" borderId="0" applyNumberFormat="0" applyBorder="0" applyAlignment="0" applyProtection="0"/>
    <xf numFmtId="0" fontId="12" fillId="0" borderId="0" applyNumberFormat="0" applyFill="0" applyBorder="0" applyAlignment="0" applyProtection="0"/>
    <xf numFmtId="0" fontId="18" fillId="0" borderId="0" applyNumberFormat="0" applyFill="0" applyBorder="0" applyAlignment="0" applyProtection="0"/>
    <xf numFmtId="0" fontId="19" fillId="0" borderId="17" applyNumberFormat="0" applyFill="0" applyAlignment="0" applyProtection="0"/>
    <xf numFmtId="0" fontId="20" fillId="0" borderId="18" applyNumberFormat="0" applyFill="0" applyAlignment="0" applyProtection="0"/>
    <xf numFmtId="0" fontId="21" fillId="0" borderId="19" applyNumberFormat="0" applyFill="0" applyAlignment="0" applyProtection="0"/>
    <xf numFmtId="0" fontId="21" fillId="0" borderId="0" applyNumberFormat="0" applyFill="0" applyBorder="0" applyAlignment="0" applyProtection="0"/>
    <xf numFmtId="0" fontId="22" fillId="0" borderId="20" applyNumberFormat="0" applyFill="0" applyAlignment="0" applyProtection="0"/>
    <xf numFmtId="0" fontId="23" fillId="17" borderId="21" applyNumberFormat="0" applyAlignment="0" applyProtection="0"/>
    <xf numFmtId="0" fontId="24" fillId="0" borderId="0" applyNumberFormat="0" applyFill="0" applyBorder="0" applyAlignment="0" applyProtection="0"/>
    <xf numFmtId="0" fontId="17" fillId="18" borderId="22" applyNumberFormat="0" applyFont="0" applyAlignment="0" applyProtection="0"/>
    <xf numFmtId="0" fontId="25" fillId="0" borderId="0" applyNumberFormat="0" applyFill="0" applyBorder="0" applyAlignment="0" applyProtection="0"/>
    <xf numFmtId="0" fontId="10" fillId="0" borderId="23" applyNumberFormat="0" applyFill="0" applyAlignment="0" applyProtection="0"/>
    <xf numFmtId="0" fontId="26"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6" fillId="30" borderId="0" applyNumberFormat="0" applyBorder="0" applyAlignment="0" applyProtection="0"/>
    <xf numFmtId="0" fontId="26" fillId="31" borderId="0" applyNumberFormat="0" applyBorder="0" applyAlignment="0" applyProtection="0"/>
    <xf numFmtId="0" fontId="17" fillId="32" borderId="0" applyNumberFormat="0" applyBorder="0" applyAlignment="0" applyProtection="0"/>
    <xf numFmtId="0" fontId="17" fillId="33" borderId="0" applyNumberFormat="0" applyBorder="0" applyAlignment="0" applyProtection="0"/>
    <xf numFmtId="0" fontId="26" fillId="34" borderId="0" applyNumberFormat="0" applyBorder="0" applyAlignment="0" applyProtection="0"/>
    <xf numFmtId="0" fontId="26" fillId="35" borderId="0" applyNumberFormat="0" applyBorder="0" applyAlignment="0" applyProtection="0"/>
    <xf numFmtId="0" fontId="17" fillId="36" borderId="0" applyNumberFormat="0" applyBorder="0" applyAlignment="0" applyProtection="0"/>
    <xf numFmtId="0" fontId="17" fillId="37" borderId="0" applyNumberFormat="0" applyBorder="0" applyAlignment="0" applyProtection="0"/>
    <xf numFmtId="0" fontId="26" fillId="38" borderId="0" applyNumberFormat="0" applyBorder="0" applyAlignment="0" applyProtection="0"/>
    <xf numFmtId="0" fontId="26" fillId="39" borderId="0" applyNumberFormat="0" applyBorder="0" applyAlignment="0" applyProtection="0"/>
    <xf numFmtId="0" fontId="17" fillId="40" borderId="0" applyNumberFormat="0" applyBorder="0" applyAlignment="0" applyProtection="0"/>
    <xf numFmtId="0" fontId="17" fillId="41" borderId="0" applyNumberFormat="0" applyBorder="0" applyAlignment="0" applyProtection="0"/>
    <xf numFmtId="0" fontId="26" fillId="42" borderId="0" applyNumberFormat="0" applyBorder="0" applyAlignment="0" applyProtection="0"/>
    <xf numFmtId="0" fontId="27" fillId="0" borderId="0"/>
    <xf numFmtId="9" fontId="27" fillId="0" borderId="0" applyFont="0" applyFill="0" applyBorder="0" applyAlignment="0" applyProtection="0"/>
    <xf numFmtId="9" fontId="17" fillId="0" borderId="0" applyFont="0" applyFill="0" applyBorder="0" applyAlignment="0" applyProtection="0"/>
    <xf numFmtId="0" fontId="32" fillId="0" borderId="0"/>
    <xf numFmtId="0" fontId="34" fillId="0" borderId="0" applyNumberFormat="0" applyFill="0" applyBorder="0" applyAlignment="0" applyProtection="0"/>
    <xf numFmtId="0" fontId="12" fillId="0" borderId="0" applyNumberFormat="0" applyFill="0" applyBorder="0" applyAlignment="0" applyProtection="0"/>
    <xf numFmtId="43" fontId="27" fillId="0" borderId="0" applyFont="0" applyFill="0" applyBorder="0" applyAlignment="0" applyProtection="0"/>
    <xf numFmtId="0" fontId="27" fillId="0" borderId="0"/>
  </cellStyleXfs>
  <cellXfs count="549">
    <xf numFmtId="0" fontId="0" fillId="0" borderId="0" xfId="0"/>
    <xf numFmtId="0" fontId="11" fillId="0" borderId="0" xfId="0" applyFont="1"/>
    <xf numFmtId="17" fontId="11" fillId="0" borderId="0" xfId="0" applyNumberFormat="1" applyFont="1"/>
    <xf numFmtId="0" fontId="0" fillId="0" borderId="0" xfId="0" applyAlignment="1">
      <alignment textRotation="45"/>
    </xf>
    <xf numFmtId="0" fontId="0" fillId="0" borderId="0" xfId="0" applyAlignment="1">
      <alignment wrapText="1"/>
    </xf>
    <xf numFmtId="0" fontId="0" fillId="0" borderId="0" xfId="0" applyAlignment="1">
      <alignment horizontal="center" wrapText="1"/>
    </xf>
    <xf numFmtId="0" fontId="10" fillId="16" borderId="0" xfId="0" applyFont="1" applyFill="1"/>
    <xf numFmtId="0" fontId="0" fillId="16" borderId="0" xfId="0" applyFill="1"/>
    <xf numFmtId="0" fontId="15" fillId="0" borderId="9" xfId="0" applyFont="1" applyBorder="1"/>
    <xf numFmtId="0" fontId="0" fillId="0" borderId="10" xfId="0" applyBorder="1"/>
    <xf numFmtId="0" fontId="0" fillId="0" borderId="12" xfId="0" applyBorder="1"/>
    <xf numFmtId="0" fontId="16" fillId="0" borderId="0" xfId="0" applyFont="1"/>
    <xf numFmtId="0" fontId="0" fillId="0" borderId="14" xfId="0" applyBorder="1"/>
    <xf numFmtId="0" fontId="0" fillId="0" borderId="15" xfId="0" applyBorder="1"/>
    <xf numFmtId="0" fontId="10" fillId="0" borderId="9" xfId="0" applyFont="1" applyBorder="1"/>
    <xf numFmtId="14" fontId="1" fillId="0" borderId="0" xfId="0" applyNumberFormat="1" applyFont="1" applyAlignment="1">
      <alignment horizontal="left" vertical="center"/>
    </xf>
    <xf numFmtId="14" fontId="10" fillId="0" borderId="0" xfId="0" applyNumberFormat="1" applyFont="1"/>
    <xf numFmtId="0" fontId="0" fillId="0" borderId="0" xfId="0" applyAlignment="1">
      <alignment horizontal="center"/>
    </xf>
    <xf numFmtId="164" fontId="10" fillId="0" borderId="0" xfId="0" applyNumberFormat="1" applyFont="1"/>
    <xf numFmtId="0" fontId="28" fillId="0" borderId="2" xfId="0" applyFont="1" applyBorder="1" applyAlignment="1">
      <alignment horizontal="center" vertical="center"/>
    </xf>
    <xf numFmtId="0" fontId="9" fillId="7" borderId="0" xfId="6" applyBorder="1"/>
    <xf numFmtId="164" fontId="9" fillId="7" borderId="0" xfId="6" applyNumberFormat="1" applyBorder="1"/>
    <xf numFmtId="0" fontId="29" fillId="0" borderId="0" xfId="0" applyFont="1"/>
    <xf numFmtId="166" fontId="0" fillId="0" borderId="0" xfId="0" applyNumberFormat="1"/>
    <xf numFmtId="0" fontId="31" fillId="0" borderId="13" xfId="0" applyFont="1" applyBorder="1" applyAlignment="1">
      <alignment horizontal="center" vertical="center" textRotation="90" wrapText="1"/>
    </xf>
    <xf numFmtId="0" fontId="0" fillId="0" borderId="0" xfId="0" applyAlignment="1">
      <alignment vertical="top" wrapText="1"/>
    </xf>
    <xf numFmtId="2" fontId="0" fillId="0" borderId="0" xfId="0" applyNumberFormat="1"/>
    <xf numFmtId="0" fontId="10" fillId="0" borderId="0" xfId="0" applyFont="1"/>
    <xf numFmtId="0" fontId="0" fillId="8" borderId="6" xfId="0" applyFill="1" applyBorder="1" applyAlignment="1">
      <alignment vertical="top" wrapText="1"/>
    </xf>
    <xf numFmtId="0" fontId="0" fillId="10" borderId="6" xfId="0" applyFill="1" applyBorder="1" applyAlignment="1">
      <alignment horizontal="center" vertical="top" wrapText="1"/>
    </xf>
    <xf numFmtId="0" fontId="0" fillId="11" borderId="6" xfId="0" applyFill="1" applyBorder="1" applyAlignment="1">
      <alignment horizontal="center" vertical="top" wrapText="1"/>
    </xf>
    <xf numFmtId="0" fontId="0" fillId="12" borderId="6" xfId="0" applyFill="1" applyBorder="1" applyAlignment="1">
      <alignment horizontal="center" vertical="top" wrapText="1"/>
    </xf>
    <xf numFmtId="0" fontId="0" fillId="13" borderId="6" xfId="0" applyFill="1" applyBorder="1" applyAlignment="1">
      <alignment vertical="top" wrapText="1"/>
    </xf>
    <xf numFmtId="164" fontId="0" fillId="0" borderId="0" xfId="0" applyNumberFormat="1"/>
    <xf numFmtId="164" fontId="0" fillId="4" borderId="0" xfId="0" applyNumberFormat="1" applyFill="1"/>
    <xf numFmtId="166" fontId="0" fillId="9" borderId="0" xfId="0" applyNumberFormat="1" applyFill="1"/>
    <xf numFmtId="0" fontId="0" fillId="55" borderId="0" xfId="0" applyFill="1"/>
    <xf numFmtId="166" fontId="0" fillId="43" borderId="0" xfId="0" applyNumberFormat="1" applyFill="1"/>
    <xf numFmtId="166" fontId="0" fillId="55" borderId="0" xfId="0" applyNumberFormat="1" applyFill="1"/>
    <xf numFmtId="166" fontId="0" fillId="4" borderId="0" xfId="0" applyNumberFormat="1" applyFill="1"/>
    <xf numFmtId="166" fontId="0" fillId="47" borderId="0" xfId="0" applyNumberFormat="1" applyFill="1"/>
    <xf numFmtId="164" fontId="0" fillId="47" borderId="0" xfId="0" applyNumberFormat="1" applyFill="1"/>
    <xf numFmtId="0" fontId="10" fillId="0" borderId="24" xfId="0" applyFont="1" applyBorder="1" applyAlignment="1">
      <alignment horizontal="center" vertical="center"/>
    </xf>
    <xf numFmtId="0" fontId="10" fillId="0" borderId="2" xfId="0" applyFont="1" applyBorder="1" applyAlignment="1">
      <alignment horizontal="center" vertical="center"/>
    </xf>
    <xf numFmtId="0" fontId="10" fillId="0" borderId="35" xfId="0" applyFont="1" applyBorder="1" applyAlignment="1">
      <alignment horizontal="center" vertical="center"/>
    </xf>
    <xf numFmtId="49" fontId="0" fillId="0" borderId="0" xfId="0" applyNumberFormat="1" applyAlignment="1">
      <alignment wrapText="1"/>
    </xf>
    <xf numFmtId="49" fontId="0" fillId="46" borderId="38" xfId="0" applyNumberFormat="1" applyFill="1" applyBorder="1" applyAlignment="1">
      <alignment wrapText="1"/>
    </xf>
    <xf numFmtId="49" fontId="0" fillId="54" borderId="39" xfId="0" applyNumberFormat="1" applyFill="1" applyBorder="1" applyAlignment="1">
      <alignment wrapText="1"/>
    </xf>
    <xf numFmtId="49" fontId="0" fillId="9" borderId="39" xfId="0" applyNumberFormat="1" applyFill="1" applyBorder="1" applyAlignment="1">
      <alignment wrapText="1"/>
    </xf>
    <xf numFmtId="49" fontId="0" fillId="55" borderId="37" xfId="0" applyNumberFormat="1" applyFill="1" applyBorder="1" applyAlignment="1">
      <alignment wrapText="1"/>
    </xf>
    <xf numFmtId="49" fontId="0" fillId="43" borderId="39" xfId="0" applyNumberFormat="1" applyFill="1" applyBorder="1" applyAlignment="1">
      <alignment wrapText="1"/>
    </xf>
    <xf numFmtId="49" fontId="0" fillId="55" borderId="39" xfId="0" applyNumberFormat="1" applyFill="1" applyBorder="1" applyAlignment="1">
      <alignment wrapText="1"/>
    </xf>
    <xf numFmtId="49" fontId="0" fillId="43" borderId="40" xfId="0" applyNumberFormat="1" applyFill="1" applyBorder="1" applyAlignment="1">
      <alignment wrapText="1"/>
    </xf>
    <xf numFmtId="49" fontId="0" fillId="4" borderId="41" xfId="0" applyNumberFormat="1" applyFill="1" applyBorder="1" applyAlignment="1">
      <alignment wrapText="1"/>
    </xf>
    <xf numFmtId="49" fontId="0" fillId="4" borderId="39" xfId="0" applyNumberFormat="1" applyFill="1" applyBorder="1" applyAlignment="1">
      <alignment wrapText="1"/>
    </xf>
    <xf numFmtId="49" fontId="0" fillId="4" borderId="40" xfId="0" applyNumberFormat="1" applyFill="1" applyBorder="1" applyAlignment="1">
      <alignment wrapText="1"/>
    </xf>
    <xf numFmtId="49" fontId="0" fillId="0" borderId="36" xfId="0" applyNumberFormat="1" applyBorder="1" applyAlignment="1">
      <alignment horizontal="center" vertical="center" wrapText="1"/>
    </xf>
    <xf numFmtId="2" fontId="0" fillId="43" borderId="0" xfId="0" applyNumberFormat="1" applyFill="1"/>
    <xf numFmtId="0" fontId="0" fillId="43" borderId="0" xfId="0" applyFill="1"/>
    <xf numFmtId="0" fontId="0" fillId="43" borderId="0" xfId="0" applyFill="1" applyAlignment="1">
      <alignment horizontal="center"/>
    </xf>
    <xf numFmtId="2" fontId="0" fillId="55" borderId="0" xfId="0" applyNumberFormat="1" applyFill="1"/>
    <xf numFmtId="0" fontId="0" fillId="55" borderId="0" xfId="0" applyFill="1" applyAlignment="1">
      <alignment horizontal="center" vertical="center"/>
    </xf>
    <xf numFmtId="49" fontId="0" fillId="4" borderId="6" xfId="0" applyNumberFormat="1" applyFill="1" applyBorder="1" applyAlignment="1">
      <alignment wrapText="1"/>
    </xf>
    <xf numFmtId="0" fontId="0" fillId="0" borderId="0" xfId="0" applyAlignment="1">
      <alignment horizontal="center" vertical="center"/>
    </xf>
    <xf numFmtId="0" fontId="0" fillId="56" borderId="0" xfId="0" applyFill="1"/>
    <xf numFmtId="0" fontId="0" fillId="4" borderId="15" xfId="0" applyFill="1" applyBorder="1"/>
    <xf numFmtId="0" fontId="31" fillId="4" borderId="16" xfId="0" applyFont="1" applyFill="1" applyBorder="1" applyAlignment="1">
      <alignment horizontal="center" vertical="center" textRotation="90" wrapText="1"/>
    </xf>
    <xf numFmtId="49" fontId="0" fillId="4" borderId="15" xfId="0" applyNumberFormat="1" applyFill="1" applyBorder="1"/>
    <xf numFmtId="49" fontId="9" fillId="4" borderId="15" xfId="6" applyNumberFormat="1" applyFill="1" applyBorder="1" applyAlignment="1"/>
    <xf numFmtId="0" fontId="9" fillId="4" borderId="15" xfId="6" applyFill="1" applyBorder="1"/>
    <xf numFmtId="0" fontId="0" fillId="4" borderId="14" xfId="0" applyFill="1" applyBorder="1"/>
    <xf numFmtId="164" fontId="0" fillId="55" borderId="0" xfId="0" applyNumberFormat="1" applyFill="1"/>
    <xf numFmtId="2" fontId="0" fillId="54" borderId="0" xfId="0" applyNumberFormat="1" applyFill="1"/>
    <xf numFmtId="2" fontId="0" fillId="46" borderId="0" xfId="0" applyNumberFormat="1" applyFill="1"/>
    <xf numFmtId="0" fontId="0" fillId="0" borderId="0" xfId="0" applyAlignment="1">
      <alignment horizontal="left"/>
    </xf>
    <xf numFmtId="0" fontId="13" fillId="14" borderId="7" xfId="0" applyFont="1" applyFill="1" applyBorder="1" applyAlignment="1">
      <alignment horizontal="left"/>
    </xf>
    <xf numFmtId="0" fontId="6" fillId="4" borderId="27" xfId="0" applyFont="1" applyFill="1" applyBorder="1" applyAlignment="1">
      <alignment horizontal="left" vertical="top"/>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5" fillId="0" borderId="12" xfId="0" applyFont="1" applyBorder="1"/>
    <xf numFmtId="0" fontId="2" fillId="2" borderId="3" xfId="1"/>
    <xf numFmtId="0" fontId="5" fillId="0" borderId="0" xfId="0" applyFont="1"/>
    <xf numFmtId="0" fontId="0" fillId="0" borderId="13" xfId="0" applyBorder="1"/>
    <xf numFmtId="0" fontId="0" fillId="0" borderId="0" xfId="0" applyAlignment="1">
      <alignment horizontal="right"/>
    </xf>
    <xf numFmtId="0" fontId="3" fillId="3" borderId="4" xfId="2"/>
    <xf numFmtId="0" fontId="0" fillId="0" borderId="16" xfId="0" applyBorder="1"/>
    <xf numFmtId="0" fontId="0" fillId="0" borderId="11" xfId="0" applyBorder="1"/>
    <xf numFmtId="0" fontId="0" fillId="0" borderId="15" xfId="0" applyBorder="1" applyAlignment="1">
      <alignment horizontal="right"/>
    </xf>
    <xf numFmtId="164" fontId="0" fillId="0" borderId="0" xfId="0" applyNumberFormat="1" applyAlignment="1">
      <alignment horizontal="center" vertical="center"/>
    </xf>
    <xf numFmtId="164" fontId="0" fillId="0" borderId="0" xfId="0" applyNumberFormat="1" applyAlignment="1">
      <alignment horizontal="center"/>
    </xf>
    <xf numFmtId="49" fontId="0" fillId="0" borderId="0" xfId="0" applyNumberFormat="1"/>
    <xf numFmtId="164" fontId="0" fillId="0" borderId="2" xfId="0" applyNumberFormat="1" applyBorder="1"/>
    <xf numFmtId="1" fontId="0" fillId="0" borderId="0" xfId="0" applyNumberFormat="1"/>
    <xf numFmtId="0" fontId="0" fillId="0" borderId="25" xfId="0" applyBorder="1" applyAlignment="1">
      <alignment horizontal="center"/>
    </xf>
    <xf numFmtId="0" fontId="0" fillId="0" borderId="47" xfId="0" applyBorder="1"/>
    <xf numFmtId="0" fontId="0" fillId="0" borderId="35" xfId="0" applyBorder="1"/>
    <xf numFmtId="0" fontId="0" fillId="0" borderId="48" xfId="0" applyBorder="1" applyAlignment="1">
      <alignment horizontal="right"/>
    </xf>
    <xf numFmtId="0" fontId="0" fillId="0" borderId="48" xfId="0" applyBorder="1"/>
    <xf numFmtId="0" fontId="4" fillId="3" borderId="49" xfId="3" applyBorder="1"/>
    <xf numFmtId="0" fontId="0" fillId="13" borderId="44" xfId="0" applyFill="1" applyBorder="1" applyAlignment="1">
      <alignment vertical="top" wrapText="1"/>
    </xf>
    <xf numFmtId="0" fontId="1" fillId="0" borderId="0" xfId="0" applyFont="1" applyAlignment="1">
      <alignment horizontal="left" vertical="center"/>
    </xf>
    <xf numFmtId="0" fontId="1" fillId="4" borderId="25" xfId="0" applyFont="1" applyFill="1" applyBorder="1" applyAlignment="1">
      <alignment horizontal="left" vertical="top" wrapText="1"/>
    </xf>
    <xf numFmtId="0" fontId="1" fillId="0" borderId="33"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1" xfId="0" applyFont="1" applyBorder="1" applyAlignment="1">
      <alignment horizontal="center" vertical="center" wrapText="1"/>
    </xf>
    <xf numFmtId="0" fontId="1" fillId="60" borderId="50" xfId="0" applyFont="1" applyFill="1" applyBorder="1" applyAlignment="1">
      <alignment horizontal="center" vertical="center" wrapText="1"/>
    </xf>
    <xf numFmtId="0" fontId="1" fillId="9" borderId="50" xfId="0" applyFont="1" applyFill="1" applyBorder="1" applyAlignment="1">
      <alignment horizontal="center" vertical="center" wrapText="1"/>
    </xf>
    <xf numFmtId="0" fontId="1" fillId="16" borderId="1" xfId="0" applyFont="1" applyFill="1" applyBorder="1" applyAlignment="1">
      <alignment horizontal="center" vertical="center" wrapText="1"/>
    </xf>
    <xf numFmtId="0" fontId="1" fillId="4" borderId="25" xfId="0" applyFont="1" applyFill="1" applyBorder="1" applyAlignment="1">
      <alignment horizontal="center" vertical="top" wrapText="1"/>
    </xf>
    <xf numFmtId="0" fontId="28" fillId="0" borderId="5" xfId="0" applyFont="1" applyBorder="1" applyAlignment="1">
      <alignment horizontal="left" vertical="center"/>
    </xf>
    <xf numFmtId="0" fontId="10" fillId="61" borderId="9" xfId="0" applyFont="1" applyFill="1" applyBorder="1"/>
    <xf numFmtId="0" fontId="0" fillId="61" borderId="10" xfId="0" applyFill="1" applyBorder="1"/>
    <xf numFmtId="0" fontId="0" fillId="61" borderId="11" xfId="0" applyFill="1" applyBorder="1"/>
    <xf numFmtId="164" fontId="1" fillId="60" borderId="2" xfId="0" applyNumberFormat="1" applyFont="1" applyFill="1" applyBorder="1" applyAlignment="1">
      <alignment horizontal="center" vertical="center"/>
    </xf>
    <xf numFmtId="2" fontId="1" fillId="9" borderId="2" xfId="0" applyNumberFormat="1" applyFont="1" applyFill="1" applyBorder="1" applyAlignment="1">
      <alignment horizontal="center" vertical="center"/>
    </xf>
    <xf numFmtId="164" fontId="1" fillId="16" borderId="2" xfId="0" applyNumberFormat="1" applyFont="1" applyFill="1" applyBorder="1" applyAlignment="1">
      <alignment horizontal="center" vertical="center"/>
    </xf>
    <xf numFmtId="0" fontId="1" fillId="51" borderId="1" xfId="0" applyFont="1" applyFill="1" applyBorder="1" applyAlignment="1">
      <alignment horizontal="center" vertical="center" wrapText="1"/>
    </xf>
    <xf numFmtId="0" fontId="0" fillId="61" borderId="12" xfId="0" applyFill="1" applyBorder="1"/>
    <xf numFmtId="164" fontId="0" fillId="61" borderId="0" xfId="0" applyNumberFormat="1" applyFill="1"/>
    <xf numFmtId="0" fontId="0" fillId="61" borderId="0" xfId="0" applyFill="1"/>
    <xf numFmtId="164" fontId="10" fillId="61" borderId="0" xfId="0" applyNumberFormat="1" applyFont="1" applyFill="1"/>
    <xf numFmtId="0" fontId="10" fillId="61" borderId="0" xfId="0" applyFont="1" applyFill="1"/>
    <xf numFmtId="0" fontId="0" fillId="61" borderId="13" xfId="0" applyFill="1" applyBorder="1"/>
    <xf numFmtId="165" fontId="28" fillId="60" borderId="5" xfId="0" applyNumberFormat="1" applyFont="1" applyFill="1" applyBorder="1" applyAlignment="1">
      <alignment horizontal="right" vertical="center"/>
    </xf>
    <xf numFmtId="1" fontId="28" fillId="60" borderId="5" xfId="0" applyNumberFormat="1" applyFont="1" applyFill="1" applyBorder="1" applyAlignment="1">
      <alignment horizontal="center" vertical="center"/>
    </xf>
    <xf numFmtId="164" fontId="10" fillId="61" borderId="6" xfId="0" applyNumberFormat="1" applyFont="1" applyFill="1" applyBorder="1" applyAlignment="1">
      <alignment horizontal="center"/>
    </xf>
    <xf numFmtId="164" fontId="10" fillId="61" borderId="6" xfId="0" applyNumberFormat="1" applyFont="1" applyFill="1" applyBorder="1"/>
    <xf numFmtId="0" fontId="0" fillId="61" borderId="14" xfId="0" applyFill="1" applyBorder="1"/>
    <xf numFmtId="164" fontId="0" fillId="61" borderId="15" xfId="0" applyNumberFormat="1" applyFill="1" applyBorder="1"/>
    <xf numFmtId="0" fontId="0" fillId="61" borderId="15" xfId="0" applyFill="1" applyBorder="1"/>
    <xf numFmtId="164" fontId="10" fillId="61" borderId="15" xfId="0" applyNumberFormat="1" applyFont="1" applyFill="1" applyBorder="1" applyAlignment="1">
      <alignment horizontal="center"/>
    </xf>
    <xf numFmtId="164" fontId="10" fillId="61" borderId="15" xfId="0" applyNumberFormat="1" applyFont="1" applyFill="1" applyBorder="1"/>
    <xf numFmtId="0" fontId="0" fillId="61" borderId="16" xfId="0" applyFill="1" applyBorder="1"/>
    <xf numFmtId="9" fontId="0" fillId="0" borderId="0" xfId="45" applyFont="1"/>
    <xf numFmtId="164" fontId="1" fillId="60" borderId="0" xfId="0" applyNumberFormat="1" applyFont="1" applyFill="1" applyAlignment="1">
      <alignment horizontal="center" vertical="center"/>
    </xf>
    <xf numFmtId="2" fontId="1" fillId="9" borderId="0" xfId="0" applyNumberFormat="1" applyFont="1" applyFill="1" applyAlignment="1">
      <alignment horizontal="center" vertical="center"/>
    </xf>
    <xf numFmtId="164" fontId="1" fillId="16" borderId="0" xfId="0" applyNumberFormat="1" applyFont="1" applyFill="1" applyAlignment="1">
      <alignment horizontal="center" vertical="center"/>
    </xf>
    <xf numFmtId="164" fontId="28" fillId="51" borderId="5" xfId="0" applyNumberFormat="1" applyFont="1" applyFill="1" applyBorder="1" applyAlignment="1">
      <alignment horizontal="center" vertical="center"/>
    </xf>
    <xf numFmtId="168" fontId="0" fillId="0" borderId="0" xfId="0" applyNumberFormat="1"/>
    <xf numFmtId="49" fontId="11" fillId="0" borderId="0" xfId="0" applyNumberFormat="1" applyFont="1"/>
    <xf numFmtId="0" fontId="13" fillId="8" borderId="6" xfId="0" applyFont="1" applyFill="1" applyBorder="1" applyAlignment="1">
      <alignment textRotation="45" wrapText="1"/>
    </xf>
    <xf numFmtId="0" fontId="13" fillId="10" borderId="6" xfId="0" applyFont="1" applyFill="1" applyBorder="1" applyAlignment="1">
      <alignment textRotation="45" wrapText="1"/>
    </xf>
    <xf numFmtId="0" fontId="13" fillId="11" borderId="6" xfId="0" applyFont="1" applyFill="1" applyBorder="1" applyAlignment="1">
      <alignment textRotation="45" wrapText="1"/>
    </xf>
    <xf numFmtId="0" fontId="13" fillId="12" borderId="6" xfId="0" applyFont="1" applyFill="1" applyBorder="1" applyAlignment="1">
      <alignment textRotation="45" wrapText="1"/>
    </xf>
    <xf numFmtId="0" fontId="13" fillId="13" borderId="6" xfId="0" applyFont="1" applyFill="1" applyBorder="1" applyAlignment="1">
      <alignment textRotation="45" wrapText="1"/>
    </xf>
    <xf numFmtId="0" fontId="0" fillId="0" borderId="0" xfId="0" applyAlignment="1">
      <alignment horizontal="center" vertical="center" wrapText="1"/>
    </xf>
    <xf numFmtId="0" fontId="10" fillId="0" borderId="60" xfId="0" applyFont="1" applyBorder="1" applyAlignment="1">
      <alignment horizontal="left"/>
    </xf>
    <xf numFmtId="0" fontId="10" fillId="0" borderId="33" xfId="0" applyFont="1" applyBorder="1"/>
    <xf numFmtId="0" fontId="10" fillId="0" borderId="62" xfId="0" applyFont="1" applyBorder="1"/>
    <xf numFmtId="0" fontId="10" fillId="0" borderId="0" xfId="0" applyFont="1" applyAlignment="1">
      <alignment horizontal="left" vertical="center"/>
    </xf>
    <xf numFmtId="0" fontId="0" fillId="62" borderId="0" xfId="0" applyFill="1"/>
    <xf numFmtId="0" fontId="10" fillId="9" borderId="12" xfId="0" applyFont="1" applyFill="1" applyBorder="1"/>
    <xf numFmtId="0" fontId="10" fillId="0" borderId="13" xfId="0" applyFont="1" applyBorder="1"/>
    <xf numFmtId="14" fontId="0" fillId="0" borderId="0" xfId="0" applyNumberFormat="1" applyAlignment="1">
      <alignment horizontal="left" vertical="center"/>
    </xf>
    <xf numFmtId="0" fontId="0" fillId="63" borderId="12" xfId="0" applyFill="1" applyBorder="1"/>
    <xf numFmtId="0" fontId="0" fillId="50" borderId="12" xfId="0" applyFill="1" applyBorder="1"/>
    <xf numFmtId="0" fontId="10" fillId="62" borderId="0" xfId="0" applyFont="1" applyFill="1"/>
    <xf numFmtId="0" fontId="10" fillId="0" borderId="14" xfId="0" applyFont="1" applyBorder="1"/>
    <xf numFmtId="0" fontId="10" fillId="0" borderId="16" xfId="0" applyFont="1" applyBorder="1"/>
    <xf numFmtId="0" fontId="11" fillId="0" borderId="0" xfId="0" applyFont="1" applyAlignment="1">
      <alignment vertical="top" wrapText="1"/>
    </xf>
    <xf numFmtId="0" fontId="14" fillId="0" borderId="0" xfId="0" applyFont="1" applyAlignment="1">
      <alignment vertical="center" wrapText="1"/>
    </xf>
    <xf numFmtId="0" fontId="10" fillId="0" borderId="31" xfId="0" applyFont="1" applyBorder="1"/>
    <xf numFmtId="0" fontId="10" fillId="0" borderId="0" xfId="0" applyFont="1" applyAlignment="1">
      <alignment horizontal="center"/>
    </xf>
    <xf numFmtId="0" fontId="0" fillId="0" borderId="53" xfId="0" applyBorder="1" applyAlignment="1">
      <alignment horizontal="right"/>
    </xf>
    <xf numFmtId="165" fontId="0" fillId="51" borderId="6" xfId="0" applyNumberFormat="1" applyFill="1" applyBorder="1" applyAlignment="1">
      <alignment horizontal="center" vertical="center"/>
    </xf>
    <xf numFmtId="0" fontId="10" fillId="0" borderId="30" xfId="0" applyFont="1" applyBorder="1"/>
    <xf numFmtId="0" fontId="0" fillId="0" borderId="60" xfId="0" applyBorder="1" applyAlignment="1">
      <alignment horizontal="right"/>
    </xf>
    <xf numFmtId="169" fontId="0" fillId="0" borderId="0" xfId="0" applyNumberFormat="1" applyAlignment="1">
      <alignment horizontal="center" vertical="center"/>
    </xf>
    <xf numFmtId="0" fontId="24" fillId="0" borderId="0" xfId="0" applyFont="1" applyAlignment="1">
      <alignment wrapText="1"/>
    </xf>
    <xf numFmtId="0" fontId="0" fillId="65" borderId="0" xfId="0" applyFill="1"/>
    <xf numFmtId="0" fontId="7" fillId="0" borderId="0" xfId="4" applyFill="1"/>
    <xf numFmtId="0" fontId="0" fillId="4" borderId="0" xfId="0" applyFill="1"/>
    <xf numFmtId="0" fontId="10" fillId="0" borderId="12" xfId="0" applyFont="1" applyBorder="1"/>
    <xf numFmtId="0" fontId="0" fillId="65" borderId="0" xfId="0" applyFill="1" applyAlignment="1">
      <alignment horizontal="center" wrapText="1"/>
    </xf>
    <xf numFmtId="0" fontId="0" fillId="64" borderId="6" xfId="0" applyFill="1" applyBorder="1" applyAlignment="1">
      <alignment horizontal="center"/>
    </xf>
    <xf numFmtId="0" fontId="0" fillId="64" borderId="28" xfId="0" applyFill="1" applyBorder="1" applyAlignment="1">
      <alignment horizontal="center"/>
    </xf>
    <xf numFmtId="0" fontId="0" fillId="66" borderId="6" xfId="0" applyFill="1" applyBorder="1" applyAlignment="1">
      <alignment horizontal="center" vertical="top" wrapText="1"/>
    </xf>
    <xf numFmtId="0" fontId="0" fillId="67" borderId="6" xfId="0" applyFill="1" applyBorder="1" applyAlignment="1">
      <alignment horizontal="center" vertical="top" wrapText="1"/>
    </xf>
    <xf numFmtId="0" fontId="0" fillId="68" borderId="44" xfId="0" applyFill="1" applyBorder="1" applyAlignment="1">
      <alignment vertical="top" wrapText="1"/>
    </xf>
    <xf numFmtId="164" fontId="0" fillId="43" borderId="0" xfId="0" applyNumberFormat="1" applyFill="1"/>
    <xf numFmtId="164" fontId="0" fillId="43" borderId="0" xfId="0" applyNumberFormat="1" applyFill="1" applyAlignment="1">
      <alignment horizontal="right"/>
    </xf>
    <xf numFmtId="10" fontId="0" fillId="0" borderId="52" xfId="45" applyNumberFormat="1" applyFont="1" applyBorder="1" applyAlignment="1">
      <alignment horizontal="center"/>
    </xf>
    <xf numFmtId="0" fontId="0" fillId="4" borderId="32" xfId="0" applyFill="1" applyBorder="1" applyAlignment="1">
      <alignment horizontal="center"/>
    </xf>
    <xf numFmtId="164" fontId="0" fillId="15" borderId="43" xfId="0" applyNumberFormat="1" applyFill="1" applyBorder="1" applyAlignment="1">
      <alignment horizontal="center" vertical="center"/>
    </xf>
    <xf numFmtId="49" fontId="10" fillId="4" borderId="11" xfId="0" applyNumberFormat="1" applyFont="1" applyFill="1" applyBorder="1" applyAlignment="1">
      <alignment wrapText="1"/>
    </xf>
    <xf numFmtId="49" fontId="10" fillId="4" borderId="25" xfId="0" applyNumberFormat="1" applyFont="1" applyFill="1" applyBorder="1" applyAlignment="1">
      <alignment wrapText="1"/>
    </xf>
    <xf numFmtId="49" fontId="10" fillId="4" borderId="55" xfId="0" applyNumberFormat="1" applyFont="1" applyFill="1" applyBorder="1" applyAlignment="1">
      <alignment wrapText="1"/>
    </xf>
    <xf numFmtId="49" fontId="10" fillId="4" borderId="1" xfId="0" applyNumberFormat="1" applyFont="1" applyFill="1" applyBorder="1" applyAlignment="1">
      <alignment wrapText="1"/>
    </xf>
    <xf numFmtId="2" fontId="4" fillId="3" borderId="24" xfId="3" applyNumberFormat="1" applyBorder="1"/>
    <xf numFmtId="165" fontId="4" fillId="3" borderId="44" xfId="3" applyNumberFormat="1" applyBorder="1"/>
    <xf numFmtId="2" fontId="0" fillId="53" borderId="29" xfId="0" applyNumberFormat="1" applyFill="1" applyBorder="1" applyAlignment="1">
      <alignment horizontal="center" vertical="center"/>
    </xf>
    <xf numFmtId="166" fontId="0" fillId="53" borderId="29" xfId="0" applyNumberFormat="1" applyFill="1" applyBorder="1" applyAlignment="1">
      <alignment horizontal="center" vertical="center"/>
    </xf>
    <xf numFmtId="169" fontId="0" fillId="53" borderId="32" xfId="0" applyNumberFormat="1" applyFill="1" applyBorder="1" applyAlignment="1">
      <alignment horizontal="center" vertical="center"/>
    </xf>
    <xf numFmtId="0" fontId="11" fillId="0" borderId="53" xfId="0" applyFont="1" applyBorder="1" applyAlignment="1">
      <alignment horizontal="right" vertical="top" wrapText="1"/>
    </xf>
    <xf numFmtId="1" fontId="0" fillId="51" borderId="24" xfId="0" applyNumberFormat="1" applyFill="1" applyBorder="1" applyAlignment="1">
      <alignment horizontal="center"/>
    </xf>
    <xf numFmtId="1" fontId="0" fillId="64" borderId="24" xfId="0" applyNumberFormat="1" applyFill="1" applyBorder="1" applyAlignment="1">
      <alignment horizontal="center"/>
    </xf>
    <xf numFmtId="1" fontId="0" fillId="53" borderId="43" xfId="0" applyNumberFormat="1" applyFill="1" applyBorder="1" applyAlignment="1">
      <alignment horizontal="center"/>
    </xf>
    <xf numFmtId="0" fontId="11" fillId="0" borderId="14" xfId="0" applyFont="1" applyBorder="1" applyAlignment="1">
      <alignment vertical="top" wrapText="1"/>
    </xf>
    <xf numFmtId="0" fontId="14" fillId="0" borderId="66" xfId="0" applyFont="1" applyBorder="1" applyAlignment="1">
      <alignment horizontal="center" vertical="center" wrapText="1"/>
    </xf>
    <xf numFmtId="0" fontId="10" fillId="0" borderId="16" xfId="0" applyFont="1" applyBorder="1" applyAlignment="1">
      <alignment horizontal="center"/>
    </xf>
    <xf numFmtId="0" fontId="0" fillId="53" borderId="68" xfId="0" applyFill="1" applyBorder="1"/>
    <xf numFmtId="0" fontId="0" fillId="53" borderId="54" xfId="0" applyFill="1" applyBorder="1"/>
    <xf numFmtId="0" fontId="0" fillId="53" borderId="61" xfId="0" applyFill="1" applyBorder="1"/>
    <xf numFmtId="167" fontId="0" fillId="51" borderId="28" xfId="0" applyNumberFormat="1" applyFill="1" applyBorder="1" applyAlignment="1">
      <alignment horizontal="center" vertical="center"/>
    </xf>
    <xf numFmtId="166" fontId="0" fillId="51" borderId="6" xfId="0" applyNumberFormat="1" applyFill="1" applyBorder="1" applyAlignment="1">
      <alignment horizontal="center" vertical="center"/>
    </xf>
    <xf numFmtId="0" fontId="4" fillId="3" borderId="3" xfId="3"/>
    <xf numFmtId="0" fontId="13" fillId="14" borderId="5" xfId="0" applyFont="1" applyFill="1" applyBorder="1" applyAlignment="1">
      <alignment wrapText="1"/>
    </xf>
    <xf numFmtId="0" fontId="13" fillId="14" borderId="8" xfId="0" applyFont="1" applyFill="1" applyBorder="1" applyAlignment="1">
      <alignment wrapText="1"/>
    </xf>
    <xf numFmtId="9" fontId="0" fillId="0" borderId="12" xfId="45" applyFont="1" applyBorder="1" applyAlignment="1">
      <alignment horizontal="center"/>
    </xf>
    <xf numFmtId="9" fontId="0" fillId="0" borderId="0" xfId="45" applyFont="1" applyBorder="1" applyAlignment="1">
      <alignment horizontal="center"/>
    </xf>
    <xf numFmtId="9" fontId="0" fillId="0" borderId="13" xfId="45" applyFont="1" applyBorder="1" applyAlignment="1">
      <alignment horizontal="center"/>
    </xf>
    <xf numFmtId="9" fontId="0" fillId="0" borderId="14" xfId="45" applyFont="1" applyBorder="1" applyAlignment="1">
      <alignment horizontal="center"/>
    </xf>
    <xf numFmtId="9" fontId="0" fillId="0" borderId="15" xfId="45" applyFont="1" applyBorder="1" applyAlignment="1">
      <alignment horizontal="center"/>
    </xf>
    <xf numFmtId="9" fontId="0" fillId="0" borderId="16" xfId="45" applyFont="1" applyBorder="1" applyAlignment="1">
      <alignment horizontal="center"/>
    </xf>
    <xf numFmtId="0" fontId="0" fillId="0" borderId="69" xfId="0" applyBorder="1" applyAlignment="1">
      <alignment horizontal="center"/>
    </xf>
    <xf numFmtId="0" fontId="0" fillId="0" borderId="55" xfId="0" applyBorder="1" applyAlignment="1">
      <alignment horizontal="center"/>
    </xf>
    <xf numFmtId="0" fontId="10" fillId="0" borderId="28" xfId="0" applyFont="1" applyBorder="1" applyAlignment="1">
      <alignment horizontal="right"/>
    </xf>
    <xf numFmtId="0" fontId="10" fillId="0" borderId="32" xfId="0" applyFont="1" applyBorder="1"/>
    <xf numFmtId="0" fontId="1" fillId="0" borderId="2" xfId="0" applyFont="1" applyBorder="1" applyAlignment="1">
      <alignment horizontal="center" vertical="center" wrapText="1"/>
    </xf>
    <xf numFmtId="14" fontId="1" fillId="0" borderId="2" xfId="0" applyNumberFormat="1" applyFont="1" applyBorder="1" applyAlignment="1">
      <alignment horizontal="left" vertical="center" wrapText="1"/>
    </xf>
    <xf numFmtId="164" fontId="1" fillId="60" borderId="2" xfId="0" applyNumberFormat="1" applyFont="1" applyFill="1" applyBorder="1" applyAlignment="1">
      <alignment horizontal="center" vertical="center" wrapText="1"/>
    </xf>
    <xf numFmtId="2" fontId="1" fillId="9" borderId="2" xfId="0" applyNumberFormat="1" applyFont="1" applyFill="1" applyBorder="1" applyAlignment="1">
      <alignment horizontal="center" vertical="center" wrapText="1"/>
    </xf>
    <xf numFmtId="164" fontId="1" fillId="16" borderId="2" xfId="0" applyNumberFormat="1" applyFont="1" applyFill="1" applyBorder="1" applyAlignment="1">
      <alignment horizontal="center" vertical="center" wrapText="1"/>
    </xf>
    <xf numFmtId="164" fontId="28" fillId="51" borderId="5" xfId="0" applyNumberFormat="1" applyFont="1" applyFill="1" applyBorder="1" applyAlignment="1">
      <alignment horizontal="center" vertical="center" wrapText="1"/>
    </xf>
    <xf numFmtId="0" fontId="0" fillId="61" borderId="12" xfId="0" applyFill="1" applyBorder="1" applyAlignment="1">
      <alignment wrapText="1"/>
    </xf>
    <xf numFmtId="164" fontId="0" fillId="61" borderId="0" xfId="0" applyNumberFormat="1" applyFill="1" applyAlignment="1">
      <alignment wrapText="1"/>
    </xf>
    <xf numFmtId="0" fontId="0" fillId="61" borderId="0" xfId="0" applyFill="1" applyAlignment="1">
      <alignment wrapText="1"/>
    </xf>
    <xf numFmtId="164" fontId="10" fillId="61" borderId="0" xfId="0" applyNumberFormat="1" applyFont="1" applyFill="1" applyAlignment="1">
      <alignment wrapText="1"/>
    </xf>
    <xf numFmtId="0" fontId="10" fillId="61" borderId="0" xfId="0" applyFont="1" applyFill="1" applyAlignment="1">
      <alignment wrapText="1"/>
    </xf>
    <xf numFmtId="0" fontId="0" fillId="61" borderId="13" xfId="0" applyFill="1" applyBorder="1" applyAlignment="1">
      <alignment wrapText="1"/>
    </xf>
    <xf numFmtId="1" fontId="0" fillId="0" borderId="0" xfId="0" applyNumberFormat="1" applyAlignment="1">
      <alignment wrapText="1"/>
    </xf>
    <xf numFmtId="0" fontId="0" fillId="0" borderId="0" xfId="0" applyAlignment="1">
      <alignment horizontal="right" wrapText="1"/>
    </xf>
    <xf numFmtId="170" fontId="0" fillId="61" borderId="15" xfId="45" applyNumberFormat="1" applyFont="1" applyFill="1" applyBorder="1" applyAlignment="1"/>
    <xf numFmtId="0" fontId="0" fillId="0" borderId="33" xfId="0" applyBorder="1" applyAlignment="1">
      <alignment horizontal="left"/>
    </xf>
    <xf numFmtId="0" fontId="0" fillId="0" borderId="6" xfId="0" applyBorder="1" applyAlignment="1">
      <alignment horizontal="right"/>
    </xf>
    <xf numFmtId="0" fontId="0" fillId="0" borderId="34" xfId="0" applyBorder="1"/>
    <xf numFmtId="0" fontId="0" fillId="0" borderId="42" xfId="0" applyBorder="1" applyAlignment="1">
      <alignment horizontal="left"/>
    </xf>
    <xf numFmtId="0" fontId="0" fillId="0" borderId="24" xfId="0" applyBorder="1" applyAlignment="1">
      <alignment horizontal="right"/>
    </xf>
    <xf numFmtId="0" fontId="0" fillId="0" borderId="43" xfId="0" applyBorder="1"/>
    <xf numFmtId="0" fontId="10" fillId="0" borderId="71" xfId="0" applyFont="1" applyBorder="1" applyAlignment="1">
      <alignment horizontal="right"/>
    </xf>
    <xf numFmtId="0" fontId="10" fillId="0" borderId="61" xfId="0" applyFont="1" applyBorder="1"/>
    <xf numFmtId="0" fontId="10" fillId="0" borderId="30" xfId="0" applyFont="1" applyBorder="1" applyAlignment="1">
      <alignment horizontal="left"/>
    </xf>
    <xf numFmtId="2" fontId="0" fillId="0" borderId="0" xfId="0" applyNumberFormat="1" applyAlignment="1">
      <alignment horizontal="center"/>
    </xf>
    <xf numFmtId="0" fontId="0" fillId="10" borderId="44" xfId="0" applyFill="1" applyBorder="1" applyAlignment="1">
      <alignment horizontal="center" vertical="center" wrapText="1"/>
    </xf>
    <xf numFmtId="0" fontId="0" fillId="66" borderId="44" xfId="0" applyFill="1" applyBorder="1" applyAlignment="1">
      <alignment horizontal="center" vertical="center" wrapText="1"/>
    </xf>
    <xf numFmtId="0" fontId="5" fillId="15" borderId="7" xfId="0" applyFont="1" applyFill="1" applyBorder="1" applyAlignment="1">
      <alignment wrapText="1"/>
    </xf>
    <xf numFmtId="0" fontId="5" fillId="15" borderId="5" xfId="0" applyFont="1" applyFill="1" applyBorder="1" applyAlignment="1">
      <alignment wrapText="1"/>
    </xf>
    <xf numFmtId="0" fontId="5" fillId="15" borderId="8" xfId="0" applyFont="1" applyFill="1" applyBorder="1" applyAlignment="1">
      <alignment wrapText="1"/>
    </xf>
    <xf numFmtId="0" fontId="13" fillId="14" borderId="7" xfId="0" applyFont="1" applyFill="1" applyBorder="1" applyAlignment="1">
      <alignment wrapText="1"/>
    </xf>
    <xf numFmtId="0" fontId="0" fillId="8" borderId="44" xfId="0" applyFill="1" applyBorder="1" applyAlignment="1">
      <alignment vertical="top" wrapText="1"/>
    </xf>
    <xf numFmtId="0" fontId="0" fillId="67" borderId="44" xfId="0" applyFill="1" applyBorder="1" applyAlignment="1">
      <alignment horizontal="center" vertical="center" wrapText="1"/>
    </xf>
    <xf numFmtId="171" fontId="0" fillId="0" borderId="0" xfId="0" applyNumberFormat="1"/>
    <xf numFmtId="172" fontId="0" fillId="0" borderId="0" xfId="0" applyNumberFormat="1"/>
    <xf numFmtId="173" fontId="0" fillId="0" borderId="0" xfId="0" applyNumberFormat="1"/>
    <xf numFmtId="174" fontId="0" fillId="0" borderId="0" xfId="0" applyNumberFormat="1"/>
    <xf numFmtId="175" fontId="0" fillId="0" borderId="0" xfId="0" applyNumberFormat="1"/>
    <xf numFmtId="176" fontId="0" fillId="0" borderId="0" xfId="0" applyNumberFormat="1"/>
    <xf numFmtId="0" fontId="12" fillId="0" borderId="0" xfId="48"/>
    <xf numFmtId="0" fontId="0" fillId="68" borderId="44" xfId="0" applyFill="1" applyBorder="1" applyAlignment="1">
      <alignment vertical="center" wrapText="1"/>
    </xf>
    <xf numFmtId="0" fontId="10" fillId="15" borderId="6" xfId="0" applyFont="1" applyFill="1" applyBorder="1" applyAlignment="1">
      <alignment vertical="top" wrapText="1"/>
    </xf>
    <xf numFmtId="0" fontId="10" fillId="15" borderId="6" xfId="0" applyFont="1" applyFill="1" applyBorder="1" applyAlignment="1">
      <alignment horizontal="center" vertical="center" wrapText="1"/>
    </xf>
    <xf numFmtId="0" fontId="10" fillId="15" borderId="6" xfId="0" applyFont="1" applyFill="1" applyBorder="1" applyAlignment="1">
      <alignment horizontal="center" vertical="top" wrapText="1"/>
    </xf>
    <xf numFmtId="0" fontId="13" fillId="14" borderId="7" xfId="0" applyFont="1" applyFill="1" applyBorder="1"/>
    <xf numFmtId="49" fontId="0" fillId="0" borderId="72" xfId="0" applyNumberFormat="1" applyBorder="1"/>
    <xf numFmtId="49" fontId="0" fillId="0" borderId="73" xfId="0" applyNumberFormat="1" applyBorder="1"/>
    <xf numFmtId="49" fontId="0" fillId="0" borderId="74" xfId="0" applyNumberFormat="1" applyBorder="1"/>
    <xf numFmtId="0" fontId="16" fillId="0" borderId="72" xfId="0" applyFont="1" applyBorder="1" applyAlignment="1">
      <alignment vertical="center" wrapText="1"/>
    </xf>
    <xf numFmtId="0" fontId="16" fillId="0" borderId="73" xfId="0" applyFont="1" applyBorder="1" applyAlignment="1">
      <alignment vertical="center" wrapText="1"/>
    </xf>
    <xf numFmtId="0" fontId="16" fillId="0" borderId="74" xfId="0" applyFont="1" applyBorder="1" applyAlignment="1">
      <alignment vertical="center" wrapText="1"/>
    </xf>
    <xf numFmtId="0" fontId="0" fillId="0" borderId="73" xfId="0" applyBorder="1" applyAlignment="1">
      <alignment vertical="center" wrapText="1"/>
    </xf>
    <xf numFmtId="0" fontId="33" fillId="0" borderId="0" xfId="0" applyFont="1" applyAlignment="1">
      <alignment horizontal="center"/>
    </xf>
    <xf numFmtId="0" fontId="10" fillId="0" borderId="10" xfId="0" applyFont="1" applyBorder="1"/>
    <xf numFmtId="0" fontId="10" fillId="0" borderId="10" xfId="0" applyFont="1" applyBorder="1" applyAlignment="1">
      <alignment horizontal="center"/>
    </xf>
    <xf numFmtId="0" fontId="16" fillId="0" borderId="0" xfId="0" applyFont="1" applyAlignment="1">
      <alignment vertical="center" wrapText="1"/>
    </xf>
    <xf numFmtId="0" fontId="16" fillId="0" borderId="72" xfId="0" applyFont="1" applyBorder="1" applyAlignment="1">
      <alignment horizontal="center" vertical="center" wrapText="1"/>
    </xf>
    <xf numFmtId="0" fontId="16" fillId="0" borderId="73" xfId="0" applyFont="1" applyBorder="1" applyAlignment="1">
      <alignment horizontal="center" vertical="center" wrapText="1"/>
    </xf>
    <xf numFmtId="0" fontId="0" fillId="0" borderId="73" xfId="0" applyBorder="1" applyAlignment="1">
      <alignment horizontal="center" vertical="center" wrapText="1"/>
    </xf>
    <xf numFmtId="0" fontId="0" fillId="0" borderId="74" xfId="0" applyBorder="1" applyAlignment="1">
      <alignment horizontal="center" vertical="center" wrapText="1"/>
    </xf>
    <xf numFmtId="0" fontId="16" fillId="0" borderId="74" xfId="0" applyFont="1" applyBorder="1" applyAlignment="1">
      <alignment horizontal="center" vertical="center" wrapText="1"/>
    </xf>
    <xf numFmtId="0" fontId="1" fillId="51" borderId="1" xfId="0" applyFont="1" applyFill="1" applyBorder="1" applyAlignment="1">
      <alignment horizontal="center" vertical="top" wrapText="1"/>
    </xf>
    <xf numFmtId="165" fontId="1" fillId="51" borderId="2" xfId="0" applyNumberFormat="1" applyFont="1" applyFill="1" applyBorder="1" applyAlignment="1">
      <alignment horizontal="center" vertical="center"/>
    </xf>
    <xf numFmtId="165" fontId="28" fillId="51" borderId="2" xfId="0" applyNumberFormat="1" applyFont="1" applyFill="1" applyBorder="1" applyAlignment="1">
      <alignment horizontal="center" vertical="center"/>
    </xf>
    <xf numFmtId="14" fontId="1" fillId="0" borderId="2" xfId="0" applyNumberFormat="1" applyFont="1" applyBorder="1" applyAlignment="1">
      <alignment horizontal="left" vertical="center"/>
    </xf>
    <xf numFmtId="0" fontId="1" fillId="15" borderId="2" xfId="0" applyFont="1" applyFill="1" applyBorder="1" applyAlignment="1">
      <alignment horizontal="left" vertical="center"/>
    </xf>
    <xf numFmtId="2" fontId="1" fillId="12" borderId="2" xfId="0" applyNumberFormat="1" applyFont="1" applyFill="1" applyBorder="1" applyAlignment="1">
      <alignment horizontal="center" vertical="center"/>
    </xf>
    <xf numFmtId="0" fontId="28" fillId="15" borderId="2" xfId="0" applyFont="1" applyFill="1" applyBorder="1" applyAlignment="1">
      <alignment horizontal="left" vertical="center"/>
    </xf>
    <xf numFmtId="2" fontId="28" fillId="12" borderId="2" xfId="0" applyNumberFormat="1" applyFont="1" applyFill="1" applyBorder="1" applyAlignment="1">
      <alignment horizontal="center" vertical="center"/>
    </xf>
    <xf numFmtId="164" fontId="28" fillId="45" borderId="2" xfId="0" applyNumberFormat="1" applyFont="1" applyFill="1" applyBorder="1" applyAlignment="1">
      <alignment horizontal="center" vertical="center"/>
    </xf>
    <xf numFmtId="165" fontId="1" fillId="45" borderId="2" xfId="0" applyNumberFormat="1" applyFont="1" applyFill="1" applyBorder="1" applyAlignment="1">
      <alignment horizontal="center" vertical="center"/>
    </xf>
    <xf numFmtId="165" fontId="28" fillId="45" borderId="2" xfId="0" applyNumberFormat="1" applyFont="1" applyFill="1" applyBorder="1" applyAlignment="1">
      <alignment horizontal="center" vertical="center"/>
    </xf>
    <xf numFmtId="0" fontId="1" fillId="0" borderId="1" xfId="0" applyFont="1" applyBorder="1" applyAlignment="1">
      <alignment horizontal="center" vertical="top" wrapText="1"/>
    </xf>
    <xf numFmtId="0" fontId="1" fillId="49" borderId="1" xfId="0" applyFont="1" applyFill="1" applyBorder="1" applyAlignment="1">
      <alignment horizontal="center" vertical="top" wrapText="1"/>
    </xf>
    <xf numFmtId="0" fontId="1" fillId="44" borderId="1" xfId="0" applyFont="1" applyFill="1" applyBorder="1" applyAlignment="1">
      <alignment horizontal="center" vertical="top" wrapText="1"/>
    </xf>
    <xf numFmtId="0" fontId="1" fillId="15" borderId="1" xfId="0" applyFont="1" applyFill="1" applyBorder="1" applyAlignment="1">
      <alignment horizontal="center" vertical="top" wrapText="1"/>
    </xf>
    <xf numFmtId="0" fontId="1" fillId="12" borderId="1" xfId="0" applyFont="1" applyFill="1" applyBorder="1" applyAlignment="1">
      <alignment horizontal="center" vertical="top" wrapText="1"/>
    </xf>
    <xf numFmtId="0" fontId="1" fillId="45" borderId="1" xfId="0" applyFont="1" applyFill="1" applyBorder="1" applyAlignment="1">
      <alignment horizontal="center" vertical="top" wrapText="1"/>
    </xf>
    <xf numFmtId="0" fontId="1" fillId="0" borderId="2" xfId="0" applyFont="1" applyBorder="1" applyAlignment="1">
      <alignment horizontal="center" vertical="center"/>
    </xf>
    <xf numFmtId="0" fontId="1" fillId="0" borderId="2" xfId="0" applyFont="1" applyBorder="1" applyAlignment="1">
      <alignment horizontal="left" vertical="center" wrapText="1"/>
    </xf>
    <xf numFmtId="1" fontId="1" fillId="44" borderId="2" xfId="0" applyNumberFormat="1" applyFont="1" applyFill="1" applyBorder="1" applyAlignment="1">
      <alignment horizontal="center"/>
    </xf>
    <xf numFmtId="1" fontId="28" fillId="44" borderId="2" xfId="0" applyNumberFormat="1" applyFont="1" applyFill="1" applyBorder="1" applyAlignment="1">
      <alignment horizontal="center"/>
    </xf>
    <xf numFmtId="169" fontId="1" fillId="15" borderId="2" xfId="0" applyNumberFormat="1" applyFont="1" applyFill="1" applyBorder="1" applyAlignment="1">
      <alignment horizontal="left" vertical="center"/>
    </xf>
    <xf numFmtId="167" fontId="1" fillId="15" borderId="2" xfId="0" applyNumberFormat="1" applyFont="1" applyFill="1" applyBorder="1" applyAlignment="1">
      <alignment horizontal="left" vertical="center"/>
    </xf>
    <xf numFmtId="0" fontId="1" fillId="0" borderId="1" xfId="0" applyFont="1" applyBorder="1" applyAlignment="1">
      <alignment horizontal="right" vertical="top" wrapText="1"/>
    </xf>
    <xf numFmtId="0" fontId="1" fillId="0" borderId="0" xfId="0" applyFont="1" applyAlignment="1">
      <alignment horizontal="center" vertical="center"/>
    </xf>
    <xf numFmtId="0" fontId="1" fillId="0" borderId="48" xfId="0" applyFont="1" applyBorder="1" applyAlignment="1">
      <alignment horizontal="center" vertical="center"/>
    </xf>
    <xf numFmtId="0" fontId="1" fillId="49" borderId="2" xfId="0" applyFont="1" applyFill="1" applyBorder="1" applyAlignment="1">
      <alignment horizontal="center" vertical="center"/>
    </xf>
    <xf numFmtId="165" fontId="1" fillId="45" borderId="75" xfId="0" applyNumberFormat="1" applyFont="1" applyFill="1" applyBorder="1" applyAlignment="1">
      <alignment horizontal="center" vertical="center"/>
    </xf>
    <xf numFmtId="165" fontId="1" fillId="45" borderId="48" xfId="0" applyNumberFormat="1" applyFont="1" applyFill="1" applyBorder="1" applyAlignment="1">
      <alignment horizontal="center" vertical="center"/>
    </xf>
    <xf numFmtId="0" fontId="1" fillId="0" borderId="33" xfId="0" applyFont="1" applyBorder="1" applyAlignment="1">
      <alignment horizontal="center" vertical="top" wrapText="1"/>
    </xf>
    <xf numFmtId="14" fontId="1" fillId="0" borderId="2" xfId="0" applyNumberFormat="1" applyFont="1" applyBorder="1" applyAlignment="1">
      <alignment horizontal="center" vertical="center"/>
    </xf>
    <xf numFmtId="165"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69" borderId="1" xfId="0" applyFont="1" applyFill="1" applyBorder="1" applyAlignment="1">
      <alignment horizontal="center" vertical="top" wrapText="1"/>
    </xf>
    <xf numFmtId="2" fontId="1" fillId="0" borderId="2" xfId="0" applyNumberFormat="1" applyFont="1" applyBorder="1" applyAlignment="1">
      <alignment horizontal="center" vertical="center"/>
    </xf>
    <xf numFmtId="2" fontId="28" fillId="0" borderId="2" xfId="0" applyNumberFormat="1" applyFont="1" applyBorder="1" applyAlignment="1">
      <alignment horizontal="center" vertical="center"/>
    </xf>
    <xf numFmtId="0" fontId="1" fillId="43" borderId="1" xfId="0" applyFont="1" applyFill="1" applyBorder="1" applyAlignment="1">
      <alignment horizontal="center" vertical="top" wrapText="1"/>
    </xf>
    <xf numFmtId="0" fontId="0" fillId="4" borderId="0" xfId="0" applyFill="1" applyAlignment="1">
      <alignment horizontal="center"/>
    </xf>
    <xf numFmtId="0" fontId="10" fillId="0" borderId="0" xfId="0" applyFont="1" applyAlignment="1">
      <alignment horizontal="right"/>
    </xf>
    <xf numFmtId="165" fontId="0" fillId="0" borderId="0" xfId="0" applyNumberFormat="1" applyAlignment="1">
      <alignment horizontal="center"/>
    </xf>
    <xf numFmtId="170" fontId="0" fillId="0" borderId="0" xfId="45" applyNumberFormat="1" applyFont="1" applyAlignment="1">
      <alignment horizontal="center"/>
    </xf>
    <xf numFmtId="0" fontId="10" fillId="4" borderId="0" xfId="0" applyFont="1" applyFill="1" applyAlignment="1">
      <alignment horizontal="center"/>
    </xf>
    <xf numFmtId="2" fontId="0" fillId="4" borderId="0" xfId="0" applyNumberFormat="1" applyFill="1" applyAlignment="1">
      <alignment horizontal="center"/>
    </xf>
    <xf numFmtId="170" fontId="0" fillId="4" borderId="0" xfId="0" applyNumberFormat="1" applyFill="1" applyAlignment="1">
      <alignment horizontal="center"/>
    </xf>
    <xf numFmtId="170" fontId="0" fillId="4" borderId="0" xfId="45" applyNumberFormat="1" applyFont="1" applyFill="1" applyAlignment="1">
      <alignment horizontal="center"/>
    </xf>
    <xf numFmtId="170" fontId="0" fillId="0" borderId="0" xfId="45" applyNumberFormat="1" applyFont="1" applyFill="1" applyAlignment="1">
      <alignment horizontal="center"/>
    </xf>
    <xf numFmtId="0" fontId="1" fillId="0" borderId="2" xfId="0" applyFont="1" applyBorder="1" applyAlignment="1">
      <alignment horizontal="left" vertical="center"/>
    </xf>
    <xf numFmtId="0" fontId="10" fillId="4" borderId="0" xfId="0" applyFont="1" applyFill="1"/>
    <xf numFmtId="0" fontId="0" fillId="0" borderId="2" xfId="0" applyBorder="1" applyAlignment="1">
      <alignment horizontal="center" vertical="top" wrapText="1"/>
    </xf>
    <xf numFmtId="0" fontId="35" fillId="10" borderId="6" xfId="0" applyFont="1" applyFill="1" applyBorder="1" applyAlignment="1">
      <alignment horizontal="center" vertical="top" wrapText="1"/>
    </xf>
    <xf numFmtId="0" fontId="35" fillId="13" borderId="44" xfId="0" applyFont="1" applyFill="1" applyBorder="1" applyAlignment="1">
      <alignment vertical="top" wrapText="1"/>
    </xf>
    <xf numFmtId="0" fontId="0" fillId="0" borderId="6" xfId="0" applyBorder="1" applyAlignment="1">
      <alignment horizontal="center" vertical="center" wrapText="1"/>
    </xf>
    <xf numFmtId="0" fontId="0" fillId="0" borderId="6" xfId="0" applyBorder="1" applyAlignment="1">
      <alignment horizontal="center" vertical="top" wrapText="1"/>
    </xf>
    <xf numFmtId="0" fontId="0" fillId="0" borderId="44" xfId="0" applyBorder="1" applyAlignment="1">
      <alignment horizontal="center" vertical="center" wrapText="1"/>
    </xf>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167" fontId="1" fillId="4" borderId="5" xfId="0" applyNumberFormat="1" applyFont="1" applyFill="1" applyBorder="1" applyAlignment="1">
      <alignment horizontal="left" vertical="top"/>
    </xf>
    <xf numFmtId="169" fontId="1" fillId="4" borderId="5" xfId="0" applyNumberFormat="1" applyFont="1" applyFill="1" applyBorder="1" applyAlignment="1">
      <alignment horizontal="left" vertical="top"/>
    </xf>
    <xf numFmtId="0" fontId="1" fillId="4" borderId="52" xfId="0" applyFont="1" applyFill="1" applyBorder="1" applyAlignment="1">
      <alignment horizontal="center" vertical="top"/>
    </xf>
    <xf numFmtId="0" fontId="1" fillId="70" borderId="2" xfId="0" applyFont="1" applyFill="1" applyBorder="1" applyAlignment="1">
      <alignment horizontal="center" vertical="center"/>
    </xf>
    <xf numFmtId="0" fontId="28" fillId="45" borderId="1" xfId="0" applyFont="1" applyFill="1" applyBorder="1" applyAlignment="1">
      <alignment horizontal="center" vertical="top" wrapText="1"/>
    </xf>
    <xf numFmtId="0" fontId="37" fillId="4" borderId="5" xfId="0" applyFont="1" applyFill="1" applyBorder="1" applyAlignment="1">
      <alignment horizontal="center" vertical="top"/>
    </xf>
    <xf numFmtId="0" fontId="38" fillId="45" borderId="1" xfId="0" applyFont="1" applyFill="1" applyBorder="1" applyAlignment="1">
      <alignment horizontal="center" vertical="top" wrapText="1"/>
    </xf>
    <xf numFmtId="0" fontId="39" fillId="45" borderId="1" xfId="0" applyFont="1" applyFill="1" applyBorder="1" applyAlignment="1">
      <alignment horizontal="center" vertical="top" wrapText="1"/>
    </xf>
    <xf numFmtId="0" fontId="39" fillId="43" borderId="1" xfId="0" applyFont="1" applyFill="1" applyBorder="1" applyAlignment="1">
      <alignment horizontal="center" vertical="top" wrapText="1"/>
    </xf>
    <xf numFmtId="0" fontId="39" fillId="0" borderId="2" xfId="0" applyFont="1" applyBorder="1" applyAlignment="1">
      <alignment horizontal="center"/>
    </xf>
    <xf numFmtId="0" fontId="0" fillId="0" borderId="33" xfId="0" applyBorder="1"/>
    <xf numFmtId="1" fontId="0" fillId="9" borderId="51" xfId="0" applyNumberFormat="1" applyFill="1" applyBorder="1"/>
    <xf numFmtId="0" fontId="0" fillId="0" borderId="31" xfId="0" applyBorder="1"/>
    <xf numFmtId="166" fontId="0" fillId="9" borderId="44" xfId="0" applyNumberFormat="1" applyFill="1" applyBorder="1"/>
    <xf numFmtId="0" fontId="0" fillId="0" borderId="29" xfId="0" applyBorder="1"/>
    <xf numFmtId="167" fontId="0" fillId="9" borderId="44" xfId="0" applyNumberFormat="1" applyFill="1" applyBorder="1"/>
    <xf numFmtId="0" fontId="0" fillId="0" borderId="30" xfId="0" applyBorder="1"/>
    <xf numFmtId="167" fontId="0" fillId="9" borderId="6" xfId="0" applyNumberFormat="1" applyFill="1" applyBorder="1"/>
    <xf numFmtId="0" fontId="0" fillId="0" borderId="32" xfId="0" applyBorder="1"/>
    <xf numFmtId="0" fontId="0" fillId="4" borderId="39" xfId="0" applyFill="1" applyBorder="1" applyAlignment="1">
      <alignment vertical="top" wrapText="1"/>
    </xf>
    <xf numFmtId="0" fontId="0" fillId="4" borderId="0" xfId="0" applyFill="1" applyAlignment="1">
      <alignment horizontal="right"/>
    </xf>
    <xf numFmtId="0" fontId="0" fillId="4" borderId="28" xfId="0" applyFill="1" applyBorder="1" applyAlignment="1">
      <alignment horizontal="center"/>
    </xf>
    <xf numFmtId="0" fontId="0" fillId="0" borderId="1" xfId="0" applyBorder="1"/>
    <xf numFmtId="164" fontId="0" fillId="0" borderId="24" xfId="0" applyNumberFormat="1" applyBorder="1" applyAlignment="1">
      <alignment horizontal="center" vertical="center"/>
    </xf>
    <xf numFmtId="164" fontId="0" fillId="15" borderId="24" xfId="0" applyNumberFormat="1" applyFill="1" applyBorder="1" applyAlignment="1">
      <alignment horizontal="center" vertical="center"/>
    </xf>
    <xf numFmtId="0" fontId="0" fillId="0" borderId="6" xfId="0" applyBorder="1"/>
    <xf numFmtId="164" fontId="0" fillId="15" borderId="6" xfId="0" applyNumberFormat="1" applyFill="1" applyBorder="1" applyAlignment="1">
      <alignment horizontal="center" vertical="center"/>
    </xf>
    <xf numFmtId="0" fontId="0" fillId="0" borderId="66" xfId="0" applyBorder="1"/>
    <xf numFmtId="164" fontId="0" fillId="0" borderId="15" xfId="0" applyNumberFormat="1" applyBorder="1"/>
    <xf numFmtId="164" fontId="0" fillId="0" borderId="15" xfId="0" applyNumberFormat="1" applyBorder="1" applyAlignment="1">
      <alignment horizontal="right"/>
    </xf>
    <xf numFmtId="10" fontId="0" fillId="0" borderId="15" xfId="0" applyNumberFormat="1" applyBorder="1"/>
    <xf numFmtId="0" fontId="0" fillId="4" borderId="40" xfId="0" applyFill="1" applyBorder="1" applyAlignment="1">
      <alignment horizontal="right"/>
    </xf>
    <xf numFmtId="0" fontId="0" fillId="4" borderId="42" xfId="0" applyFill="1" applyBorder="1"/>
    <xf numFmtId="0" fontId="0" fillId="4" borderId="24" xfId="0" applyFill="1" applyBorder="1" applyAlignment="1">
      <alignment horizontal="center"/>
    </xf>
    <xf numFmtId="0" fontId="0" fillId="4" borderId="43" xfId="0" applyFill="1" applyBorder="1" applyAlignment="1">
      <alignment horizontal="center"/>
    </xf>
    <xf numFmtId="0" fontId="0" fillId="0" borderId="31" xfId="0" applyBorder="1" applyAlignment="1">
      <alignment horizontal="right"/>
    </xf>
    <xf numFmtId="164" fontId="0" fillId="0" borderId="6" xfId="0" applyNumberFormat="1" applyBorder="1" applyAlignment="1">
      <alignment horizontal="center"/>
    </xf>
    <xf numFmtId="164" fontId="0" fillId="0" borderId="29" xfId="0" applyNumberFormat="1" applyBorder="1" applyAlignment="1">
      <alignment horizontal="center"/>
    </xf>
    <xf numFmtId="0" fontId="0" fillId="0" borderId="30" xfId="0" applyBorder="1" applyAlignment="1">
      <alignment horizontal="right"/>
    </xf>
    <xf numFmtId="164" fontId="0" fillId="0" borderId="28" xfId="0" applyNumberFormat="1" applyBorder="1" applyAlignment="1">
      <alignment horizontal="center"/>
    </xf>
    <xf numFmtId="164" fontId="0" fillId="0" borderId="32" xfId="0" applyNumberFormat="1" applyBorder="1" applyAlignment="1">
      <alignment horizontal="center"/>
    </xf>
    <xf numFmtId="0" fontId="0" fillId="4" borderId="6" xfId="0" applyFill="1" applyBorder="1"/>
    <xf numFmtId="0" fontId="0" fillId="4" borderId="29" xfId="0" applyFill="1" applyBorder="1"/>
    <xf numFmtId="0" fontId="0" fillId="0" borderId="28" xfId="0" applyBorder="1" applyAlignment="1">
      <alignment horizontal="center"/>
    </xf>
    <xf numFmtId="0" fontId="0" fillId="0" borderId="32" xfId="0" applyBorder="1" applyAlignment="1">
      <alignment horizontal="center"/>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9" borderId="7" xfId="0" applyFill="1" applyBorder="1"/>
    <xf numFmtId="0" fontId="0" fillId="9" borderId="5" xfId="0" applyFill="1" applyBorder="1"/>
    <xf numFmtId="0" fontId="0" fillId="9" borderId="52" xfId="0" applyFill="1" applyBorder="1"/>
    <xf numFmtId="0" fontId="0" fillId="4" borderId="42" xfId="0" applyFill="1" applyBorder="1" applyAlignment="1">
      <alignment horizontal="center"/>
    </xf>
    <xf numFmtId="1" fontId="0" fillId="0" borderId="6" xfId="0" applyNumberFormat="1" applyBorder="1" applyAlignment="1">
      <alignment horizontal="center"/>
    </xf>
    <xf numFmtId="0" fontId="0" fillId="0" borderId="7" xfId="0" applyBorder="1" applyAlignment="1">
      <alignment horizontal="right"/>
    </xf>
    <xf numFmtId="1" fontId="0" fillId="0" borderId="5" xfId="0" applyNumberFormat="1" applyBorder="1" applyAlignment="1">
      <alignment horizontal="center"/>
    </xf>
    <xf numFmtId="164" fontId="0" fillId="0" borderId="5" xfId="0" applyNumberFormat="1" applyBorder="1" applyAlignment="1">
      <alignment horizontal="right"/>
    </xf>
    <xf numFmtId="0" fontId="0" fillId="57" borderId="7" xfId="0" applyFill="1" applyBorder="1"/>
    <xf numFmtId="0" fontId="0" fillId="57" borderId="5" xfId="0" applyFill="1" applyBorder="1"/>
    <xf numFmtId="0" fontId="0" fillId="57" borderId="52" xfId="0" applyFill="1" applyBorder="1"/>
    <xf numFmtId="1" fontId="0" fillId="0" borderId="7" xfId="0" applyNumberFormat="1" applyBorder="1" applyAlignment="1">
      <alignment horizontal="center"/>
    </xf>
    <xf numFmtId="0" fontId="0" fillId="58" borderId="7" xfId="0" applyFill="1" applyBorder="1"/>
    <xf numFmtId="0" fontId="0" fillId="58" borderId="5" xfId="0" applyFill="1" applyBorder="1"/>
    <xf numFmtId="0" fontId="0" fillId="58" borderId="52" xfId="0" applyFill="1" applyBorder="1"/>
    <xf numFmtId="0" fontId="0" fillId="0" borderId="45" xfId="0" applyBorder="1"/>
    <xf numFmtId="10" fontId="0" fillId="0" borderId="57" xfId="0" applyNumberFormat="1" applyBorder="1" applyAlignment="1">
      <alignment horizontal="center"/>
    </xf>
    <xf numFmtId="0" fontId="0" fillId="64" borderId="7" xfId="0" applyFill="1" applyBorder="1"/>
    <xf numFmtId="0" fontId="0" fillId="64" borderId="5" xfId="0" applyFill="1" applyBorder="1"/>
    <xf numFmtId="0" fontId="0" fillId="64" borderId="52" xfId="0" applyFill="1" applyBorder="1"/>
    <xf numFmtId="165" fontId="0" fillId="0" borderId="0" xfId="0" applyNumberFormat="1"/>
    <xf numFmtId="10" fontId="0" fillId="0" borderId="0" xfId="45" applyNumberFormat="1" applyFont="1"/>
    <xf numFmtId="170" fontId="0" fillId="0" borderId="0" xfId="45" applyNumberFormat="1" applyFont="1"/>
    <xf numFmtId="0" fontId="0" fillId="9" borderId="0" xfId="0" applyFill="1"/>
    <xf numFmtId="165" fontId="1" fillId="43" borderId="48" xfId="0" applyNumberFormat="1" applyFont="1" applyFill="1" applyBorder="1" applyAlignment="1">
      <alignment horizontal="center" vertical="center"/>
    </xf>
    <xf numFmtId="164" fontId="1" fillId="0" borderId="0" xfId="0" applyNumberFormat="1" applyFont="1" applyAlignment="1">
      <alignment horizontal="center" vertical="center"/>
    </xf>
    <xf numFmtId="0" fontId="36" fillId="0" borderId="0" xfId="0" applyFont="1" applyAlignment="1">
      <alignment horizontal="center"/>
    </xf>
    <xf numFmtId="0" fontId="36" fillId="0" borderId="0" xfId="0" applyFont="1"/>
    <xf numFmtId="0" fontId="13" fillId="9" borderId="6" xfId="0" applyFont="1" applyFill="1" applyBorder="1" applyAlignment="1">
      <alignment horizontal="center" textRotation="45" wrapText="1"/>
    </xf>
    <xf numFmtId="0" fontId="13" fillId="14" borderId="5" xfId="0" applyFont="1" applyFill="1" applyBorder="1" applyAlignment="1">
      <alignment horizontal="center" wrapText="1"/>
    </xf>
    <xf numFmtId="0" fontId="5" fillId="15" borderId="5" xfId="0" applyFont="1" applyFill="1" applyBorder="1" applyAlignment="1">
      <alignment horizontal="center" wrapText="1"/>
    </xf>
    <xf numFmtId="170" fontId="0" fillId="0" borderId="0" xfId="45" applyNumberFormat="1" applyFont="1" applyFill="1" applyBorder="1" applyAlignment="1"/>
    <xf numFmtId="164" fontId="10" fillId="0" borderId="0" xfId="0" applyNumberFormat="1" applyFont="1" applyAlignment="1">
      <alignment horizontal="center"/>
    </xf>
    <xf numFmtId="10" fontId="0" fillId="0" borderId="0" xfId="45" applyNumberFormat="1" applyFont="1" applyFill="1"/>
    <xf numFmtId="170" fontId="0" fillId="0" borderId="0" xfId="0" applyNumberFormat="1"/>
    <xf numFmtId="9" fontId="0" fillId="0" borderId="0" xfId="45" applyFont="1" applyFill="1"/>
    <xf numFmtId="164" fontId="40" fillId="51" borderId="5" xfId="0" applyNumberFormat="1" applyFont="1" applyFill="1" applyBorder="1" applyAlignment="1">
      <alignment horizontal="center" vertical="center"/>
    </xf>
    <xf numFmtId="1" fontId="40" fillId="60" borderId="5" xfId="0" applyNumberFormat="1" applyFont="1" applyFill="1" applyBorder="1" applyAlignment="1">
      <alignment horizontal="center" vertical="center"/>
    </xf>
    <xf numFmtId="0" fontId="39" fillId="0" borderId="0" xfId="0" applyFont="1"/>
    <xf numFmtId="0" fontId="39" fillId="0" borderId="0" xfId="0" applyFont="1" applyAlignment="1">
      <alignment horizontal="center"/>
    </xf>
    <xf numFmtId="0" fontId="38" fillId="0" borderId="0" xfId="0" applyFont="1"/>
    <xf numFmtId="0" fontId="38" fillId="0" borderId="0" xfId="0" applyFont="1" applyAlignment="1">
      <alignment horizontal="center"/>
    </xf>
    <xf numFmtId="0" fontId="38" fillId="0" borderId="0" xfId="0" applyFont="1" applyAlignment="1">
      <alignment wrapText="1"/>
    </xf>
    <xf numFmtId="0" fontId="38" fillId="0" borderId="0" xfId="0" applyFont="1" applyAlignment="1">
      <alignment horizontal="left"/>
    </xf>
    <xf numFmtId="164" fontId="39" fillId="0" borderId="0" xfId="0" applyNumberFormat="1" applyFont="1"/>
    <xf numFmtId="0" fontId="37" fillId="0" borderId="0" xfId="0" applyFont="1"/>
    <xf numFmtId="164" fontId="37" fillId="0" borderId="0" xfId="0" applyNumberFormat="1" applyFont="1"/>
    <xf numFmtId="0" fontId="39" fillId="0" borderId="0" xfId="0" applyFont="1" applyAlignment="1">
      <alignment wrapText="1"/>
    </xf>
    <xf numFmtId="0" fontId="39" fillId="0" borderId="0" xfId="0" applyFont="1" applyAlignment="1">
      <alignment horizontal="left"/>
    </xf>
    <xf numFmtId="164" fontId="39" fillId="48" borderId="26" xfId="0" applyNumberFormat="1" applyFont="1" applyFill="1" applyBorder="1"/>
    <xf numFmtId="0" fontId="37" fillId="0" borderId="0" xfId="0" applyFont="1" applyAlignment="1">
      <alignment horizontal="center"/>
    </xf>
    <xf numFmtId="0" fontId="39" fillId="0" borderId="15" xfId="0" applyFont="1" applyBorder="1"/>
    <xf numFmtId="0" fontId="39" fillId="0" borderId="15" xfId="0" applyFont="1" applyBorder="1" applyAlignment="1">
      <alignment horizontal="center"/>
    </xf>
    <xf numFmtId="0" fontId="39" fillId="0" borderId="15" xfId="0" applyFont="1" applyBorder="1" applyAlignment="1">
      <alignment wrapText="1"/>
    </xf>
    <xf numFmtId="164" fontId="38" fillId="45" borderId="15" xfId="0" applyNumberFormat="1" applyFont="1" applyFill="1" applyBorder="1" applyAlignment="1">
      <alignment horizontal="centerContinuous"/>
    </xf>
    <xf numFmtId="2" fontId="40" fillId="45" borderId="15" xfId="0" applyNumberFormat="1" applyFont="1" applyFill="1" applyBorder="1" applyAlignment="1">
      <alignment horizontal="centerContinuous"/>
    </xf>
    <xf numFmtId="164" fontId="40" fillId="45" borderId="15" xfId="0" applyNumberFormat="1" applyFont="1" applyFill="1" applyBorder="1" applyAlignment="1">
      <alignment horizontal="centerContinuous"/>
    </xf>
    <xf numFmtId="2" fontId="38" fillId="45" borderId="15" xfId="0" applyNumberFormat="1" applyFont="1" applyFill="1" applyBorder="1" applyAlignment="1">
      <alignment horizontal="centerContinuous"/>
    </xf>
    <xf numFmtId="0" fontId="38" fillId="43" borderId="15" xfId="0" applyFont="1" applyFill="1" applyBorder="1"/>
    <xf numFmtId="0" fontId="39" fillId="0" borderId="10" xfId="0" applyFont="1" applyBorder="1" applyAlignment="1">
      <alignment horizontal="center" vertical="top" wrapText="1"/>
    </xf>
    <xf numFmtId="0" fontId="39" fillId="0" borderId="11" xfId="0" applyFont="1" applyBorder="1" applyAlignment="1">
      <alignment horizontal="center" vertical="top" wrapText="1"/>
    </xf>
    <xf numFmtId="0" fontId="39" fillId="0" borderId="0" xfId="0" applyFont="1" applyAlignment="1">
      <alignment horizontal="center" vertical="top" wrapText="1"/>
    </xf>
    <xf numFmtId="0" fontId="39" fillId="50" borderId="0" xfId="0" applyFont="1" applyFill="1" applyAlignment="1">
      <alignment horizontal="center"/>
    </xf>
    <xf numFmtId="0" fontId="39" fillId="50" borderId="0" xfId="0" applyFont="1" applyFill="1" applyAlignment="1">
      <alignment horizontal="left" vertical="top"/>
    </xf>
    <xf numFmtId="0" fontId="39" fillId="50" borderId="0" xfId="0" applyFont="1" applyFill="1"/>
    <xf numFmtId="0" fontId="39" fillId="50" borderId="0" xfId="0" applyFont="1" applyFill="1" applyAlignment="1">
      <alignment wrapText="1"/>
    </xf>
    <xf numFmtId="0" fontId="37" fillId="50" borderId="0" xfId="0" applyFont="1" applyFill="1"/>
    <xf numFmtId="0" fontId="1" fillId="50" borderId="0" xfId="0" applyFont="1" applyFill="1"/>
    <xf numFmtId="0" fontId="1" fillId="4" borderId="0" xfId="0" applyFont="1" applyFill="1" applyAlignment="1">
      <alignment horizontal="center" vertical="top" wrapText="1"/>
    </xf>
    <xf numFmtId="164" fontId="38" fillId="51" borderId="5" xfId="0" applyNumberFormat="1" applyFont="1" applyFill="1" applyBorder="1" applyAlignment="1">
      <alignment horizontal="center" vertical="center"/>
    </xf>
    <xf numFmtId="1" fontId="38" fillId="60" borderId="5" xfId="0" applyNumberFormat="1" applyFont="1" applyFill="1" applyBorder="1" applyAlignment="1">
      <alignment horizontal="center" vertical="center"/>
    </xf>
    <xf numFmtId="0" fontId="24" fillId="0" borderId="0" xfId="0" applyFont="1"/>
    <xf numFmtId="0" fontId="10" fillId="0" borderId="2" xfId="0" quotePrefix="1" applyFont="1" applyBorder="1" applyAlignment="1">
      <alignment horizontal="center" vertical="center"/>
    </xf>
    <xf numFmtId="0" fontId="28" fillId="4" borderId="76" xfId="0" applyFont="1" applyFill="1" applyBorder="1" applyAlignment="1">
      <alignment horizontal="left" vertical="top"/>
    </xf>
    <xf numFmtId="165" fontId="1" fillId="43" borderId="2" xfId="0" applyNumberFormat="1" applyFont="1" applyFill="1" applyBorder="1" applyAlignment="1">
      <alignment horizontal="center" vertical="center"/>
    </xf>
    <xf numFmtId="165" fontId="28" fillId="43" borderId="2" xfId="0" applyNumberFormat="1" applyFont="1" applyFill="1" applyBorder="1" applyAlignment="1">
      <alignment horizontal="center" vertical="center"/>
    </xf>
    <xf numFmtId="0" fontId="10" fillId="0" borderId="0" xfId="0" applyFont="1" applyAlignment="1">
      <alignment horizontal="left"/>
    </xf>
    <xf numFmtId="0" fontId="11" fillId="0" borderId="0" xfId="0" applyFont="1" applyAlignment="1">
      <alignment horizontal="left"/>
    </xf>
    <xf numFmtId="177" fontId="0" fillId="0" borderId="0" xfId="0" applyNumberFormat="1"/>
    <xf numFmtId="0" fontId="10" fillId="63" borderId="0" xfId="0" applyFont="1" applyFill="1"/>
    <xf numFmtId="1" fontId="0" fillId="9" borderId="24" xfId="0" applyNumberFormat="1" applyFill="1" applyBorder="1" applyAlignment="1">
      <alignment horizontal="center"/>
    </xf>
    <xf numFmtId="165" fontId="0" fillId="9" borderId="6" xfId="0" applyNumberFormat="1" applyFill="1" applyBorder="1" applyAlignment="1">
      <alignment horizontal="center" vertical="center"/>
    </xf>
    <xf numFmtId="166" fontId="0" fillId="9" borderId="6" xfId="0" applyNumberFormat="1" applyFill="1" applyBorder="1" applyAlignment="1">
      <alignment horizontal="center" vertical="center"/>
    </xf>
    <xf numFmtId="167" fontId="0" fillId="9" borderId="28" xfId="0" applyNumberFormat="1" applyFill="1" applyBorder="1" applyAlignment="1">
      <alignment horizontal="center" vertical="center"/>
    </xf>
    <xf numFmtId="0" fontId="0" fillId="65" borderId="0" xfId="0" applyFill="1" applyAlignment="1">
      <alignment horizontal="center"/>
    </xf>
    <xf numFmtId="164" fontId="0" fillId="4" borderId="0" xfId="0" applyNumberFormat="1" applyFill="1" applyAlignment="1">
      <alignment horizontal="center"/>
    </xf>
    <xf numFmtId="0" fontId="1" fillId="51" borderId="0" xfId="0" applyFont="1" applyFill="1" applyAlignment="1">
      <alignment horizontal="center" vertical="top" wrapText="1"/>
    </xf>
    <xf numFmtId="0" fontId="1" fillId="51" borderId="24" xfId="0" applyFont="1" applyFill="1" applyBorder="1" applyAlignment="1">
      <alignment horizontal="center" vertical="top" wrapText="1"/>
    </xf>
    <xf numFmtId="0" fontId="1" fillId="4" borderId="47" xfId="0" applyFont="1" applyFill="1" applyBorder="1" applyAlignment="1">
      <alignment horizontal="left" vertical="top"/>
    </xf>
    <xf numFmtId="0" fontId="1" fillId="4" borderId="47" xfId="0" applyFont="1" applyFill="1" applyBorder="1" applyAlignment="1">
      <alignment horizontal="center" vertical="top"/>
    </xf>
    <xf numFmtId="0" fontId="39" fillId="0" borderId="0" xfId="0" applyFont="1" applyAlignment="1">
      <alignment horizontal="left" vertical="top"/>
    </xf>
    <xf numFmtId="0" fontId="38" fillId="0" borderId="0" xfId="0" applyFont="1" applyAlignment="1">
      <alignment horizontal="left" vertical="top"/>
    </xf>
    <xf numFmtId="0" fontId="39" fillId="0" borderId="15" xfId="0" applyFont="1" applyBorder="1" applyAlignment="1">
      <alignment horizontal="left" vertical="top"/>
    </xf>
    <xf numFmtId="0" fontId="39" fillId="0" borderId="0" xfId="0" applyFont="1" applyAlignment="1">
      <alignment horizontal="center" vertical="top"/>
    </xf>
    <xf numFmtId="0" fontId="28" fillId="63" borderId="76" xfId="0" applyFont="1" applyFill="1" applyBorder="1" applyAlignment="1">
      <alignment horizontal="left" vertical="top"/>
    </xf>
    <xf numFmtId="0" fontId="1" fillId="63" borderId="5" xfId="0" applyFont="1" applyFill="1" applyBorder="1" applyAlignment="1">
      <alignment horizontal="center" vertical="top"/>
    </xf>
    <xf numFmtId="0" fontId="1" fillId="63" borderId="5" xfId="0" applyFont="1" applyFill="1" applyBorder="1" applyAlignment="1">
      <alignment horizontal="left" vertical="top"/>
    </xf>
    <xf numFmtId="167" fontId="1" fillId="63" borderId="5" xfId="0" applyNumberFormat="1" applyFont="1" applyFill="1" applyBorder="1" applyAlignment="1">
      <alignment horizontal="left" vertical="top"/>
    </xf>
    <xf numFmtId="169" fontId="1" fillId="63" borderId="5" xfId="0" applyNumberFormat="1" applyFont="1" applyFill="1" applyBorder="1" applyAlignment="1">
      <alignment horizontal="left" vertical="top"/>
    </xf>
    <xf numFmtId="0" fontId="37" fillId="63" borderId="5" xfId="0" applyFont="1" applyFill="1" applyBorder="1" applyAlignment="1">
      <alignment horizontal="center" vertical="top"/>
    </xf>
    <xf numFmtId="0" fontId="1" fillId="63" borderId="52" xfId="0" applyFont="1" applyFill="1" applyBorder="1" applyAlignment="1">
      <alignment horizontal="center" vertical="top"/>
    </xf>
    <xf numFmtId="0" fontId="39" fillId="63" borderId="5" xfId="0" applyFont="1" applyFill="1" applyBorder="1"/>
    <xf numFmtId="167" fontId="1" fillId="4" borderId="5" xfId="0" applyNumberFormat="1" applyFont="1" applyFill="1" applyBorder="1" applyAlignment="1">
      <alignment horizontal="center" vertical="top"/>
    </xf>
    <xf numFmtId="169" fontId="1" fillId="4" borderId="5" xfId="0" applyNumberFormat="1" applyFont="1" applyFill="1" applyBorder="1" applyAlignment="1">
      <alignment horizontal="center" vertical="top"/>
    </xf>
    <xf numFmtId="0" fontId="1" fillId="4" borderId="76" xfId="0" applyFont="1" applyFill="1" applyBorder="1" applyAlignment="1">
      <alignment horizontal="center" vertical="top"/>
    </xf>
    <xf numFmtId="1" fontId="1" fillId="0" borderId="2" xfId="0" applyNumberFormat="1" applyFont="1" applyBorder="1" applyAlignment="1">
      <alignment horizontal="left" vertical="center"/>
    </xf>
    <xf numFmtId="1" fontId="2" fillId="2" borderId="3" xfId="1" applyNumberFormat="1"/>
    <xf numFmtId="1" fontId="3" fillId="3" borderId="4" xfId="2" applyNumberFormat="1"/>
    <xf numFmtId="0" fontId="5" fillId="0" borderId="0" xfId="0" applyFont="1" applyAlignment="1">
      <alignment horizontal="center"/>
    </xf>
    <xf numFmtId="2" fontId="5" fillId="0" borderId="0" xfId="0" applyNumberFormat="1" applyFont="1" applyAlignment="1">
      <alignment horizontal="center"/>
    </xf>
    <xf numFmtId="0" fontId="0" fillId="0" borderId="0" xfId="0" quotePrefix="1" applyAlignment="1">
      <alignment horizontal="centerContinuous"/>
    </xf>
    <xf numFmtId="0" fontId="0" fillId="0" borderId="12" xfId="0" applyBorder="1" applyAlignment="1">
      <alignment horizontal="centerContinuous"/>
    </xf>
    <xf numFmtId="0" fontId="0" fillId="0" borderId="6" xfId="0" applyBorder="1" applyAlignment="1">
      <alignment horizontal="center"/>
    </xf>
    <xf numFmtId="0" fontId="0" fillId="0" borderId="31" xfId="0" applyBorder="1" applyAlignment="1">
      <alignment horizontal="left"/>
    </xf>
    <xf numFmtId="2" fontId="0" fillId="0" borderId="13" xfId="0" applyNumberFormat="1" applyBorder="1" applyAlignment="1">
      <alignment horizontal="center"/>
    </xf>
    <xf numFmtId="0" fontId="5" fillId="0" borderId="13" xfId="0" applyFont="1" applyBorder="1" applyAlignment="1">
      <alignment horizontal="center"/>
    </xf>
    <xf numFmtId="0" fontId="0" fillId="0" borderId="13" xfId="0" applyBorder="1" applyAlignment="1">
      <alignment horizontal="center"/>
    </xf>
    <xf numFmtId="165" fontId="37" fillId="4" borderId="5" xfId="0" applyNumberFormat="1" applyFont="1" applyFill="1" applyBorder="1" applyAlignment="1">
      <alignment horizontal="center" vertical="top"/>
    </xf>
    <xf numFmtId="165" fontId="37" fillId="63" borderId="5" xfId="0" applyNumberFormat="1" applyFont="1" applyFill="1" applyBorder="1" applyAlignment="1">
      <alignment horizontal="center" vertical="top"/>
    </xf>
    <xf numFmtId="0" fontId="39" fillId="63" borderId="0" xfId="0" applyFont="1" applyFill="1"/>
    <xf numFmtId="1" fontId="1" fillId="0" borderId="2" xfId="0" applyNumberFormat="1" applyFont="1" applyBorder="1" applyAlignment="1">
      <alignment horizontal="left" vertical="center" wrapText="1"/>
    </xf>
    <xf numFmtId="49" fontId="0" fillId="0" borderId="0" xfId="0" applyNumberFormat="1" applyAlignment="1">
      <alignment textRotation="90" wrapText="1"/>
    </xf>
    <xf numFmtId="49" fontId="0" fillId="0" borderId="64" xfId="0" applyNumberFormat="1" applyBorder="1" applyAlignment="1">
      <alignment horizontal="center" vertical="center" wrapText="1"/>
    </xf>
    <xf numFmtId="49" fontId="0" fillId="0" borderId="26" xfId="0" applyNumberFormat="1" applyBorder="1" applyAlignment="1">
      <alignment horizontal="center" vertical="center" wrapText="1"/>
    </xf>
    <xf numFmtId="49" fontId="0" fillId="0" borderId="0" xfId="0" quotePrefix="1" applyNumberFormat="1" applyAlignment="1">
      <alignment wrapText="1"/>
    </xf>
    <xf numFmtId="0" fontId="39" fillId="50" borderId="0" xfId="0" applyFont="1" applyFill="1" applyAlignment="1">
      <alignment horizontal="center"/>
    </xf>
    <xf numFmtId="0" fontId="39" fillId="0" borderId="12" xfId="0" applyFont="1" applyBorder="1" applyAlignment="1">
      <alignment horizontal="center"/>
    </xf>
    <xf numFmtId="0" fontId="39" fillId="0" borderId="0" xfId="0" applyFont="1" applyAlignment="1">
      <alignment horizontal="center"/>
    </xf>
    <xf numFmtId="0" fontId="1" fillId="52" borderId="15" xfId="43" applyFont="1" applyFill="1" applyBorder="1" applyAlignment="1">
      <alignment horizontal="center"/>
    </xf>
    <xf numFmtId="0" fontId="1" fillId="52" borderId="15" xfId="43" applyFont="1" applyFill="1" applyBorder="1" applyAlignment="1">
      <alignment horizontal="center" vertical="center"/>
    </xf>
    <xf numFmtId="0" fontId="0" fillId="0" borderId="0" xfId="0" applyAlignment="1">
      <alignment horizontal="center"/>
    </xf>
    <xf numFmtId="0" fontId="0" fillId="59" borderId="0" xfId="0" applyFill="1" applyAlignment="1">
      <alignment horizontal="center" vertical="center" textRotation="90" wrapText="1"/>
    </xf>
    <xf numFmtId="0" fontId="11" fillId="59" borderId="0" xfId="0" applyFont="1" applyFill="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56" xfId="0" applyBorder="1" applyAlignment="1">
      <alignment horizontal="right"/>
    </xf>
    <xf numFmtId="0" fontId="0" fillId="0" borderId="67" xfId="0" applyBorder="1" applyAlignment="1">
      <alignment horizontal="center"/>
    </xf>
    <xf numFmtId="0" fontId="0" fillId="0" borderId="70" xfId="0" applyBorder="1" applyAlignment="1">
      <alignment horizontal="center"/>
    </xf>
    <xf numFmtId="0" fontId="0" fillId="0" borderId="59" xfId="0" applyBorder="1" applyAlignment="1">
      <alignment horizontal="center"/>
    </xf>
    <xf numFmtId="0" fontId="30" fillId="50" borderId="0" xfId="0" applyFont="1" applyFill="1" applyAlignment="1">
      <alignment horizontal="center" vertical="top" textRotation="90" wrapText="1"/>
    </xf>
    <xf numFmtId="0" fontId="10" fillId="0" borderId="15" xfId="0" applyFont="1" applyBorder="1" applyAlignment="1">
      <alignment horizontal="center"/>
    </xf>
    <xf numFmtId="0" fontId="10" fillId="0" borderId="58" xfId="0" applyFont="1" applyBorder="1" applyAlignment="1">
      <alignment horizontal="center"/>
    </xf>
    <xf numFmtId="0" fontId="10" fillId="0" borderId="59" xfId="0" applyFont="1" applyBorder="1" applyAlignment="1">
      <alignment horizontal="center"/>
    </xf>
    <xf numFmtId="0" fontId="10" fillId="0" borderId="46" xfId="0" applyFont="1" applyBorder="1" applyAlignment="1">
      <alignment horizontal="center"/>
    </xf>
    <xf numFmtId="0" fontId="10" fillId="0" borderId="63" xfId="0" applyFont="1" applyBorder="1" applyAlignment="1">
      <alignment horizontal="center"/>
    </xf>
    <xf numFmtId="0" fontId="0" fillId="4" borderId="41" xfId="0" applyFill="1" applyBorder="1" applyAlignment="1">
      <alignment horizontal="center" vertical="top" wrapText="1"/>
    </xf>
    <xf numFmtId="0" fontId="0" fillId="4" borderId="65" xfId="0" applyFill="1" applyBorder="1" applyAlignment="1">
      <alignment horizontal="center" vertical="top" wrapText="1"/>
    </xf>
    <xf numFmtId="0" fontId="0" fillId="4" borderId="64" xfId="0" applyFill="1" applyBorder="1" applyAlignment="1">
      <alignment horizontal="center" vertical="top" wrapText="1"/>
    </xf>
    <xf numFmtId="0" fontId="0" fillId="4" borderId="39" xfId="0" applyFill="1" applyBorder="1" applyAlignment="1">
      <alignment horizontal="center"/>
    </xf>
    <xf numFmtId="0" fontId="0" fillId="4" borderId="38" xfId="0" applyFill="1" applyBorder="1" applyAlignment="1">
      <alignment horizontal="center"/>
    </xf>
    <xf numFmtId="0" fontId="0" fillId="4" borderId="33" xfId="0" applyFill="1" applyBorder="1" applyAlignment="1">
      <alignment horizontal="center" vertical="center" wrapText="1"/>
    </xf>
    <xf numFmtId="0" fontId="0" fillId="4" borderId="1" xfId="0" applyFill="1" applyBorder="1" applyAlignment="1">
      <alignment horizontal="center" vertical="center" wrapText="1"/>
    </xf>
    <xf numFmtId="0" fontId="0" fillId="4" borderId="34" xfId="0" applyFill="1" applyBorder="1" applyAlignment="1">
      <alignment horizontal="center" vertical="center" wrapText="1"/>
    </xf>
    <xf numFmtId="0" fontId="0" fillId="4" borderId="31" xfId="0" applyFill="1" applyBorder="1" applyAlignment="1">
      <alignment horizontal="center" vertical="center" wrapText="1"/>
    </xf>
    <xf numFmtId="0" fontId="0" fillId="4" borderId="6" xfId="0" applyFill="1" applyBorder="1" applyAlignment="1">
      <alignment horizontal="center" vertical="center" wrapText="1"/>
    </xf>
    <xf numFmtId="0" fontId="0" fillId="0" borderId="30" xfId="0" applyBorder="1" applyAlignment="1">
      <alignment horizontal="center" vertical="center" wrapText="1"/>
    </xf>
    <xf numFmtId="0" fontId="0" fillId="0" borderId="28" xfId="0" applyBorder="1" applyAlignment="1">
      <alignment horizontal="center" vertical="center" wrapText="1"/>
    </xf>
    <xf numFmtId="0" fontId="10" fillId="0" borderId="9" xfId="0" applyFont="1" applyBorder="1" applyAlignment="1">
      <alignment horizontal="center"/>
    </xf>
    <xf numFmtId="0" fontId="10" fillId="0" borderId="11" xfId="0" applyFont="1" applyBorder="1" applyAlignment="1">
      <alignment horizontal="center"/>
    </xf>
    <xf numFmtId="0" fontId="14" fillId="4" borderId="36" xfId="0" applyFont="1" applyFill="1" applyBorder="1" applyAlignment="1">
      <alignment horizontal="center" vertical="center" wrapText="1"/>
    </xf>
    <xf numFmtId="0" fontId="14" fillId="4" borderId="37" xfId="0" applyFont="1" applyFill="1" applyBorder="1" applyAlignment="1">
      <alignment horizontal="center" vertical="center" wrapText="1"/>
    </xf>
    <xf numFmtId="0" fontId="14" fillId="4" borderId="64" xfId="0" applyFont="1" applyFill="1" applyBorder="1" applyAlignment="1">
      <alignment horizontal="center" vertical="center" wrapText="1"/>
    </xf>
    <xf numFmtId="0" fontId="0" fillId="0" borderId="0" xfId="0" applyAlignment="1">
      <alignment horizontal="center" textRotation="90"/>
    </xf>
    <xf numFmtId="0" fontId="0" fillId="56" borderId="0" xfId="0" applyFill="1" applyAlignment="1">
      <alignment horizontal="center" vertical="center"/>
    </xf>
    <xf numFmtId="0" fontId="0" fillId="4" borderId="0" xfId="0" applyFill="1" applyAlignment="1">
      <alignment horizontal="center"/>
    </xf>
  </cellXfs>
  <cellStyles count="51">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5" builtinId="27" customBuiltin="1"/>
    <cellStyle name="Calculation" xfId="3" builtinId="22" customBuiltin="1"/>
    <cellStyle name="Check Cell" xfId="14" builtinId="23" customBuiltin="1"/>
    <cellStyle name="Comma 2" xfId="49" xr:uid="{00000000-0005-0000-0000-00001B000000}"/>
    <cellStyle name="Explanatory Text" xfId="17" builtinId="53" customBuiltin="1"/>
    <cellStyle name="Good" xfId="4"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7" builtinId="8" hidden="1"/>
    <cellStyle name="Hyperlink" xfId="48" builtinId="8"/>
    <cellStyle name="Input" xfId="1" builtinId="20" customBuiltin="1"/>
    <cellStyle name="Linked Cell" xfId="13" builtinId="24" customBuiltin="1"/>
    <cellStyle name="Neutral" xfId="6" builtinId="28" customBuiltin="1"/>
    <cellStyle name="Normal" xfId="0" builtinId="0"/>
    <cellStyle name="Normal 2" xfId="43" xr:uid="{00000000-0005-0000-0000-000028000000}"/>
    <cellStyle name="Normal 3" xfId="46" xr:uid="{00000000-0005-0000-0000-000029000000}"/>
    <cellStyle name="Normal 4" xfId="50" xr:uid="{00000000-0005-0000-0000-00002A000000}"/>
    <cellStyle name="Note" xfId="16" builtinId="10" customBuiltin="1"/>
    <cellStyle name="Output" xfId="2" builtinId="21" customBuiltin="1"/>
    <cellStyle name="Percent" xfId="45" builtinId="5"/>
    <cellStyle name="Percent 2" xfId="44" xr:uid="{00000000-0005-0000-0000-00002E000000}"/>
    <cellStyle name="Title" xfId="8" builtinId="15" customBuiltin="1"/>
    <cellStyle name="Title 2" xfId="47" xr:uid="{00000000-0005-0000-0000-000030000000}"/>
    <cellStyle name="Total" xfId="18" builtinId="25" customBuiltin="1"/>
    <cellStyle name="Warning Text" xfId="15" builtinId="11" customBuiltin="1"/>
  </cellStyles>
  <dxfs count="0"/>
  <tableStyles count="0" defaultTableStyle="TableStyleMedium9" defaultPivotStyle="PivotStyleLight16"/>
  <colors>
    <mruColors>
      <color rgb="FFF11A09"/>
      <color rgb="FF0996FF"/>
      <color rgb="FFCCC0DA"/>
      <color rgb="FFC4BD97"/>
      <color rgb="FFE6B8B7"/>
      <color rgb="FF3AC441"/>
      <color rgb="FFF39307"/>
      <color rgb="FF027418"/>
      <color rgb="FF04CC2A"/>
      <color rgb="FF3BE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Chevrolet Bolt [AC Wh/mi]</a:t>
            </a:r>
          </a:p>
        </c:rich>
      </c:tx>
      <c:layout>
        <c:manualLayout>
          <c:xMode val="edge"/>
          <c:yMode val="edge"/>
          <c:x val="0.34597659346833848"/>
          <c:y val="1.9912385503783353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a:lstStyle/>
                  <a:p>
                    <a:fld id="{B0945F62-8997-4AC0-A2D7-322D125A555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{B0945F62-8997-4AC0-A2D7-322D125A555E}</c15:txfldGUID>
                      <c15:f>'J1634 Calcs'!$AD$18</c15:f>
                      <c15:dlblFieldTableCache>
                        <c:ptCount val="1"/>
                        <c:pt idx="0">
                          <c:v>175%</c:v>
                        </c:pt>
                      </c15:dlblFieldTableCache>
                    </c15:dlblFTEntry>
                  </c15:dlblFieldTable>
                  <c15:showDataLabelsRange val="0"/>
                </c:ext>
                <c:ext xmlns:c16="http://schemas.microsoft.com/office/drawing/2014/chart" uri="{C3380CC4-5D6E-409C-BE32-E72D297353CC}">
                  <c16:uniqueId val="{00000000-9190-469D-8158-42D0C98D9DC0}"/>
                </c:ext>
              </c:extLst>
            </c:dLbl>
            <c:dLbl>
              <c:idx val="1"/>
              <c:tx>
                <c:rich>
                  <a:bodyPr/>
                  <a:lstStyle/>
                  <a:p>
                    <a:fld id="{14E10095-01E0-40E2-BF85-F19478A01C2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{14E10095-01E0-40E2-BF85-F19478A01C28}</c15:txfldGUID>
                      <c15:f>'J1634 Calcs'!$AD$19</c15:f>
                      <c15:dlblFieldTableCache>
                        <c:ptCount val="1"/>
                        <c:pt idx="0">
                          <c:v>86%</c:v>
                        </c:pt>
                      </c15:dlblFieldTableCache>
                    </c15:dlblFTEntry>
                  </c15:dlblFieldTable>
                  <c15:showDataLabelsRange val="0"/>
                </c:ext>
                <c:ext xmlns:c16="http://schemas.microsoft.com/office/drawing/2014/chart" uri="{C3380CC4-5D6E-409C-BE32-E72D297353CC}">
                  <c16:uniqueId val="{00000001-9190-469D-8158-42D0C98D9DC0}"/>
                </c:ext>
              </c:extLst>
            </c:dLbl>
            <c:dLbl>
              <c:idx val="2"/>
              <c:tx>
                <c:rich>
                  <a:bodyPr/>
                  <a:lstStyle/>
                  <a:p>
                    <a:fld id="{3784444F-7979-445F-B3D6-AEBFD582BD9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{3784444F-7979-445F-B3D6-AEBFD582BD98}</c15:txfldGUID>
                      <c15:f>'J1634 Calcs'!$AD$20</c15:f>
                      <c15:dlblFieldTableCache>
                        <c:ptCount val="1"/>
                        <c:pt idx="0">
                          <c:v>59%</c:v>
                        </c:pt>
                      </c15:dlblFieldTableCache>
                    </c15:dlblFTEntry>
                  </c15:dlblFieldTable>
                  <c15:showDataLabelsRange val="0"/>
                </c:ext>
                <c:ext xmlns:c16="http://schemas.microsoft.com/office/drawing/2014/chart" uri="{C3380CC4-5D6E-409C-BE32-E72D297353CC}">
                  <c16:uniqueId val="{00000002-9190-469D-8158-42D0C98D9DC0}"/>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Calcs'!$AD$13:$AD$15</c:f>
              <c:numCache>
                <c:formatCode>0</c:formatCode>
                <c:ptCount val="3"/>
                <c:pt idx="0">
                  <c:v>489.38237991868084</c:v>
                </c:pt>
                <c:pt idx="1">
                  <c:v>412.20251589157618</c:v>
                </c:pt>
                <c:pt idx="2">
                  <c:v>471.1221181237463</c:v>
                </c:pt>
              </c:numCache>
            </c:numRef>
          </c:val>
          <c:extLst>
            <c:ext xmlns:c16="http://schemas.microsoft.com/office/drawing/2014/chart" uri="{C3380CC4-5D6E-409C-BE32-E72D297353CC}">
              <c16:uniqueId val="{00000003-9190-469D-8158-42D0C98D9DC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2.9775165847087644E-3"/>
                  <c:y val="2.662992994441264E-3"/>
                </c:manualLayout>
              </c:layout>
              <c:tx>
                <c:rich>
                  <a:bodyPr/>
                  <a:lstStyle/>
                  <a:p>
                    <a:fld id="{CF963985-D3E1-4705-A63C-6308912A1BA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{CF963985-D3E1-4705-A63C-6308912A1BA1}</c15:txfldGUID>
                      <c15:f>'J1634 Calcs'!$AE$18</c15:f>
                      <c15:dlblFieldTableCache>
                        <c:ptCount val="1"/>
                        <c:pt idx="0">
                          <c:v>115%</c:v>
                        </c:pt>
                      </c15:dlblFieldTableCache>
                    </c15:dlblFTEntry>
                  </c15:dlblFieldTable>
                  <c15:showDataLabelsRange val="0"/>
                </c:ext>
                <c:ext xmlns:c16="http://schemas.microsoft.com/office/drawing/2014/chart" uri="{C3380CC4-5D6E-409C-BE32-E72D297353CC}">
                  <c16:uniqueId val="{00000004-9190-469D-8158-42D0C98D9DC0}"/>
                </c:ext>
              </c:extLst>
            </c:dLbl>
            <c:dLbl>
              <c:idx val="1"/>
              <c:layout>
                <c:manualLayout>
                  <c:x val="2.9775165847086551E-3"/>
                  <c:y val="2.6629929944412154E-3"/>
                </c:manualLayout>
              </c:layout>
              <c:tx>
                <c:rich>
                  <a:bodyPr/>
                  <a:lstStyle/>
                  <a:p>
                    <a:fld id="{E0F95126-373F-4982-8A26-A1187FDA1A7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{E0F95126-373F-4982-8A26-A1187FDA1A7E}</c15:txfldGUID>
                      <c15:f>'J1634 Calcs'!$AE$19</c15:f>
                      <c15:dlblFieldTableCache>
                        <c:ptCount val="1"/>
                        <c:pt idx="0">
                          <c:v>56%</c:v>
                        </c:pt>
                      </c15:dlblFieldTableCache>
                    </c15:dlblFTEntry>
                  </c15:dlblFieldTable>
                  <c15:showDataLabelsRange val="0"/>
                </c:ext>
                <c:ext xmlns:c16="http://schemas.microsoft.com/office/drawing/2014/chart" uri="{C3380CC4-5D6E-409C-BE32-E72D297353CC}">
                  <c16:uniqueId val="{00000005-9190-469D-8158-42D0C98D9DC0}"/>
                </c:ext>
              </c:extLst>
            </c:dLbl>
            <c:dLbl>
              <c:idx val="2"/>
              <c:layout>
                <c:manualLayout>
                  <c:x val="1.4887582923543822E-3"/>
                  <c:y val="2.662992994441264E-3"/>
                </c:manualLayout>
              </c:layout>
              <c:tx>
                <c:rich>
                  <a:bodyPr/>
                  <a:lstStyle/>
                  <a:p>
                    <a:fld id="{E540FF63-EEA2-452B-AF6B-2E02EC30DA3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{E540FF63-EEA2-452B-AF6B-2E02EC30DA3D}</c15:txfldGUID>
                      <c15:f>'J1634 Calcs'!$AE$20</c15:f>
                      <c15:dlblFieldTableCache>
                        <c:ptCount val="1"/>
                        <c:pt idx="0">
                          <c:v>39%</c:v>
                        </c:pt>
                      </c15:dlblFieldTableCache>
                    </c15:dlblFTEntry>
                  </c15:dlblFieldTable>
                  <c15:showDataLabelsRange val="0"/>
                </c:ext>
                <c:ext xmlns:c16="http://schemas.microsoft.com/office/drawing/2014/chart" uri="{C3380CC4-5D6E-409C-BE32-E72D297353CC}">
                  <c16:uniqueId val="{00000006-9190-469D-8158-42D0C98D9DC0}"/>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Calcs'!$AE$13:$AE$15</c:f>
              <c:numCache>
                <c:formatCode>0</c:formatCode>
                <c:ptCount val="3"/>
                <c:pt idx="0">
                  <c:v>382.59937123005881</c:v>
                </c:pt>
                <c:pt idx="1">
                  <c:v>346.0745122213882</c:v>
                </c:pt>
                <c:pt idx="2">
                  <c:v>412.79410850354435</c:v>
                </c:pt>
              </c:numCache>
            </c:numRef>
          </c:val>
          <c:extLst>
            <c:ext xmlns:c16="http://schemas.microsoft.com/office/drawing/2014/chart" uri="{C3380CC4-5D6E-409C-BE32-E72D297353CC}">
              <c16:uniqueId val="{00000007-9190-469D-8158-42D0C98D9DC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573019159007E-3"/>
                  <c:y val="-2.315010802861112E-3"/>
                </c:manualLayout>
              </c:layout>
              <c:tx>
                <c:rich>
                  <a:bodyPr/>
                  <a:lstStyle/>
                  <a:p>
                    <a:fld id="{5E7F7213-2C7E-496E-A759-A0B373A798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{5E7F7213-2C7E-496E-A759-A0B373A79861}</c15:txfldGUID>
                      <c15:f>'J1634 Calcs'!$AF$18</c15:f>
                      <c15:dlblFieldTableCache>
                        <c:ptCount val="1"/>
                        <c:pt idx="0">
                          <c:v>119%</c:v>
                        </c:pt>
                      </c15:dlblFieldTableCache>
                    </c15:dlblFTEntry>
                  </c15:dlblFieldTable>
                  <c15:showDataLabelsRange val="0"/>
                </c:ext>
                <c:ext xmlns:c16="http://schemas.microsoft.com/office/drawing/2014/chart" uri="{C3380CC4-5D6E-409C-BE32-E72D297353CC}">
                  <c16:uniqueId val="{00000008-9190-469D-8158-42D0C98D9DC0}"/>
                </c:ext>
              </c:extLst>
            </c:dLbl>
            <c:dLbl>
              <c:idx val="1"/>
              <c:layout>
                <c:manualLayout>
                  <c:x val="4.4662748770631462E-3"/>
                  <c:y val="-4.8820974247362615E-17"/>
                </c:manualLayout>
              </c:layout>
              <c:tx>
                <c:rich>
                  <a:bodyPr/>
                  <a:lstStyle/>
                  <a:p>
                    <a:fld id="{1994E76F-5E3D-403A-8AC8-3AFEFA9C70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{1994E76F-5E3D-403A-8AC8-3AFEFA9C7061}</c15:txfldGUID>
                      <c15:f>'J1634 Calcs'!$AF$19</c15:f>
                      <c15:dlblFieldTableCache>
                        <c:ptCount val="1"/>
                        <c:pt idx="0">
                          <c:v>59%</c:v>
                        </c:pt>
                      </c15:dlblFieldTableCache>
                    </c15:dlblFTEntry>
                  </c15:dlblFieldTable>
                  <c15:showDataLabelsRange val="0"/>
                </c:ext>
                <c:ext xmlns:c16="http://schemas.microsoft.com/office/drawing/2014/chart" uri="{C3380CC4-5D6E-409C-BE32-E72D297353CC}">
                  <c16:uniqueId val="{00000009-9190-469D-8158-42D0C98D9DC0}"/>
                </c:ext>
              </c:extLst>
            </c:dLbl>
            <c:dLbl>
              <c:idx val="2"/>
              <c:layout>
                <c:manualLayout>
                  <c:x val="2.9775165847087644E-3"/>
                  <c:y val="2.6629929944412154E-3"/>
                </c:manualLayout>
              </c:layout>
              <c:tx>
                <c:rich>
                  <a:bodyPr/>
                  <a:lstStyle/>
                  <a:p>
                    <a:fld id="{07A6E231-2A68-439E-AAC8-52ED36449D4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{07A6E231-2A68-439E-AAC8-52ED36449D45}</c15:txfldGUID>
                      <c15:f>'J1634 Calcs'!$AF$20</c15:f>
                      <c15:dlblFieldTableCache>
                        <c:ptCount val="1"/>
                        <c:pt idx="0">
                          <c:v>40%</c:v>
                        </c:pt>
                      </c15:dlblFieldTableCache>
                    </c15:dlblFTEntry>
                  </c15:dlblFieldTable>
                  <c15:showDataLabelsRange val="0"/>
                </c:ext>
                <c:ext xmlns:c16="http://schemas.microsoft.com/office/drawing/2014/chart" uri="{C3380CC4-5D6E-409C-BE32-E72D297353CC}">
                  <c16:uniqueId val="{0000000A-9190-469D-8158-42D0C98D9DC0}"/>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Calcs'!$AF$13:$AF$15</c:f>
              <c:numCache>
                <c:formatCode>0</c:formatCode>
                <c:ptCount val="3"/>
                <c:pt idx="0">
                  <c:v>389.6871075386282</c:v>
                </c:pt>
                <c:pt idx="1">
                  <c:v>351.12470938268706</c:v>
                </c:pt>
                <c:pt idx="2">
                  <c:v>416.68496450313484</c:v>
                </c:pt>
              </c:numCache>
            </c:numRef>
          </c:val>
          <c:extLst>
            <c:ext xmlns:c16="http://schemas.microsoft.com/office/drawing/2014/chart" uri="{C3380CC4-5D6E-409C-BE32-E72D297353CC}">
              <c16:uniqueId val="{0000000B-9190-469D-8158-42D0C98D9DC0}"/>
            </c:ext>
          </c:extLst>
        </c:ser>
        <c:ser>
          <c:idx val="0"/>
          <c:order val="3"/>
          <c:tx>
            <c:strRef>
              <c:f>'J1634 Calcs'!$AG$6</c:f>
              <c:strCache>
                <c:ptCount val="1"/>
                <c:pt idx="0">
                  <c:v>+22C Ambient with Climate off</c:v>
                </c:pt>
              </c:strCache>
            </c:strRef>
          </c:tx>
          <c:spPr>
            <a:solidFill>
              <a:schemeClr val="accent3"/>
            </a:solidFill>
          </c:spPr>
          <c:invertIfNegative val="0"/>
          <c:cat>
            <c:strRef>
              <c:f>'J1634 Calcs'!$AC$13:$AC$15</c:f>
              <c:strCache>
                <c:ptCount val="3"/>
                <c:pt idx="0">
                  <c:v>UDDS</c:v>
                </c:pt>
                <c:pt idx="1">
                  <c:v>HWY</c:v>
                </c:pt>
                <c:pt idx="2">
                  <c:v>US06</c:v>
                </c:pt>
              </c:strCache>
            </c:strRef>
          </c:cat>
          <c:val>
            <c:numRef>
              <c:f>'J1634 Calcs'!$AG$13:$AG$15</c:f>
              <c:numCache>
                <c:formatCode>0</c:formatCode>
                <c:ptCount val="3"/>
                <c:pt idx="0">
                  <c:v>177.94949718743936</c:v>
                </c:pt>
                <c:pt idx="1">
                  <c:v>221.34835043936246</c:v>
                </c:pt>
                <c:pt idx="2">
                  <c:v>296.72776357594597</c:v>
                </c:pt>
              </c:numCache>
            </c:numRef>
          </c:val>
          <c:extLst>
            <c:ext xmlns:c16="http://schemas.microsoft.com/office/drawing/2014/chart" uri="{C3380CC4-5D6E-409C-BE32-E72D297353CC}">
              <c16:uniqueId val="{0000000C-9190-469D-8158-42D0C98D9DC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5.7374609698714345E-4"/>
                  <c:y val="-2.6366271868346206E-3"/>
                </c:manualLayout>
              </c:layout>
              <c:tx>
                <c:rich>
                  <a:bodyPr/>
                  <a:lstStyle/>
                  <a:p>
                    <a:fld id="{F78FDACD-EBF6-42C8-8A5C-DABB4D21E63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{F78FDACD-EBF6-42C8-8A5C-DABB4D21E633}</c15:txfldGUID>
                      <c15:f>'J1634 Calcs'!$AH$18</c15:f>
                      <c15:dlblFieldTableCache>
                        <c:ptCount val="1"/>
                        <c:pt idx="0">
                          <c:v>29%</c:v>
                        </c:pt>
                      </c15:dlblFieldTableCache>
                    </c15:dlblFTEntry>
                  </c15:dlblFieldTable>
                  <c15:showDataLabelsRange val="0"/>
                </c:ext>
                <c:ext xmlns:c16="http://schemas.microsoft.com/office/drawing/2014/chart" uri="{C3380CC4-5D6E-409C-BE32-E72D297353CC}">
                  <c16:uniqueId val="{0000000D-9190-469D-8158-42D0C98D9DC0}"/>
                </c:ext>
              </c:extLst>
            </c:dLbl>
            <c:dLbl>
              <c:idx val="1"/>
              <c:tx>
                <c:rich>
                  <a:bodyPr/>
                  <a:lstStyle/>
                  <a:p>
                    <a:fld id="{E0400D18-C037-4BDC-94A0-88505510BF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{E0400D18-C037-4BDC-94A0-88505510BFE6}</c15:txfldGUID>
                      <c15:f>'J1634 Calcs'!$AH$19</c15:f>
                      <c15:dlblFieldTableCache>
                        <c:ptCount val="1"/>
                        <c:pt idx="0">
                          <c:v>8%</c:v>
                        </c:pt>
                      </c15:dlblFieldTableCache>
                    </c15:dlblFTEntry>
                  </c15:dlblFieldTable>
                  <c15:showDataLabelsRange val="0"/>
                </c:ext>
                <c:ext xmlns:c16="http://schemas.microsoft.com/office/drawing/2014/chart" uri="{C3380CC4-5D6E-409C-BE32-E72D297353CC}">
                  <c16:uniqueId val="{0000000E-9190-469D-8158-42D0C98D9DC0}"/>
                </c:ext>
              </c:extLst>
            </c:dLbl>
            <c:dLbl>
              <c:idx val="2"/>
              <c:tx>
                <c:rich>
                  <a:bodyPr/>
                  <a:lstStyle/>
                  <a:p>
                    <a:fld id="{9745F343-DA76-4EDC-9AD6-356F2B869D74}"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{9745F343-DA76-4EDC-9AD6-356F2B869D74}</c15:txfldGUID>
                      <c15:f>'J1634 Calcs'!$AH$20</c15:f>
                      <c15:dlblFieldTableCache>
                        <c:ptCount val="1"/>
                        <c:pt idx="0">
                          <c:v>6%</c:v>
                        </c:pt>
                      </c15:dlblFieldTableCache>
                    </c15:dlblFTEntry>
                  </c15:dlblFieldTable>
                  <c15:showDataLabelsRange val="0"/>
                </c:ext>
                <c:ext xmlns:c16="http://schemas.microsoft.com/office/drawing/2014/chart" uri="{C3380CC4-5D6E-409C-BE32-E72D297353CC}">
                  <c16:uniqueId val="{0000000F-9190-469D-8158-42D0C98D9DC0}"/>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Calcs'!$AH$13:$AH$15</c:f>
              <c:numCache>
                <c:formatCode>0</c:formatCode>
                <c:ptCount val="3"/>
                <c:pt idx="0">
                  <c:v>228.69104628960224</c:v>
                </c:pt>
                <c:pt idx="1">
                  <c:v>239.34744343126175</c:v>
                </c:pt>
                <c:pt idx="2">
                  <c:v>315.38824149164088</c:v>
                </c:pt>
              </c:numCache>
            </c:numRef>
          </c:val>
          <c:extLst>
            <c:ext xmlns:c16="http://schemas.microsoft.com/office/drawing/2014/chart" uri="{C3380CC4-5D6E-409C-BE32-E72D297353CC}">
              <c16:uniqueId val="{00000010-9190-469D-8158-42D0C98D9DC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D05ED8B4-28B4-4400-9E0F-70BE6ECC557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{D05ED8B4-28B4-4400-9E0F-70BE6ECC5576}</c15:txfldGUID>
                      <c15:f>'J1634 Calcs'!$AI$18</c15:f>
                      <c15:dlblFieldTableCache>
                        <c:ptCount val="1"/>
                        <c:pt idx="0">
                          <c:v>31%</c:v>
                        </c:pt>
                      </c15:dlblFieldTableCache>
                    </c15:dlblFTEntry>
                  </c15:dlblFieldTable>
                  <c15:showDataLabelsRange val="0"/>
                </c:ext>
                <c:ext xmlns:c16="http://schemas.microsoft.com/office/drawing/2014/chart" uri="{C3380CC4-5D6E-409C-BE32-E72D297353CC}">
                  <c16:uniqueId val="{00000011-9190-469D-8158-42D0C98D9DC0}"/>
                </c:ext>
              </c:extLst>
            </c:dLbl>
            <c:dLbl>
              <c:idx val="1"/>
              <c:tx>
                <c:rich>
                  <a:bodyPr/>
                  <a:lstStyle/>
                  <a:p>
                    <a:fld id="{D7CA0D8C-E7C0-4ED8-9940-F9EC5A722D9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{D7CA0D8C-E7C0-4ED8-9940-F9EC5A722D99}</c15:txfldGUID>
                      <c15:f>'J1634 Calcs'!$AI$19</c15:f>
                      <c15:dlblFieldTableCache>
                        <c:ptCount val="1"/>
                        <c:pt idx="0">
                          <c:v>11%</c:v>
                        </c:pt>
                      </c15:dlblFieldTableCache>
                    </c15:dlblFTEntry>
                  </c15:dlblFieldTable>
                  <c15:showDataLabelsRange val="0"/>
                </c:ext>
                <c:ext xmlns:c16="http://schemas.microsoft.com/office/drawing/2014/chart" uri="{C3380CC4-5D6E-409C-BE32-E72D297353CC}">
                  <c16:uniqueId val="{00000012-9190-469D-8158-42D0C98D9DC0}"/>
                </c:ext>
              </c:extLst>
            </c:dLbl>
            <c:dLbl>
              <c:idx val="2"/>
              <c:tx>
                <c:rich>
                  <a:bodyPr/>
                  <a:lstStyle/>
                  <a:p>
                    <a:fld id="{3F3D7368-4A49-4C7A-9D10-0C6FBF8BDB2C}"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{3F3D7368-4A49-4C7A-9D10-0C6FBF8BDB2C}</c15:txfldGUID>
                      <c15:f>'J1634 Calcs'!$AI$20</c15:f>
                      <c15:dlblFieldTableCache>
                        <c:ptCount val="1"/>
                        <c:pt idx="0">
                          <c:v>10%</c:v>
                        </c:pt>
                      </c15:dlblFieldTableCache>
                    </c15:dlblFTEntry>
                  </c15:dlblFieldTable>
                  <c15:showDataLabelsRange val="0"/>
                </c:ext>
                <c:ext xmlns:c16="http://schemas.microsoft.com/office/drawing/2014/chart" uri="{C3380CC4-5D6E-409C-BE32-E72D297353CC}">
                  <c16:uniqueId val="{00000013-9190-469D-8158-42D0C98D9DC0}"/>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Calcs'!$AI$13:$AI$15</c:f>
              <c:numCache>
                <c:formatCode>0</c:formatCode>
                <c:ptCount val="3"/>
                <c:pt idx="0">
                  <c:v>233.02008387051154</c:v>
                </c:pt>
                <c:pt idx="1">
                  <c:v>246.66581109002814</c:v>
                </c:pt>
                <c:pt idx="2">
                  <c:v>325.87401896992475</c:v>
                </c:pt>
              </c:numCache>
            </c:numRef>
          </c:val>
          <c:extLst>
            <c:ext xmlns:c16="http://schemas.microsoft.com/office/drawing/2014/chart" uri="{C3380CC4-5D6E-409C-BE32-E72D297353CC}">
              <c16:uniqueId val="{00000014-9190-469D-8158-42D0C98D9DC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Chevrolet Bolt- Range [mi]</a:t>
            </a:r>
          </a:p>
        </c:rich>
      </c:tx>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2"/>
              <c:layout>
                <c:manualLayout>
                  <c:x val="0"/>
                  <c:y val="4.97809637594574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DE-497A-9BE8-CA9F126816E7}"/>
                </c:ext>
              </c:extLst>
            </c:dLbl>
            <c:numFmt formatCode="#,##0" sourceLinked="0"/>
            <c:spPr>
              <a:noFill/>
              <a:ln>
                <a:noFill/>
              </a:ln>
              <a:effectLst/>
            </c:spPr>
            <c:txPr>
              <a:bodyPr wrap="square" lIns="38100" tIns="19050" rIns="38100" bIns="19050" anchor="ctr">
                <a:spAutoFit/>
              </a:bodyPr>
              <a:lstStyle/>
              <a:p>
                <a:pPr>
                  <a:defRPr sz="900">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Calcs'!$AD$37:$AD$39</c:f>
              <c:numCache>
                <c:formatCode>0</c:formatCode>
                <c:ptCount val="3"/>
                <c:pt idx="0">
                  <c:v>149.63083996821246</c:v>
                </c:pt>
                <c:pt idx="1">
                  <c:v>177.64737901826948</c:v>
                </c:pt>
                <c:pt idx="2">
                  <c:v>155.43039427760669</c:v>
                </c:pt>
              </c:numCache>
            </c:numRef>
          </c:val>
          <c:extLst>
            <c:ext xmlns:c16="http://schemas.microsoft.com/office/drawing/2014/chart" uri="{C3380CC4-5D6E-409C-BE32-E72D297353CC}">
              <c16:uniqueId val="{00000000-493A-4C31-822B-826D379B44AF}"/>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Calcs'!$AE$37:$AE$39</c:f>
              <c:numCache>
                <c:formatCode>0</c:formatCode>
                <c:ptCount val="3"/>
                <c:pt idx="0">
                  <c:v>187.33783625762561</c:v>
                </c:pt>
                <c:pt idx="1">
                  <c:v>207.10955539515624</c:v>
                </c:pt>
                <c:pt idx="2">
                  <c:v>173.63459623879746</c:v>
                </c:pt>
              </c:numCache>
            </c:numRef>
          </c:val>
          <c:extLst>
            <c:ext xmlns:c16="http://schemas.microsoft.com/office/drawing/2014/chart" uri="{C3380CC4-5D6E-409C-BE32-E72D297353CC}">
              <c16:uniqueId val="{00000001-493A-4C31-822B-826D379B44AF}"/>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Calcs'!$AF$37:$AF$39</c:f>
              <c:numCache>
                <c:formatCode>0</c:formatCode>
                <c:ptCount val="3"/>
                <c:pt idx="0">
                  <c:v>184.44100310212139</c:v>
                </c:pt>
                <c:pt idx="1">
                  <c:v>204.69730295185187</c:v>
                </c:pt>
                <c:pt idx="2">
                  <c:v>172.49069952906376</c:v>
                </c:pt>
              </c:numCache>
            </c:numRef>
          </c:val>
          <c:extLst>
            <c:ext xmlns:c16="http://schemas.microsoft.com/office/drawing/2014/chart" uri="{C3380CC4-5D6E-409C-BE32-E72D297353CC}">
              <c16:uniqueId val="{00000002-493A-4C31-822B-826D379B44AF}"/>
            </c:ext>
          </c:extLst>
        </c:ser>
        <c:ser>
          <c:idx val="0"/>
          <c:order val="3"/>
          <c:tx>
            <c:strRef>
              <c:f>'J1634 Calcs'!$AG$6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Calcs'!$AG$37:$AG$39</c:f>
              <c:numCache>
                <c:formatCode>0</c:formatCode>
                <c:ptCount val="3"/>
                <c:pt idx="0">
                  <c:v>398.26502519616264</c:v>
                </c:pt>
                <c:pt idx="1">
                  <c:v>320.17885310789728</c:v>
                </c:pt>
                <c:pt idx="2">
                  <c:v>238.84202855477292</c:v>
                </c:pt>
              </c:numCache>
            </c:numRef>
          </c:val>
          <c:extLst>
            <c:ext xmlns:c16="http://schemas.microsoft.com/office/drawing/2014/chart" uri="{C3380CC4-5D6E-409C-BE32-E72D297353CC}">
              <c16:uniqueId val="{00000003-493A-4C31-822B-826D379B44AF}"/>
            </c:ext>
          </c:extLst>
        </c:ser>
        <c:ser>
          <c:idx val="1"/>
          <c:order val="4"/>
          <c:tx>
            <c:strRef>
              <c:f>'J1634 Calcs'!$AH$6</c:f>
              <c:strCache>
                <c:ptCount val="1"/>
                <c:pt idx="0">
                  <c:v>+35C Ambient with 22C Cabin</c:v>
                </c:pt>
              </c:strCache>
            </c:strRef>
          </c:tx>
          <c:spPr>
            <a:solidFill>
              <a:schemeClr val="accent2"/>
            </a:solidFill>
          </c:spPr>
          <c:invertIfNegative val="0"/>
          <c:dLbls>
            <c:dLbl>
              <c:idx val="0"/>
              <c:numFmt formatCode="#,##0" sourceLinked="0"/>
              <c:spPr>
                <a:solidFill>
                  <a:schemeClr val="bg1"/>
                </a:solid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extLst>
                <c:ext xmlns:c16="http://schemas.microsoft.com/office/drawing/2014/chart" uri="{C3380CC4-5D6E-409C-BE32-E72D297353CC}">
                  <c16:uniqueId val="{00000000-CFDE-497A-9BE8-CA9F126816E7}"/>
                </c:ext>
              </c:extLst>
            </c:dLbl>
            <c:dLbl>
              <c:idx val="2"/>
              <c:numFmt formatCode="#,##0" sourceLinked="0"/>
              <c:spPr>
                <a:solidFill>
                  <a:schemeClr val="bg1"/>
                </a:solid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extLst>
                <c:ext xmlns:c16="http://schemas.microsoft.com/office/drawing/2014/chart" uri="{C3380CC4-5D6E-409C-BE32-E72D297353CC}">
                  <c16:uniqueId val="{00000001-CFDE-497A-9BE8-CA9F126816E7}"/>
                </c:ext>
              </c:extLst>
            </c:dLbl>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Calcs'!$AH$37:$AH$39</c:f>
              <c:numCache>
                <c:formatCode>0</c:formatCode>
                <c:ptCount val="3"/>
                <c:pt idx="0">
                  <c:v>325.67166726323046</c:v>
                </c:pt>
                <c:pt idx="1">
                  <c:v>311.17188161943665</c:v>
                </c:pt>
                <c:pt idx="2">
                  <c:v>236.14765718931019</c:v>
                </c:pt>
              </c:numCache>
            </c:numRef>
          </c:val>
          <c:extLst>
            <c:ext xmlns:c16="http://schemas.microsoft.com/office/drawing/2014/chart" uri="{C3380CC4-5D6E-409C-BE32-E72D297353CC}">
              <c16:uniqueId val="{00000004-493A-4C31-822B-826D379B44AF}"/>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Calcs'!$AI$37:$AI$39</c:f>
              <c:numCache>
                <c:formatCode>0</c:formatCode>
                <c:ptCount val="3"/>
                <c:pt idx="0">
                  <c:v>319.62135235817124</c:v>
                </c:pt>
                <c:pt idx="1">
                  <c:v>301.93967296961279</c:v>
                </c:pt>
                <c:pt idx="2">
                  <c:v>228.54904041976127</c:v>
                </c:pt>
              </c:numCache>
            </c:numRef>
          </c:val>
          <c:extLst>
            <c:ext xmlns:c16="http://schemas.microsoft.com/office/drawing/2014/chart" uri="{C3380CC4-5D6E-409C-BE32-E72D297353CC}">
              <c16:uniqueId val="{00000005-493A-4C31-822B-826D379B44AF}"/>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in val="0"/>
        </c:scaling>
        <c:delete val="0"/>
        <c:axPos val="l"/>
        <c:majorGridlines/>
        <c:title>
          <c:tx>
            <c:rich>
              <a:bodyPr/>
              <a:lstStyle/>
              <a:p>
                <a:pPr>
                  <a:defRPr sz="2400"/>
                </a:pPr>
                <a:r>
                  <a:rPr lang="en-US" sz="2400"/>
                  <a:t>Range [miles]</a:t>
                </a:r>
              </a:p>
            </c:rich>
          </c:tx>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Chevrolet Bolt </a:t>
            </a:r>
            <a:r>
              <a:rPr lang="en-US" sz="2400" baseline="0"/>
              <a:t>[DC Wh/mi]</a:t>
            </a:r>
            <a:endParaRPr lang="en-US" sz="2400"/>
          </a:p>
        </c:rich>
      </c:tx>
      <c:layout>
        <c:manualLayout>
          <c:xMode val="edge"/>
          <c:yMode val="edge"/>
          <c:x val="0.33800193460016464"/>
          <c:y val="1.7435899045163881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wrap="square" lIns="38100" tIns="19050" rIns="38100" bIns="19050" anchor="ctr">
                    <a:spAutoFit/>
                  </a:bodyPr>
                  <a:lstStyle/>
                  <a:p>
                    <a:pPr>
                      <a:defRPr sz="900" b="1"/>
                    </a:pPr>
                    <a:fld id="{52E43E02-3978-4016-A209-E6333B24FF45}" type="CELLREF">
                      <a:rPr lang="en-US" sz="900"/>
                      <a:pPr>
                        <a:defRPr sz="900" b="1"/>
                      </a:pPr>
                      <a:t>[CELLREF]</a:t>
                    </a:fld>
                    <a:endParaRPr lang="en-US"/>
                  </a:p>
                </c:rich>
              </c:tx>
              <c:numFmt formatCode="0.0" sourceLinked="0"/>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Calcs'!$AD$31</c15:f>
                      <c15:dlblFieldTableCache>
                        <c:ptCount val="1"/>
                        <c:pt idx="0">
                          <c:v>212%</c:v>
                        </c:pt>
                      </c15:dlblFieldTableCache>
                    </c15:dlblFTEntry>
                  </c15:dlblFieldTable>
                  <c15:showDataLabelsRange val="0"/>
                </c:ext>
                <c:ext xmlns:c16="http://schemas.microsoft.com/office/drawing/2014/chart" uri="{C3380CC4-5D6E-409C-BE32-E72D297353CC}">
                  <c16:uniqueId val="{00000000-DB61-490B-8BCB-D20C9B1BD130}"/>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Calcs'!$AD$32</c15:f>
                      <c15:dlblFieldTableCache>
                        <c:ptCount val="1"/>
                        <c:pt idx="0">
                          <c:v>80%</c:v>
                        </c:pt>
                      </c15:dlblFieldTableCache>
                    </c15:dlblFTEntry>
                  </c15:dlblFieldTable>
                  <c15:showDataLabelsRange val="0"/>
                </c:ext>
                <c:ext xmlns:c16="http://schemas.microsoft.com/office/drawing/2014/chart" uri="{C3380CC4-5D6E-409C-BE32-E72D297353CC}">
                  <c16:uniqueId val="{00000001-DB61-490B-8BCB-D20C9B1BD130}"/>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Calcs'!$AD$33</c15:f>
                      <c15:dlblFieldTableCache>
                        <c:ptCount val="1"/>
                        <c:pt idx="0">
                          <c:v>158%</c:v>
                        </c:pt>
                      </c15:dlblFieldTableCache>
                    </c15:dlblFTEntry>
                  </c15:dlblFieldTable>
                  <c15:showDataLabelsRange val="0"/>
                </c:ext>
                <c:ext xmlns:c16="http://schemas.microsoft.com/office/drawing/2014/chart" uri="{C3380CC4-5D6E-409C-BE32-E72D297353CC}">
                  <c16:uniqueId val="{00000002-DB61-490B-8BCB-D20C9B1BD130}"/>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Calcs'!$AD$34</c15:f>
                      <c15:dlblFieldTableCache>
                        <c:ptCount val="1"/>
                        <c:pt idx="0">
                          <c:v>54%</c:v>
                        </c:pt>
                      </c15:dlblFieldTableCache>
                    </c15:dlblFTEntry>
                  </c15:dlblFieldTable>
                  <c15:showDataLabelsRange val="0"/>
                </c:ext>
                <c:ext xmlns:c16="http://schemas.microsoft.com/office/drawing/2014/chart" uri="{C3380CC4-5D6E-409C-BE32-E72D297353CC}">
                  <c16:uniqueId val="{00000003-DB61-490B-8BCB-D20C9B1BD130}"/>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Calcs'!$AD$7:$AD$10</c:f>
              <c:numCache>
                <c:formatCode>0</c:formatCode>
                <c:ptCount val="4"/>
                <c:pt idx="0">
                  <c:v>535.58081962307995</c:v>
                </c:pt>
                <c:pt idx="1">
                  <c:v>363.02252448862623</c:v>
                </c:pt>
                <c:pt idx="2">
                  <c:v>423.74986958778777</c:v>
                </c:pt>
                <c:pt idx="3">
                  <c:v>414.91241336503037</c:v>
                </c:pt>
              </c:numCache>
            </c:numRef>
          </c:val>
          <c:extLst>
            <c:ext xmlns:c16="http://schemas.microsoft.com/office/drawing/2014/chart" uri="{C3380CC4-5D6E-409C-BE32-E72D297353CC}">
              <c16:uniqueId val="{00000004-DB61-490B-8BCB-D20C9B1BD13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Calcs'!$AE$31</c15:f>
                      <c15:dlblFieldTableCache>
                        <c:ptCount val="1"/>
                        <c:pt idx="0">
                          <c:v>151%</c:v>
                        </c:pt>
                      </c15:dlblFieldTableCache>
                    </c15:dlblFTEntry>
                  </c15:dlblFieldTable>
                  <c15:showDataLabelsRange val="0"/>
                </c:ext>
                <c:ext xmlns:c16="http://schemas.microsoft.com/office/drawing/2014/chart" uri="{C3380CC4-5D6E-409C-BE32-E72D297353CC}">
                  <c16:uniqueId val="{00000005-DB61-490B-8BCB-D20C9B1BD130}"/>
                </c:ext>
              </c:extLst>
            </c:dLbl>
            <c:dLbl>
              <c:idx val="1"/>
              <c:layout>
                <c:manualLayout>
                  <c:x val="2.9774922838920427E-3"/>
                  <c:y val="-4.8094838738527417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Calcs'!$AE$32</c15:f>
                      <c15:dlblFieldTableCache>
                        <c:ptCount val="1"/>
                        <c:pt idx="0">
                          <c:v>55%</c:v>
                        </c:pt>
                      </c15:dlblFieldTableCache>
                    </c15:dlblFTEntry>
                  </c15:dlblFieldTable>
                  <c15:showDataLabelsRange val="0"/>
                </c:ext>
                <c:ext xmlns:c16="http://schemas.microsoft.com/office/drawing/2014/chart" uri="{C3380CC4-5D6E-409C-BE32-E72D297353CC}">
                  <c16:uniqueId val="{00000006-DB61-490B-8BCB-D20C9B1BD130}"/>
                </c:ext>
              </c:extLst>
            </c:dLbl>
            <c:dLbl>
              <c:idx val="2"/>
              <c:layout>
                <c:manualLayout>
                  <c:x val="2.8466229016928233E-3"/>
                  <c:y val="-1.4772854756803531E-2"/>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Calcs'!$AE$33</c15:f>
                      <c15:dlblFieldTableCache>
                        <c:ptCount val="1"/>
                        <c:pt idx="0">
                          <c:v>107%</c:v>
                        </c:pt>
                      </c15:dlblFieldTableCache>
                    </c15:dlblFTEntry>
                  </c15:dlblFieldTable>
                  <c15:showDataLabelsRange val="0"/>
                </c:ext>
                <c:ext xmlns:c16="http://schemas.microsoft.com/office/drawing/2014/chart" uri="{C3380CC4-5D6E-409C-BE32-E72D297353CC}">
                  <c16:uniqueId val="{00000007-DB61-490B-8BCB-D20C9B1BD130}"/>
                </c:ext>
              </c:extLst>
            </c:dLbl>
            <c:dLbl>
              <c:idx val="3"/>
              <c:layout>
                <c:manualLayout>
                  <c:x val="3.4346797661501992E-3"/>
                  <c:y val="-1.2454213603688487E-2"/>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Calcs'!$AE$34</c15:f>
                      <c15:dlblFieldTableCache>
                        <c:ptCount val="1"/>
                        <c:pt idx="0">
                          <c:v>38%</c:v>
                        </c:pt>
                      </c15:dlblFieldTableCache>
                    </c15:dlblFTEntry>
                  </c15:dlblFieldTable>
                  <c15:showDataLabelsRange val="0"/>
                </c:ext>
                <c:ext xmlns:c16="http://schemas.microsoft.com/office/drawing/2014/chart" uri="{C3380CC4-5D6E-409C-BE32-E72D297353CC}">
                  <c16:uniqueId val="{00000008-DB61-490B-8BCB-D20C9B1BD130}"/>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'J1634 Calcs'!$AC$7:$AC$10</c:f>
              <c:strCache>
                <c:ptCount val="4"/>
                <c:pt idx="0">
                  <c:v>UDDS#1</c:v>
                </c:pt>
                <c:pt idx="1">
                  <c:v>HWY#1</c:v>
                </c:pt>
                <c:pt idx="2">
                  <c:v>UDDS#2</c:v>
                </c:pt>
                <c:pt idx="3">
                  <c:v>US06#1</c:v>
                </c:pt>
              </c:strCache>
            </c:strRef>
          </c:cat>
          <c:val>
            <c:numRef>
              <c:f>'J1634 Calcs'!$AE$7:$AE$10</c:f>
              <c:numCache>
                <c:formatCode>0</c:formatCode>
                <c:ptCount val="4"/>
                <c:pt idx="0">
                  <c:v>431.3822994414445</c:v>
                </c:pt>
                <c:pt idx="1">
                  <c:v>311.38109430516528</c:v>
                </c:pt>
                <c:pt idx="2">
                  <c:v>339.5422297261257</c:v>
                </c:pt>
                <c:pt idx="3">
                  <c:v>371.4121574672119</c:v>
                </c:pt>
              </c:numCache>
            </c:numRef>
          </c:val>
          <c:extLst>
            <c:ext xmlns:c16="http://schemas.microsoft.com/office/drawing/2014/chart" uri="{C3380CC4-5D6E-409C-BE32-E72D297353CC}">
              <c16:uniqueId val="{00000009-DB61-490B-8BCB-D20C9B1BD13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Calcs'!$AF$31</c15:f>
                      <c15:dlblFieldTableCache>
                        <c:ptCount val="1"/>
                        <c:pt idx="0">
                          <c:v>132%</c:v>
                        </c:pt>
                      </c15:dlblFieldTableCache>
                    </c15:dlblFTEntry>
                  </c15:dlblFieldTable>
                  <c15:showDataLabelsRange val="0"/>
                </c:ext>
                <c:ext xmlns:c16="http://schemas.microsoft.com/office/drawing/2014/chart" uri="{C3380CC4-5D6E-409C-BE32-E72D297353CC}">
                  <c16:uniqueId val="{0000000A-DB61-490B-8BCB-D20C9B1BD130}"/>
                </c:ext>
              </c:extLst>
            </c:dLbl>
            <c:dLbl>
              <c:idx val="1"/>
              <c:layout>
                <c:manualLayout>
                  <c:x val="3.1083616660911623E-3"/>
                  <c:y val="-7.4725281622131379E-3"/>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Calcs'!$AF$32</c15:f>
                      <c15:dlblFieldTableCache>
                        <c:ptCount val="1"/>
                        <c:pt idx="0">
                          <c:v>56%</c:v>
                        </c:pt>
                      </c15:dlblFieldTableCache>
                    </c15:dlblFTEntry>
                  </c15:dlblFieldTable>
                  <c15:showDataLabelsRange val="0"/>
                </c:ext>
                <c:ext xmlns:c16="http://schemas.microsoft.com/office/drawing/2014/chart" uri="{C3380CC4-5D6E-409C-BE32-E72D297353CC}">
                  <c16:uniqueId val="{0000000B-DB61-490B-8BCB-D20C9B1BD130}"/>
                </c:ext>
              </c:extLst>
            </c:dLbl>
            <c:dLbl>
              <c:idx val="2"/>
              <c:layout>
                <c:manualLayout>
                  <c:x val="2.9774922838919429E-3"/>
                  <c:y val="1.0135572450573397E-2"/>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Calcs'!$AF$33</c15:f>
                      <c15:dlblFieldTableCache>
                        <c:ptCount val="1"/>
                        <c:pt idx="0">
                          <c:v>112%</c:v>
                        </c:pt>
                      </c15:dlblFieldTableCache>
                    </c15:dlblFTEntry>
                  </c15:dlblFieldTable>
                  <c15:showDataLabelsRange val="0"/>
                </c:ext>
                <c:ext xmlns:c16="http://schemas.microsoft.com/office/drawing/2014/chart" uri="{C3380CC4-5D6E-409C-BE32-E72D297353CC}">
                  <c16:uniqueId val="{0000000C-DB61-490B-8BCB-D20C9B1BD130}"/>
                </c:ext>
              </c:extLst>
            </c:dLbl>
            <c:dLbl>
              <c:idx val="3"/>
              <c:layout>
                <c:manualLayout>
                  <c:x val="-9.957647873211931E-17"/>
                  <c:y val="1.2454213603688442E-2"/>
                </c:manualLayout>
              </c:layout>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Calcs'!$AF$34</c15:f>
                      <c15:dlblFieldTableCache>
                        <c:ptCount val="1"/>
                        <c:pt idx="0">
                          <c:v>38%</c:v>
                        </c:pt>
                      </c15:dlblFieldTableCache>
                    </c15:dlblFTEntry>
                  </c15:dlblFieldTable>
                  <c15:showDataLabelsRange val="0"/>
                </c:ext>
                <c:ext xmlns:c16="http://schemas.microsoft.com/office/drawing/2014/chart" uri="{C3380CC4-5D6E-409C-BE32-E72D297353CC}">
                  <c16:uniqueId val="{0000000D-DB61-490B-8BCB-D20C9B1BD130}"/>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'J1634 Calcs'!$AC$7:$AC$10</c:f>
              <c:strCache>
                <c:ptCount val="4"/>
                <c:pt idx="0">
                  <c:v>UDDS#1</c:v>
                </c:pt>
                <c:pt idx="1">
                  <c:v>HWY#1</c:v>
                </c:pt>
                <c:pt idx="2">
                  <c:v>UDDS#2</c:v>
                </c:pt>
                <c:pt idx="3">
                  <c:v>US06#1</c:v>
                </c:pt>
              </c:strCache>
            </c:strRef>
          </c:cat>
          <c:val>
            <c:numRef>
              <c:f>'J1634 Calcs'!$AF$7:$AF$10</c:f>
              <c:numCache>
                <c:formatCode>0</c:formatCode>
                <c:ptCount val="4"/>
                <c:pt idx="0">
                  <c:v>398.14452631280835</c:v>
                </c:pt>
                <c:pt idx="1">
                  <c:v>315.05056036409576</c:v>
                </c:pt>
                <c:pt idx="2">
                  <c:v>347.23225791628221</c:v>
                </c:pt>
                <c:pt idx="3">
                  <c:v>373.875230236015</c:v>
                </c:pt>
              </c:numCache>
            </c:numRef>
          </c:val>
          <c:extLst>
            <c:ext xmlns:c16="http://schemas.microsoft.com/office/drawing/2014/chart" uri="{C3380CC4-5D6E-409C-BE32-E72D297353CC}">
              <c16:uniqueId val="{0000000E-DB61-490B-8BCB-D20C9B1BD130}"/>
            </c:ext>
          </c:extLst>
        </c:ser>
        <c:ser>
          <c:idx val="0"/>
          <c:order val="3"/>
          <c:tx>
            <c:strRef>
              <c:f>'J1634 Calcs'!$AG$6</c:f>
              <c:strCache>
                <c:ptCount val="1"/>
                <c:pt idx="0">
                  <c:v>+22C Ambient with Climate off</c:v>
                </c:pt>
              </c:strCache>
            </c:strRef>
          </c:tx>
          <c:spPr>
            <a:solidFill>
              <a:schemeClr val="accent3"/>
            </a:solidFill>
          </c:spPr>
          <c:invertIfNegative val="0"/>
          <c:cat>
            <c:strRef>
              <c:f>'J1634 Calcs'!$AC$7:$AC$10</c:f>
              <c:strCache>
                <c:ptCount val="4"/>
                <c:pt idx="0">
                  <c:v>UDDS#1</c:v>
                </c:pt>
                <c:pt idx="1">
                  <c:v>HWY#1</c:v>
                </c:pt>
                <c:pt idx="2">
                  <c:v>UDDS#2</c:v>
                </c:pt>
                <c:pt idx="3">
                  <c:v>US06#1</c:v>
                </c:pt>
              </c:strCache>
            </c:strRef>
          </c:cat>
          <c:val>
            <c:numRef>
              <c:f>'J1634 Calcs'!$AG$7:$AG$10</c:f>
              <c:numCache>
                <c:formatCode>0</c:formatCode>
                <c:ptCount val="4"/>
                <c:pt idx="0">
                  <c:v>171.68219040147656</c:v>
                </c:pt>
                <c:pt idx="1">
                  <c:v>201.41867388808302</c:v>
                </c:pt>
                <c:pt idx="2">
                  <c:v>163.95361064234356</c:v>
                </c:pt>
                <c:pt idx="3">
                  <c:v>270.01110478849705</c:v>
                </c:pt>
              </c:numCache>
            </c:numRef>
          </c:val>
          <c:extLst>
            <c:ext xmlns:c16="http://schemas.microsoft.com/office/drawing/2014/chart" uri="{C3380CC4-5D6E-409C-BE32-E72D297353CC}">
              <c16:uniqueId val="{0000000F-DB61-490B-8BCB-D20C9B1BD13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Calcs'!$AH$31</c15:f>
                      <c15:dlblFieldTableCache>
                        <c:ptCount val="1"/>
                        <c:pt idx="0">
                          <c:v>30%</c:v>
                        </c:pt>
                      </c15:dlblFieldTableCache>
                    </c15:dlblFTEntry>
                  </c15:dlblFieldTable>
                  <c15:showDataLabelsRange val="0"/>
                </c:ext>
                <c:ext xmlns:c16="http://schemas.microsoft.com/office/drawing/2014/chart" uri="{C3380CC4-5D6E-409C-BE32-E72D297353CC}">
                  <c16:uniqueId val="{00000010-DB61-490B-8BCB-D20C9B1BD130}"/>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Calcs'!$AH$32</c15:f>
                      <c15:dlblFieldTableCache>
                        <c:ptCount val="1"/>
                        <c:pt idx="0">
                          <c:v>3%</c:v>
                        </c:pt>
                      </c15:dlblFieldTableCache>
                    </c15:dlblFTEntry>
                  </c15:dlblFieldTable>
                  <c15:showDataLabelsRange val="0"/>
                </c:ext>
                <c:ext xmlns:c16="http://schemas.microsoft.com/office/drawing/2014/chart" uri="{C3380CC4-5D6E-409C-BE32-E72D297353CC}">
                  <c16:uniqueId val="{00000011-DB61-490B-8BCB-D20C9B1BD130}"/>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Calcs'!$AH$33</c15:f>
                      <c15:dlblFieldTableCache>
                        <c:ptCount val="1"/>
                        <c:pt idx="0">
                          <c:v>20%</c:v>
                        </c:pt>
                      </c15:dlblFieldTableCache>
                    </c15:dlblFTEntry>
                  </c15:dlblFieldTable>
                  <c15:showDataLabelsRange val="0"/>
                </c:ext>
                <c:ext xmlns:c16="http://schemas.microsoft.com/office/drawing/2014/chart" uri="{C3380CC4-5D6E-409C-BE32-E72D297353CC}">
                  <c16:uniqueId val="{00000012-DB61-490B-8BCB-D20C9B1BD130}"/>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Calcs'!$AH$34</c15:f>
                      <c15:dlblFieldTableCache>
                        <c:ptCount val="1"/>
                        <c:pt idx="0">
                          <c:v>1%</c:v>
                        </c:pt>
                      </c15:dlblFieldTableCache>
                    </c15:dlblFTEntry>
                  </c15:dlblFieldTable>
                  <c15:showDataLabelsRange val="0"/>
                </c:ext>
                <c:ext xmlns:c16="http://schemas.microsoft.com/office/drawing/2014/chart" uri="{C3380CC4-5D6E-409C-BE32-E72D297353CC}">
                  <c16:uniqueId val="{00000013-DB61-490B-8BCB-D20C9B1BD130}"/>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Calcs'!$AH$7:$AH$10</c:f>
              <c:numCache>
                <c:formatCode>0</c:formatCode>
                <c:ptCount val="4"/>
                <c:pt idx="0">
                  <c:v>222.81597643414426</c:v>
                </c:pt>
                <c:pt idx="1">
                  <c:v>207.24880302286215</c:v>
                </c:pt>
                <c:pt idx="2">
                  <c:v>197.36417977936662</c:v>
                </c:pt>
                <c:pt idx="3">
                  <c:v>273.09184756510598</c:v>
                </c:pt>
              </c:numCache>
            </c:numRef>
          </c:val>
          <c:extLst>
            <c:ext xmlns:c16="http://schemas.microsoft.com/office/drawing/2014/chart" uri="{C3380CC4-5D6E-409C-BE32-E72D297353CC}">
              <c16:uniqueId val="{00000014-DB61-490B-8BCB-D20C9B1BD13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Calcs'!$AI$31</c15:f>
                      <c15:dlblFieldTableCache>
                        <c:ptCount val="1"/>
                        <c:pt idx="0">
                          <c:v>26%</c:v>
                        </c:pt>
                      </c15:dlblFieldTableCache>
                    </c15:dlblFTEntry>
                  </c15:dlblFieldTable>
                  <c15:showDataLabelsRange val="0"/>
                </c:ext>
                <c:ext xmlns:c16="http://schemas.microsoft.com/office/drawing/2014/chart" uri="{C3380CC4-5D6E-409C-BE32-E72D297353CC}">
                  <c16:uniqueId val="{00000015-DB61-490B-8BCB-D20C9B1BD130}"/>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Calcs'!$AI$32</c15:f>
                      <c15:dlblFieldTableCache>
                        <c:ptCount val="1"/>
                        <c:pt idx="0">
                          <c:v>6%</c:v>
                        </c:pt>
                      </c15:dlblFieldTableCache>
                    </c15:dlblFTEntry>
                  </c15:dlblFieldTable>
                  <c15:showDataLabelsRange val="0"/>
                </c:ext>
                <c:ext xmlns:c16="http://schemas.microsoft.com/office/drawing/2014/chart" uri="{C3380CC4-5D6E-409C-BE32-E72D297353CC}">
                  <c16:uniqueId val="{00000016-DB61-490B-8BCB-D20C9B1BD130}"/>
                </c:ext>
              </c:extLst>
            </c:dLbl>
            <c:dLbl>
              <c:idx val="2"/>
              <c:layout>
                <c:manualLayout>
                  <c:x val="2.715753519493604E-3"/>
                  <c:y val="0"/>
                </c:manualLayout>
              </c:layout>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Calcs'!$AI$33</c15:f>
                      <c15:dlblFieldTableCache>
                        <c:ptCount val="1"/>
                        <c:pt idx="0">
                          <c:v>23%</c:v>
                        </c:pt>
                      </c15:dlblFieldTableCache>
                    </c15:dlblFTEntry>
                  </c15:dlblFieldTable>
                  <c15:showDataLabelsRange val="0"/>
                </c:ext>
                <c:ext xmlns:c16="http://schemas.microsoft.com/office/drawing/2014/chart" uri="{C3380CC4-5D6E-409C-BE32-E72D297353CC}">
                  <c16:uniqueId val="{00000017-DB61-490B-8BCB-D20C9B1BD130}"/>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Calcs'!$AI$34</c15:f>
                      <c15:dlblFieldTableCache>
                        <c:ptCount val="1"/>
                        <c:pt idx="0">
                          <c:v>5%</c:v>
                        </c:pt>
                      </c15:dlblFieldTableCache>
                    </c15:dlblFTEntry>
                  </c15:dlblFieldTable>
                  <c15:showDataLabelsRange val="0"/>
                </c:ext>
                <c:ext xmlns:c16="http://schemas.microsoft.com/office/drawing/2014/chart" uri="{C3380CC4-5D6E-409C-BE32-E72D297353CC}">
                  <c16:uniqueId val="{00000018-DB61-490B-8BCB-D20C9B1BD130}"/>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Calcs'!$AI$7:$AI$10</c:f>
              <c:numCache>
                <c:formatCode>0</c:formatCode>
                <c:ptCount val="4"/>
                <c:pt idx="0">
                  <c:v>216.41664329048987</c:v>
                </c:pt>
                <c:pt idx="1">
                  <c:v>213.58571189315117</c:v>
                </c:pt>
                <c:pt idx="2">
                  <c:v>201.39321481124568</c:v>
                </c:pt>
                <c:pt idx="3">
                  <c:v>282.17138816927599</c:v>
                </c:pt>
              </c:numCache>
            </c:numRef>
          </c:val>
          <c:extLst>
            <c:ext xmlns:c16="http://schemas.microsoft.com/office/drawing/2014/chart" uri="{C3380CC4-5D6E-409C-BE32-E72D297353CC}">
              <c16:uniqueId val="{00000019-DB61-490B-8BCB-D20C9B1BD13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Chevrolet Bolt [AC Wh/mi]</a:t>
            </a:r>
          </a:p>
        </c:rich>
      </c:tx>
      <c:layout>
        <c:manualLayout>
          <c:xMode val="edge"/>
          <c:yMode val="edge"/>
          <c:x val="0.34597659346833848"/>
          <c:y val="1.9912385503783353E-2"/>
        </c:manualLayout>
      </c:layout>
      <c:overlay val="0"/>
    </c:title>
    <c:autoTitleDeleted val="0"/>
    <c:plotArea>
      <c:layout/>
      <c:barChart>
        <c:barDir val="col"/>
        <c:grouping val="clustered"/>
        <c:varyColors val="0"/>
        <c:ser>
          <c:idx val="3"/>
          <c:order val="0"/>
          <c:tx>
            <c:strRef>
              <c:f>'J1634 Calcs  no precondition'!$AD$6</c:f>
              <c:strCache>
                <c:ptCount val="1"/>
                <c:pt idx="0">
                  <c:v>-18C Ambient with 22oC Cabin</c:v>
                </c:pt>
              </c:strCache>
            </c:strRef>
          </c:tx>
          <c:spPr>
            <a:solidFill>
              <a:schemeClr val="accent4"/>
            </a:solidFill>
          </c:spPr>
          <c:invertIfNegative val="0"/>
          <c:dLbls>
            <c:dLbl>
              <c:idx val="0"/>
              <c:layout>
                <c:manualLayout>
                  <c:x val="1.4887582923543822E-3"/>
                  <c:y val="7.9889789833237929E-3"/>
                </c:manualLayout>
              </c:layout>
              <c:tx>
                <c:rich>
                  <a:bodyPr/>
                  <a:lstStyle/>
                  <a:p>
                    <a:fld id="{B0945F62-8997-4AC0-A2D7-322D125A555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{B0945F62-8997-4AC0-A2D7-322D125A555E}</c15:txfldGUID>
                      <c15:f>'J1634 Calcs  no precondition'!$AD$18</c15:f>
                      <c15:dlblFieldTableCache>
                        <c:ptCount val="1"/>
                        <c:pt idx="0">
                          <c:v>175%</c:v>
                        </c:pt>
                      </c15:dlblFieldTableCache>
                    </c15:dlblFTEntry>
                  </c15:dlblFieldTable>
                  <c15:showDataLabelsRange val="0"/>
                </c:ext>
                <c:ext xmlns:c16="http://schemas.microsoft.com/office/drawing/2014/chart" uri="{C3380CC4-5D6E-409C-BE32-E72D297353CC}">
                  <c16:uniqueId val="{00000000-20C2-4257-89C7-B591020ECC38}"/>
                </c:ext>
              </c:extLst>
            </c:dLbl>
            <c:dLbl>
              <c:idx val="1"/>
              <c:tx>
                <c:rich>
                  <a:bodyPr/>
                  <a:lstStyle/>
                  <a:p>
                    <a:fld id="{14E10095-01E0-40E2-BF85-F19478A01C2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{14E10095-01E0-40E2-BF85-F19478A01C28}</c15:txfldGUID>
                      <c15:f>'J1634 Calcs  no precondition'!$AD$19</c15:f>
                      <c15:dlblFieldTableCache>
                        <c:ptCount val="1"/>
                        <c:pt idx="0">
                          <c:v>86%</c:v>
                        </c:pt>
                      </c15:dlblFieldTableCache>
                    </c15:dlblFTEntry>
                  </c15:dlblFieldTable>
                  <c15:showDataLabelsRange val="0"/>
                </c:ext>
                <c:ext xmlns:c16="http://schemas.microsoft.com/office/drawing/2014/chart" uri="{C3380CC4-5D6E-409C-BE32-E72D297353CC}">
                  <c16:uniqueId val="{00000001-20C2-4257-89C7-B591020ECC38}"/>
                </c:ext>
              </c:extLst>
            </c:dLbl>
            <c:dLbl>
              <c:idx val="2"/>
              <c:tx>
                <c:rich>
                  <a:bodyPr/>
                  <a:lstStyle/>
                  <a:p>
                    <a:fld id="{3784444F-7979-445F-B3D6-AEBFD582BD9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{3784444F-7979-445F-B3D6-AEBFD582BD98}</c15:txfldGUID>
                      <c15:f>'J1634 Calcs  no precondition'!$AD$20</c15:f>
                      <c15:dlblFieldTableCache>
                        <c:ptCount val="1"/>
                        <c:pt idx="0">
                          <c:v>59%</c:v>
                        </c:pt>
                      </c15:dlblFieldTableCache>
                    </c15:dlblFTEntry>
                  </c15:dlblFieldTable>
                  <c15:showDataLabelsRange val="0"/>
                </c:ext>
                <c:ext xmlns:c16="http://schemas.microsoft.com/office/drawing/2014/chart" uri="{C3380CC4-5D6E-409C-BE32-E72D297353CC}">
                  <c16:uniqueId val="{00000002-20C2-4257-89C7-B591020ECC38}"/>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precondition'!$AD$13:$AD$15</c:f>
              <c:numCache>
                <c:formatCode>0</c:formatCode>
                <c:ptCount val="3"/>
                <c:pt idx="0">
                  <c:v>489.38237991868084</c:v>
                </c:pt>
                <c:pt idx="1">
                  <c:v>412.20251589157618</c:v>
                </c:pt>
                <c:pt idx="2">
                  <c:v>471.1221181237463</c:v>
                </c:pt>
              </c:numCache>
            </c:numRef>
          </c:val>
          <c:extLst>
            <c:ext xmlns:c16="http://schemas.microsoft.com/office/drawing/2014/chart" uri="{C3380CC4-5D6E-409C-BE32-E72D297353CC}">
              <c16:uniqueId val="{00000003-20C2-4257-89C7-B591020ECC38}"/>
            </c:ext>
          </c:extLst>
        </c:ser>
        <c:ser>
          <c:idx val="4"/>
          <c:order val="1"/>
          <c:tx>
            <c:strRef>
              <c:f>'J1634 Calcs  no precondition'!$AE$6</c:f>
              <c:strCache>
                <c:ptCount val="1"/>
                <c:pt idx="0">
                  <c:v>-7C Ambient with 22C Cabin (no-precondition)</c:v>
                </c:pt>
              </c:strCache>
            </c:strRef>
          </c:tx>
          <c:spPr>
            <a:solidFill>
              <a:schemeClr val="tx2">
                <a:lumMod val="60000"/>
                <a:lumOff val="40000"/>
              </a:schemeClr>
            </a:solidFill>
            <a:ln>
              <a:solidFill>
                <a:sysClr val="windowText" lastClr="000000"/>
              </a:solidFill>
            </a:ln>
          </c:spPr>
          <c:invertIfNegative val="0"/>
          <c:dLbls>
            <c:dLbl>
              <c:idx val="0"/>
              <c:layout>
                <c:manualLayout>
                  <c:x val="2.9775165847087644E-3"/>
                  <c:y val="2.662992994441264E-3"/>
                </c:manualLayout>
              </c:layout>
              <c:tx>
                <c:rich>
                  <a:bodyPr/>
                  <a:lstStyle/>
                  <a:p>
                    <a:fld id="{CF963985-D3E1-4705-A63C-6308912A1BA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{CF963985-D3E1-4705-A63C-6308912A1BA1}</c15:txfldGUID>
                      <c15:f>'J1634 Calcs  no precondition'!$AE$18</c15:f>
                      <c15:dlblFieldTableCache>
                        <c:ptCount val="1"/>
                        <c:pt idx="0">
                          <c:v>115%</c:v>
                        </c:pt>
                      </c15:dlblFieldTableCache>
                    </c15:dlblFTEntry>
                  </c15:dlblFieldTable>
                  <c15:showDataLabelsRange val="0"/>
                </c:ext>
                <c:ext xmlns:c16="http://schemas.microsoft.com/office/drawing/2014/chart" uri="{C3380CC4-5D6E-409C-BE32-E72D297353CC}">
                  <c16:uniqueId val="{00000004-20C2-4257-89C7-B591020ECC38}"/>
                </c:ext>
              </c:extLst>
            </c:dLbl>
            <c:dLbl>
              <c:idx val="1"/>
              <c:layout>
                <c:manualLayout>
                  <c:x val="2.9775165847086551E-3"/>
                  <c:y val="2.6629929944412154E-3"/>
                </c:manualLayout>
              </c:layout>
              <c:tx>
                <c:rich>
                  <a:bodyPr/>
                  <a:lstStyle/>
                  <a:p>
                    <a:fld id="{E0F95126-373F-4982-8A26-A1187FDA1A7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{E0F95126-373F-4982-8A26-A1187FDA1A7E}</c15:txfldGUID>
                      <c15:f>'J1634 Calcs  no precondition'!$AE$19</c15:f>
                      <c15:dlblFieldTableCache>
                        <c:ptCount val="1"/>
                        <c:pt idx="0">
                          <c:v>56%</c:v>
                        </c:pt>
                      </c15:dlblFieldTableCache>
                    </c15:dlblFTEntry>
                  </c15:dlblFieldTable>
                  <c15:showDataLabelsRange val="0"/>
                </c:ext>
                <c:ext xmlns:c16="http://schemas.microsoft.com/office/drawing/2014/chart" uri="{C3380CC4-5D6E-409C-BE32-E72D297353CC}">
                  <c16:uniqueId val="{00000005-20C2-4257-89C7-B591020ECC38}"/>
                </c:ext>
              </c:extLst>
            </c:dLbl>
            <c:dLbl>
              <c:idx val="2"/>
              <c:layout>
                <c:manualLayout>
                  <c:x val="1.4887582923543822E-3"/>
                  <c:y val="2.662992994441264E-3"/>
                </c:manualLayout>
              </c:layout>
              <c:tx>
                <c:rich>
                  <a:bodyPr/>
                  <a:lstStyle/>
                  <a:p>
                    <a:fld id="{E540FF63-EEA2-452B-AF6B-2E02EC30DA3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{E540FF63-EEA2-452B-AF6B-2E02EC30DA3D}</c15:txfldGUID>
                      <c15:f>'J1634 Calcs  no precondition'!$AE$20</c15:f>
                      <c15:dlblFieldTableCache>
                        <c:ptCount val="1"/>
                        <c:pt idx="0">
                          <c:v>39%</c:v>
                        </c:pt>
                      </c15:dlblFieldTableCache>
                    </c15:dlblFTEntry>
                  </c15:dlblFieldTable>
                  <c15:showDataLabelsRange val="0"/>
                </c:ext>
                <c:ext xmlns:c16="http://schemas.microsoft.com/office/drawing/2014/chart" uri="{C3380CC4-5D6E-409C-BE32-E72D297353CC}">
                  <c16:uniqueId val="{00000006-20C2-4257-89C7-B591020ECC38}"/>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precondition'!$AE$13:$AE$15</c:f>
              <c:numCache>
                <c:formatCode>0</c:formatCode>
                <c:ptCount val="3"/>
                <c:pt idx="0">
                  <c:v>382.59937123005881</c:v>
                </c:pt>
                <c:pt idx="1">
                  <c:v>346.0745122213882</c:v>
                </c:pt>
                <c:pt idx="2">
                  <c:v>412.79410850354435</c:v>
                </c:pt>
              </c:numCache>
            </c:numRef>
          </c:val>
          <c:extLst>
            <c:ext xmlns:c16="http://schemas.microsoft.com/office/drawing/2014/chart" uri="{C3380CC4-5D6E-409C-BE32-E72D297353CC}">
              <c16:uniqueId val="{00000007-20C2-4257-89C7-B591020ECC38}"/>
            </c:ext>
          </c:extLst>
        </c:ser>
        <c:ser>
          <c:idx val="0"/>
          <c:order val="3"/>
          <c:tx>
            <c:strRef>
              <c:f>'J1634 Calcs  no precondition'!$AG$6</c:f>
              <c:strCache>
                <c:ptCount val="1"/>
                <c:pt idx="0">
                  <c:v>+22C Ambient with Climate off</c:v>
                </c:pt>
              </c:strCache>
            </c:strRef>
          </c:tx>
          <c:spPr>
            <a:solidFill>
              <a:schemeClr val="accent3"/>
            </a:solidFill>
          </c:spPr>
          <c:invertIfNegative val="0"/>
          <c:cat>
            <c:strRef>
              <c:f>'J1634 Calcs  no precondition'!$AC$13:$AC$15</c:f>
              <c:strCache>
                <c:ptCount val="3"/>
                <c:pt idx="0">
                  <c:v>UDDS</c:v>
                </c:pt>
                <c:pt idx="1">
                  <c:v>HWY</c:v>
                </c:pt>
                <c:pt idx="2">
                  <c:v>US06</c:v>
                </c:pt>
              </c:strCache>
            </c:strRef>
          </c:cat>
          <c:val>
            <c:numRef>
              <c:f>'J1634 Calcs  no precondition'!$AG$13:$AG$15</c:f>
              <c:numCache>
                <c:formatCode>0</c:formatCode>
                <c:ptCount val="3"/>
                <c:pt idx="0">
                  <c:v>177.94949718743936</c:v>
                </c:pt>
                <c:pt idx="1">
                  <c:v>221.34835043936246</c:v>
                </c:pt>
                <c:pt idx="2">
                  <c:v>296.72776357594597</c:v>
                </c:pt>
              </c:numCache>
            </c:numRef>
          </c:val>
          <c:extLst>
            <c:ext xmlns:c16="http://schemas.microsoft.com/office/drawing/2014/chart" uri="{C3380CC4-5D6E-409C-BE32-E72D297353CC}">
              <c16:uniqueId val="{0000000C-20C2-4257-89C7-B591020ECC38}"/>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layout>
                <c:manualLayout>
                  <c:x val="-5.7374609698714345E-4"/>
                  <c:y val="-2.6366271868346206E-3"/>
                </c:manualLayout>
              </c:layout>
              <c:tx>
                <c:rich>
                  <a:bodyPr/>
                  <a:lstStyle/>
                  <a:p>
                    <a:fld id="{F78FDACD-EBF6-42C8-8A5C-DABB4D21E63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{F78FDACD-EBF6-42C8-8A5C-DABB4D21E633}</c15:txfldGUID>
                      <c15:f>'J1634 Calcs  no precondition'!$AH$18</c15:f>
                      <c15:dlblFieldTableCache>
                        <c:ptCount val="1"/>
                        <c:pt idx="0">
                          <c:v>29%</c:v>
                        </c:pt>
                      </c15:dlblFieldTableCache>
                    </c15:dlblFTEntry>
                  </c15:dlblFieldTable>
                  <c15:showDataLabelsRange val="0"/>
                </c:ext>
                <c:ext xmlns:c16="http://schemas.microsoft.com/office/drawing/2014/chart" uri="{C3380CC4-5D6E-409C-BE32-E72D297353CC}">
                  <c16:uniqueId val="{0000000D-20C2-4257-89C7-B591020ECC38}"/>
                </c:ext>
              </c:extLst>
            </c:dLbl>
            <c:dLbl>
              <c:idx val="1"/>
              <c:tx>
                <c:rich>
                  <a:bodyPr/>
                  <a:lstStyle/>
                  <a:p>
                    <a:fld id="{E0400D18-C037-4BDC-94A0-88505510BF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{E0400D18-C037-4BDC-94A0-88505510BFE6}</c15:txfldGUID>
                      <c15:f>'J1634 Calcs  no precondition'!$AH$19</c15:f>
                      <c15:dlblFieldTableCache>
                        <c:ptCount val="1"/>
                        <c:pt idx="0">
                          <c:v>8%</c:v>
                        </c:pt>
                      </c15:dlblFieldTableCache>
                    </c15:dlblFTEntry>
                  </c15:dlblFieldTable>
                  <c15:showDataLabelsRange val="0"/>
                </c:ext>
                <c:ext xmlns:c16="http://schemas.microsoft.com/office/drawing/2014/chart" uri="{C3380CC4-5D6E-409C-BE32-E72D297353CC}">
                  <c16:uniqueId val="{0000000E-20C2-4257-89C7-B591020ECC38}"/>
                </c:ext>
              </c:extLst>
            </c:dLbl>
            <c:dLbl>
              <c:idx val="2"/>
              <c:tx>
                <c:rich>
                  <a:bodyPr/>
                  <a:lstStyle/>
                  <a:p>
                    <a:fld id="{9745F343-DA76-4EDC-9AD6-356F2B869D74}"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{9745F343-DA76-4EDC-9AD6-356F2B869D74}</c15:txfldGUID>
                      <c15:f>'J1634 Calcs  no precondition'!$AH$20</c15:f>
                      <c15:dlblFieldTableCache>
                        <c:ptCount val="1"/>
                        <c:pt idx="0">
                          <c:v>6%</c:v>
                        </c:pt>
                      </c15:dlblFieldTableCache>
                    </c15:dlblFTEntry>
                  </c15:dlblFieldTable>
                  <c15:showDataLabelsRange val="0"/>
                </c:ext>
                <c:ext xmlns:c16="http://schemas.microsoft.com/office/drawing/2014/chart" uri="{C3380CC4-5D6E-409C-BE32-E72D297353CC}">
                  <c16:uniqueId val="{0000000F-20C2-4257-89C7-B591020ECC38}"/>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precondition'!$AH$13:$AH$15</c:f>
              <c:numCache>
                <c:formatCode>0</c:formatCode>
                <c:ptCount val="3"/>
                <c:pt idx="0">
                  <c:v>228.69104628960224</c:v>
                </c:pt>
                <c:pt idx="1">
                  <c:v>239.34744343126175</c:v>
                </c:pt>
                <c:pt idx="2">
                  <c:v>315.38824149164088</c:v>
                </c:pt>
              </c:numCache>
            </c:numRef>
          </c:val>
          <c:extLst>
            <c:ext xmlns:c16="http://schemas.microsoft.com/office/drawing/2014/chart" uri="{C3380CC4-5D6E-409C-BE32-E72D297353CC}">
              <c16:uniqueId val="{00000010-20C2-4257-89C7-B591020ECC38}"/>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D05ED8B4-28B4-4400-9E0F-70BE6ECC557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{D05ED8B4-28B4-4400-9E0F-70BE6ECC5576}</c15:txfldGUID>
                      <c15:f>'J1634 Calcs  no precondition'!$AI$18</c15:f>
                      <c15:dlblFieldTableCache>
                        <c:ptCount val="1"/>
                        <c:pt idx="0">
                          <c:v>31%</c:v>
                        </c:pt>
                      </c15:dlblFieldTableCache>
                    </c15:dlblFTEntry>
                  </c15:dlblFieldTable>
                  <c15:showDataLabelsRange val="0"/>
                </c:ext>
                <c:ext xmlns:c16="http://schemas.microsoft.com/office/drawing/2014/chart" uri="{C3380CC4-5D6E-409C-BE32-E72D297353CC}">
                  <c16:uniqueId val="{00000011-20C2-4257-89C7-B591020ECC38}"/>
                </c:ext>
              </c:extLst>
            </c:dLbl>
            <c:dLbl>
              <c:idx val="1"/>
              <c:tx>
                <c:rich>
                  <a:bodyPr/>
                  <a:lstStyle/>
                  <a:p>
                    <a:fld id="{D7CA0D8C-E7C0-4ED8-9940-F9EC5A722D9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{D7CA0D8C-E7C0-4ED8-9940-F9EC5A722D99}</c15:txfldGUID>
                      <c15:f>'J1634 Calcs  no precondition'!$AI$19</c15:f>
                      <c15:dlblFieldTableCache>
                        <c:ptCount val="1"/>
                        <c:pt idx="0">
                          <c:v>11%</c:v>
                        </c:pt>
                      </c15:dlblFieldTableCache>
                    </c15:dlblFTEntry>
                  </c15:dlblFieldTable>
                  <c15:showDataLabelsRange val="0"/>
                </c:ext>
                <c:ext xmlns:c16="http://schemas.microsoft.com/office/drawing/2014/chart" uri="{C3380CC4-5D6E-409C-BE32-E72D297353CC}">
                  <c16:uniqueId val="{00000012-20C2-4257-89C7-B591020ECC38}"/>
                </c:ext>
              </c:extLst>
            </c:dLbl>
            <c:dLbl>
              <c:idx val="2"/>
              <c:tx>
                <c:rich>
                  <a:bodyPr/>
                  <a:lstStyle/>
                  <a:p>
                    <a:fld id="{3F3D7368-4A49-4C7A-9D10-0C6FBF8BDB2C}"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{3F3D7368-4A49-4C7A-9D10-0C6FBF8BDB2C}</c15:txfldGUID>
                      <c15:f>'J1634 Calcs  no precondition'!$AI$20</c15:f>
                      <c15:dlblFieldTableCache>
                        <c:ptCount val="1"/>
                        <c:pt idx="0">
                          <c:v>10%</c:v>
                        </c:pt>
                      </c15:dlblFieldTableCache>
                    </c15:dlblFTEntry>
                  </c15:dlblFieldTable>
                  <c15:showDataLabelsRange val="0"/>
                </c:ext>
                <c:ext xmlns:c16="http://schemas.microsoft.com/office/drawing/2014/chart" uri="{C3380CC4-5D6E-409C-BE32-E72D297353CC}">
                  <c16:uniqueId val="{00000013-20C2-4257-89C7-B591020ECC38}"/>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precondition'!$AI$13:$AI$15</c:f>
              <c:numCache>
                <c:formatCode>0</c:formatCode>
                <c:ptCount val="3"/>
                <c:pt idx="0">
                  <c:v>233.02008387051154</c:v>
                </c:pt>
                <c:pt idx="1">
                  <c:v>246.66581109002814</c:v>
                </c:pt>
                <c:pt idx="2">
                  <c:v>325.87401896992475</c:v>
                </c:pt>
              </c:numCache>
            </c:numRef>
          </c:val>
          <c:extLst>
            <c:ext xmlns:c16="http://schemas.microsoft.com/office/drawing/2014/chart" uri="{C3380CC4-5D6E-409C-BE32-E72D297353CC}">
              <c16:uniqueId val="{00000014-20C2-4257-89C7-B591020ECC38}"/>
            </c:ext>
          </c:extLst>
        </c:ser>
        <c:dLbls>
          <c:showLegendKey val="0"/>
          <c:showVal val="0"/>
          <c:showCatName val="0"/>
          <c:showSerName val="0"/>
          <c:showPercent val="0"/>
          <c:showBubbleSize val="0"/>
        </c:dLbls>
        <c:gapWidth val="150"/>
        <c:axId val="866531520"/>
        <c:axId val="866535048"/>
        <c:extLst>
          <c:ext xmlns:c15="http://schemas.microsoft.com/office/drawing/2012/chart" uri="{02D57815-91ED-43cb-92C2-25804820EDAC}">
            <c15:filteredBarSeries>
              <c15:ser>
                <c:idx val="6"/>
                <c:order val="2"/>
                <c:tx>
                  <c:strRef>
                    <c:extLst>
                      <c:ext uri="{02D57815-91ED-43cb-92C2-25804820EDAC}">
                        <c15:formulaRef>
                          <c15:sqref>'J1634 Calcs  no precondition'!$AF$6</c15:sqref>
                        </c15:formulaRef>
                      </c:ext>
                    </c:extLst>
                    <c:strCache>
                      <c:ptCount val="1"/>
                      <c:pt idx="0">
                        <c:v>-7CF Ambient with 22oC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573019159007E-3"/>
                        <c:y val="-2.315010802861112E-3"/>
                      </c:manualLayout>
                    </c:layout>
                    <c:tx>
                      <c:rich>
                        <a:bodyPr/>
                        <a:lstStyle/>
                        <a:p>
                          <a:fld id="{5E7F7213-2C7E-496E-A759-A0B373A79861}"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{5E7F7213-2C7E-496E-A759-A0B373A79861}</c15:txfldGUID>
                            <c15:f>'J1634 Calcs  no precondition'!$AF$18</c15:f>
                            <c15:dlblFieldTableCache>
                              <c:ptCount val="1"/>
                              <c:pt idx="0">
                                <c:v>119%</c:v>
                              </c:pt>
                            </c15:dlblFieldTableCache>
                          </c15:dlblFTEntry>
                        </c15:dlblFieldTable>
                        <c15:showDataLabelsRange val="0"/>
                      </c:ext>
                      <c:ext xmlns:c16="http://schemas.microsoft.com/office/drawing/2014/chart" uri="{C3380CC4-5D6E-409C-BE32-E72D297353CC}">
                        <c16:uniqueId val="{00000008-20C2-4257-89C7-B591020ECC38}"/>
                      </c:ext>
                    </c:extLst>
                  </c:dLbl>
                  <c:dLbl>
                    <c:idx val="1"/>
                    <c:layout>
                      <c:manualLayout>
                        <c:x val="4.4662748770631462E-3"/>
                        <c:y val="-4.8820974247362615E-17"/>
                      </c:manualLayout>
                    </c:layout>
                    <c:tx>
                      <c:rich>
                        <a:bodyPr/>
                        <a:lstStyle/>
                        <a:p>
                          <a:fld id="{1994E76F-5E3D-403A-8AC8-3AFEFA9C7061}"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{1994E76F-5E3D-403A-8AC8-3AFEFA9C7061}</c15:txfldGUID>
                            <c15:f>'J1634 Calcs  no precondition'!$AF$19</c15:f>
                            <c15:dlblFieldTableCache>
                              <c:ptCount val="1"/>
                              <c:pt idx="0">
                                <c:v>59%</c:v>
                              </c:pt>
                            </c15:dlblFieldTableCache>
                          </c15:dlblFTEntry>
                        </c15:dlblFieldTable>
                        <c15:showDataLabelsRange val="0"/>
                      </c:ext>
                      <c:ext xmlns:c16="http://schemas.microsoft.com/office/drawing/2014/chart" uri="{C3380CC4-5D6E-409C-BE32-E72D297353CC}">
                        <c16:uniqueId val="{00000009-20C2-4257-89C7-B591020ECC38}"/>
                      </c:ext>
                    </c:extLst>
                  </c:dLbl>
                  <c:dLbl>
                    <c:idx val="2"/>
                    <c:layout>
                      <c:manualLayout>
                        <c:x val="2.9775165847087644E-3"/>
                        <c:y val="2.6629929944412154E-3"/>
                      </c:manualLayout>
                    </c:layout>
                    <c:tx>
                      <c:rich>
                        <a:bodyPr/>
                        <a:lstStyle/>
                        <a:p>
                          <a:fld id="{07A6E231-2A68-439E-AAC8-52ED36449D45}"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{07A6E231-2A68-439E-AAC8-52ED36449D45}</c15:txfldGUID>
                            <c15:f>'J1634 Calcs  no precondition'!$AF$20</c15:f>
                            <c15:dlblFieldTableCache>
                              <c:ptCount val="1"/>
                              <c:pt idx="0">
                                <c:v>40%</c:v>
                              </c:pt>
                            </c15:dlblFieldTableCache>
                          </c15:dlblFTEntry>
                        </c15:dlblFieldTable>
                        <c15:showDataLabelsRange val="0"/>
                      </c:ext>
                      <c:ext xmlns:c16="http://schemas.microsoft.com/office/drawing/2014/chart" uri="{C3380CC4-5D6E-409C-BE32-E72D297353CC}">
                        <c16:uniqueId val="{0000000A-20C2-4257-89C7-B591020ECC38}"/>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uri="{CE6537A1-D6FC-4f65-9D91-7224C49458BB}">
                      <c15:showLeaderLines val="1"/>
                    </c:ext>
                  </c:extLst>
                </c:dLbls>
                <c:cat>
                  <c:strRef>
                    <c:extLst>
                      <c:ext uri="{02D57815-91ED-43cb-92C2-25804820EDAC}">
                        <c15:formulaRef>
                          <c15:sqref>'J1634 Calcs  no precondition'!$AC$13:$AC$15</c15:sqref>
                        </c15:formulaRef>
                      </c:ext>
                    </c:extLst>
                    <c:strCache>
                      <c:ptCount val="3"/>
                      <c:pt idx="0">
                        <c:v>UDDS</c:v>
                      </c:pt>
                      <c:pt idx="1">
                        <c:v>HWY</c:v>
                      </c:pt>
                      <c:pt idx="2">
                        <c:v>US06</c:v>
                      </c:pt>
                    </c:strCache>
                  </c:strRef>
                </c:cat>
                <c:val>
                  <c:numRef>
                    <c:extLst>
                      <c:ext uri="{02D57815-91ED-43cb-92C2-25804820EDAC}">
                        <c15:formulaRef>
                          <c15:sqref>'J1634 Calcs  no precondition'!$AF$13:$AF$15</c15:sqref>
                        </c15:formulaRef>
                      </c:ext>
                    </c:extLst>
                    <c:numCache>
                      <c:formatCode>0</c:formatCode>
                      <c:ptCount val="3"/>
                      <c:pt idx="0">
                        <c:v>389.6871075386282</c:v>
                      </c:pt>
                      <c:pt idx="1">
                        <c:v>351.12470938268706</c:v>
                      </c:pt>
                      <c:pt idx="2">
                        <c:v>416.68496450313484</c:v>
                      </c:pt>
                    </c:numCache>
                  </c:numRef>
                </c:val>
                <c:extLst>
                  <c:ext xmlns:c16="http://schemas.microsoft.com/office/drawing/2014/chart" uri="{C3380CC4-5D6E-409C-BE32-E72D297353CC}">
                    <c16:uniqueId val="{0000000B-20C2-4257-89C7-B591020ECC38}"/>
                  </c:ext>
                </c:extLst>
              </c15:ser>
            </c15:filteredBarSeries>
          </c:ext>
        </c:extLst>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Chevrolet Bolt- Range [mi]</a:t>
            </a:r>
          </a:p>
        </c:rich>
      </c:tx>
      <c:overlay val="0"/>
    </c:title>
    <c:autoTitleDeleted val="0"/>
    <c:plotArea>
      <c:layout/>
      <c:barChart>
        <c:barDir val="col"/>
        <c:grouping val="clustered"/>
        <c:varyColors val="0"/>
        <c:ser>
          <c:idx val="3"/>
          <c:order val="0"/>
          <c:tx>
            <c:strRef>
              <c:f>'J1634 Calcs  no precondition'!$AD$6</c:f>
              <c:strCache>
                <c:ptCount val="1"/>
                <c:pt idx="0">
                  <c:v>-18C Ambient with 22oC Cabin</c:v>
                </c:pt>
              </c:strCache>
            </c:strRef>
          </c:tx>
          <c:spPr>
            <a:solidFill>
              <a:schemeClr val="accent4"/>
            </a:solidFill>
          </c:spPr>
          <c:invertIfNegative val="0"/>
          <c:dLbls>
            <c:dLbl>
              <c:idx val="2"/>
              <c:layout>
                <c:manualLayout>
                  <c:x val="0"/>
                  <c:y val="4.97809637594574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02-4B6B-AD70-710687701336}"/>
                </c:ext>
              </c:extLst>
            </c:dLbl>
            <c:numFmt formatCode="#,##0" sourceLinked="0"/>
            <c:spPr>
              <a:noFill/>
              <a:ln>
                <a:noFill/>
              </a:ln>
              <a:effectLst/>
            </c:spPr>
            <c:txPr>
              <a:bodyPr wrap="square" lIns="38100" tIns="19050" rIns="38100" bIns="19050" anchor="ctr">
                <a:spAutoFit/>
              </a:bodyPr>
              <a:lstStyle/>
              <a:p>
                <a:pPr>
                  <a:defRPr sz="900">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precondition'!$AD$37:$AD$39</c:f>
              <c:numCache>
                <c:formatCode>0</c:formatCode>
                <c:ptCount val="3"/>
                <c:pt idx="0">
                  <c:v>149.63083996821246</c:v>
                </c:pt>
                <c:pt idx="1">
                  <c:v>177.64737901826948</c:v>
                </c:pt>
                <c:pt idx="2">
                  <c:v>155.43039427760669</c:v>
                </c:pt>
              </c:numCache>
            </c:numRef>
          </c:val>
          <c:extLst>
            <c:ext xmlns:c16="http://schemas.microsoft.com/office/drawing/2014/chart" uri="{C3380CC4-5D6E-409C-BE32-E72D297353CC}">
              <c16:uniqueId val="{00000001-0802-4B6B-AD70-710687701336}"/>
            </c:ext>
          </c:extLst>
        </c:ser>
        <c:ser>
          <c:idx val="4"/>
          <c:order val="1"/>
          <c:tx>
            <c:strRef>
              <c:f>'J1634 Calcs  no precondition'!$AE$6</c:f>
              <c:strCache>
                <c:ptCount val="1"/>
                <c:pt idx="0">
                  <c:v>-7C Ambient with 22C Cabin (no-precondition)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precondition'!$AE$37:$AE$39</c:f>
              <c:numCache>
                <c:formatCode>0</c:formatCode>
                <c:ptCount val="3"/>
                <c:pt idx="0">
                  <c:v>187.33783625762561</c:v>
                </c:pt>
                <c:pt idx="1">
                  <c:v>207.10955539515624</c:v>
                </c:pt>
                <c:pt idx="2">
                  <c:v>173.63459623879746</c:v>
                </c:pt>
              </c:numCache>
            </c:numRef>
          </c:val>
          <c:extLst>
            <c:ext xmlns:c16="http://schemas.microsoft.com/office/drawing/2014/chart" uri="{C3380CC4-5D6E-409C-BE32-E72D297353CC}">
              <c16:uniqueId val="{00000002-0802-4B6B-AD70-710687701336}"/>
            </c:ext>
          </c:extLst>
        </c:ser>
        <c:ser>
          <c:idx val="6"/>
          <c:order val="2"/>
          <c:tx>
            <c:strRef>
              <c:f>'J1634 Calcs  no precondition'!$AF$6</c:f>
              <c:strCache>
                <c:ptCount val="1"/>
                <c:pt idx="0">
                  <c:v>-7CF Ambient with 22oC Cabin (preconditioned)</c:v>
                </c:pt>
              </c:strCache>
            </c:strRef>
          </c:tx>
          <c:spPr>
            <a:pattFill prst="dkDnDiag">
              <a:fgClr>
                <a:schemeClr val="accent1"/>
              </a:fgClr>
              <a:bgClr>
                <a:schemeClr val="bg1"/>
              </a:bgClr>
            </a:patt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precondition'!$AF$37:$AF$39</c:f>
              <c:numCache>
                <c:formatCode>0</c:formatCode>
                <c:ptCount val="3"/>
                <c:pt idx="0">
                  <c:v>184.44100310212139</c:v>
                </c:pt>
                <c:pt idx="1">
                  <c:v>204.69730295185187</c:v>
                </c:pt>
                <c:pt idx="2">
                  <c:v>172.49069952906376</c:v>
                </c:pt>
              </c:numCache>
            </c:numRef>
          </c:val>
          <c:extLst>
            <c:ext xmlns:c16="http://schemas.microsoft.com/office/drawing/2014/chart" uri="{C3380CC4-5D6E-409C-BE32-E72D297353CC}">
              <c16:uniqueId val="{00000003-0802-4B6B-AD70-710687701336}"/>
            </c:ext>
          </c:extLst>
        </c:ser>
        <c:ser>
          <c:idx val="0"/>
          <c:order val="3"/>
          <c:tx>
            <c:strRef>
              <c:f>'J1634 Calcs  no precondition'!$AG$6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precondition'!$AG$37:$AG$39</c:f>
              <c:numCache>
                <c:formatCode>0</c:formatCode>
                <c:ptCount val="3"/>
                <c:pt idx="0">
                  <c:v>398.26502519616264</c:v>
                </c:pt>
                <c:pt idx="1">
                  <c:v>320.17885310789728</c:v>
                </c:pt>
                <c:pt idx="2">
                  <c:v>238.84202855477292</c:v>
                </c:pt>
              </c:numCache>
            </c:numRef>
          </c:val>
          <c:extLst>
            <c:ext xmlns:c16="http://schemas.microsoft.com/office/drawing/2014/chart" uri="{C3380CC4-5D6E-409C-BE32-E72D297353CC}">
              <c16:uniqueId val="{00000004-0802-4B6B-AD70-710687701336}"/>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numFmt formatCode="#,##0" sourceLinked="0"/>
              <c:spPr>
                <a:solidFill>
                  <a:schemeClr val="bg1"/>
                </a:solid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extLst>
                <c:ext xmlns:c16="http://schemas.microsoft.com/office/drawing/2014/chart" uri="{C3380CC4-5D6E-409C-BE32-E72D297353CC}">
                  <c16:uniqueId val="{00000005-0802-4B6B-AD70-710687701336}"/>
                </c:ext>
              </c:extLst>
            </c:dLbl>
            <c:dLbl>
              <c:idx val="2"/>
              <c:numFmt formatCode="#,##0" sourceLinked="0"/>
              <c:spPr>
                <a:solidFill>
                  <a:schemeClr val="bg1"/>
                </a:solid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extLst>
                <c:ext xmlns:c16="http://schemas.microsoft.com/office/drawing/2014/chart" uri="{C3380CC4-5D6E-409C-BE32-E72D297353CC}">
                  <c16:uniqueId val="{00000006-0802-4B6B-AD70-710687701336}"/>
                </c:ext>
              </c:extLst>
            </c:dLbl>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precondition'!$AH$37:$AH$39</c:f>
              <c:numCache>
                <c:formatCode>0</c:formatCode>
                <c:ptCount val="3"/>
                <c:pt idx="0">
                  <c:v>325.67166726323046</c:v>
                </c:pt>
                <c:pt idx="1">
                  <c:v>311.17188161943665</c:v>
                </c:pt>
                <c:pt idx="2">
                  <c:v>236.14765718931019</c:v>
                </c:pt>
              </c:numCache>
            </c:numRef>
          </c:val>
          <c:extLst>
            <c:ext xmlns:c16="http://schemas.microsoft.com/office/drawing/2014/chart" uri="{C3380CC4-5D6E-409C-BE32-E72D297353CC}">
              <c16:uniqueId val="{00000007-0802-4B6B-AD70-710687701336}"/>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numFmt formatCode="#,##0" sourceLinked="0"/>
            <c:spPr>
              <a:noFill/>
              <a:ln>
                <a:noFill/>
              </a:ln>
              <a:effectLst/>
            </c:spPr>
            <c:txPr>
              <a:bodyPr wrap="square" lIns="38100" tIns="19050" rIns="38100" bIns="19050" anchor="ctr">
                <a:spAutoFit/>
              </a:bodyPr>
              <a:lstStyle/>
              <a:p>
                <a:pPr>
                  <a:defRPr sz="9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precondition'!$AI$37:$AI$39</c:f>
              <c:numCache>
                <c:formatCode>0</c:formatCode>
                <c:ptCount val="3"/>
                <c:pt idx="0">
                  <c:v>319.62135235817124</c:v>
                </c:pt>
                <c:pt idx="1">
                  <c:v>301.93967296961279</c:v>
                </c:pt>
                <c:pt idx="2">
                  <c:v>228.54904041976127</c:v>
                </c:pt>
              </c:numCache>
            </c:numRef>
          </c:val>
          <c:extLst>
            <c:ext xmlns:c16="http://schemas.microsoft.com/office/drawing/2014/chart" uri="{C3380CC4-5D6E-409C-BE32-E72D297353CC}">
              <c16:uniqueId val="{00000008-0802-4B6B-AD70-710687701336}"/>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in val="0"/>
        </c:scaling>
        <c:delete val="0"/>
        <c:axPos val="l"/>
        <c:majorGridlines/>
        <c:title>
          <c:tx>
            <c:rich>
              <a:bodyPr/>
              <a:lstStyle/>
              <a:p>
                <a:pPr>
                  <a:defRPr sz="2400"/>
                </a:pPr>
                <a:r>
                  <a:rPr lang="en-US" sz="2400"/>
                  <a:t>Range [miles]</a:t>
                </a:r>
              </a:p>
            </c:rich>
          </c:tx>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Chevrolet Bolt </a:t>
            </a:r>
            <a:r>
              <a:rPr lang="en-US" sz="2400" baseline="0"/>
              <a:t>[DC Wh/mi]</a:t>
            </a:r>
            <a:endParaRPr lang="en-US" sz="2400"/>
          </a:p>
        </c:rich>
      </c:tx>
      <c:layout>
        <c:manualLayout>
          <c:xMode val="edge"/>
          <c:yMode val="edge"/>
          <c:x val="0.33800193460016464"/>
          <c:y val="1.7435899045163881E-2"/>
        </c:manualLayout>
      </c:layout>
      <c:overlay val="0"/>
    </c:title>
    <c:autoTitleDeleted val="0"/>
    <c:plotArea>
      <c:layout/>
      <c:barChart>
        <c:barDir val="col"/>
        <c:grouping val="clustered"/>
        <c:varyColors val="0"/>
        <c:ser>
          <c:idx val="3"/>
          <c:order val="0"/>
          <c:tx>
            <c:strRef>
              <c:f>'J1634 Calcs  no precondition'!$AD$6</c:f>
              <c:strCache>
                <c:ptCount val="1"/>
                <c:pt idx="0">
                  <c:v>-18C Ambient with 22oC Cabin</c:v>
                </c:pt>
              </c:strCache>
            </c:strRef>
          </c:tx>
          <c:spPr>
            <a:solidFill>
              <a:schemeClr val="accent4"/>
            </a:solidFill>
          </c:spPr>
          <c:invertIfNegative val="0"/>
          <c:dLbls>
            <c:dLbl>
              <c:idx val="0"/>
              <c:layout>
                <c:manualLayout>
                  <c:x val="1.4887582923543822E-3"/>
                  <c:y val="7.9889789833237929E-3"/>
                </c:manualLayout>
              </c:layout>
              <c:tx>
                <c:rich>
                  <a:bodyPr wrap="square" lIns="38100" tIns="19050" rIns="38100" bIns="19050" anchor="ctr">
                    <a:spAutoFit/>
                  </a:bodyPr>
                  <a:lstStyle/>
                  <a:p>
                    <a:pPr>
                      <a:defRPr sz="900" b="1"/>
                    </a:pPr>
                    <a:fld id="{52E43E02-3978-4016-A209-E6333B24FF45}" type="CELLREF">
                      <a:rPr lang="en-US" sz="900"/>
                      <a:pPr>
                        <a:defRPr sz="900" b="1"/>
                      </a:pPr>
                      <a:t>[CELLREF]</a:t>
                    </a:fld>
                    <a:endParaRPr lang="en-US"/>
                  </a:p>
                </c:rich>
              </c:tx>
              <c:numFmt formatCode="0.0" sourceLinked="0"/>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  no precondition'!$AD$31</c15:f>
                      <c15:dlblFieldTableCache>
                        <c:ptCount val="1"/>
                        <c:pt idx="0">
                          <c:v>212%</c:v>
                        </c:pt>
                      </c15:dlblFieldTableCache>
                    </c15:dlblFTEntry>
                  </c15:dlblFieldTable>
                  <c15:showDataLabelsRange val="0"/>
                </c:ext>
                <c:ext xmlns:c16="http://schemas.microsoft.com/office/drawing/2014/chart" uri="{C3380CC4-5D6E-409C-BE32-E72D297353CC}">
                  <c16:uniqueId val="{00000000-0041-42C2-A2CE-F1AC9DB4424D}"/>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  no precondition'!$AD$32</c15:f>
                      <c15:dlblFieldTableCache>
                        <c:ptCount val="1"/>
                        <c:pt idx="0">
                          <c:v>80%</c:v>
                        </c:pt>
                      </c15:dlblFieldTableCache>
                    </c15:dlblFTEntry>
                  </c15:dlblFieldTable>
                  <c15:showDataLabelsRange val="0"/>
                </c:ext>
                <c:ext xmlns:c16="http://schemas.microsoft.com/office/drawing/2014/chart" uri="{C3380CC4-5D6E-409C-BE32-E72D297353CC}">
                  <c16:uniqueId val="{00000001-0041-42C2-A2CE-F1AC9DB4424D}"/>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  no precondition'!$AD$33</c15:f>
                      <c15:dlblFieldTableCache>
                        <c:ptCount val="1"/>
                        <c:pt idx="0">
                          <c:v>158%</c:v>
                        </c:pt>
                      </c15:dlblFieldTableCache>
                    </c15:dlblFTEntry>
                  </c15:dlblFieldTable>
                  <c15:showDataLabelsRange val="0"/>
                </c:ext>
                <c:ext xmlns:c16="http://schemas.microsoft.com/office/drawing/2014/chart" uri="{C3380CC4-5D6E-409C-BE32-E72D297353CC}">
                  <c16:uniqueId val="{00000002-0041-42C2-A2CE-F1AC9DB4424D}"/>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  no precondition'!$AD$34</c15:f>
                      <c15:dlblFieldTableCache>
                        <c:ptCount val="1"/>
                        <c:pt idx="0">
                          <c:v>54%</c:v>
                        </c:pt>
                      </c15:dlblFieldTableCache>
                    </c15:dlblFTEntry>
                  </c15:dlblFieldTable>
                  <c15:showDataLabelsRange val="0"/>
                </c:ext>
                <c:ext xmlns:c16="http://schemas.microsoft.com/office/drawing/2014/chart" uri="{C3380CC4-5D6E-409C-BE32-E72D297353CC}">
                  <c16:uniqueId val="{00000003-0041-42C2-A2CE-F1AC9DB4424D}"/>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precondition'!$AD$7:$AD$10</c:f>
              <c:numCache>
                <c:formatCode>0</c:formatCode>
                <c:ptCount val="4"/>
                <c:pt idx="0">
                  <c:v>535.58081962307995</c:v>
                </c:pt>
                <c:pt idx="1">
                  <c:v>363.02252448862623</c:v>
                </c:pt>
                <c:pt idx="2">
                  <c:v>423.74986958778777</c:v>
                </c:pt>
                <c:pt idx="3">
                  <c:v>414.91241336503037</c:v>
                </c:pt>
              </c:numCache>
            </c:numRef>
          </c:val>
          <c:extLst>
            <c:ext xmlns:c16="http://schemas.microsoft.com/office/drawing/2014/chart" uri="{C3380CC4-5D6E-409C-BE32-E72D297353CC}">
              <c16:uniqueId val="{00000004-0041-42C2-A2CE-F1AC9DB4424D}"/>
            </c:ext>
          </c:extLst>
        </c:ser>
        <c:ser>
          <c:idx val="4"/>
          <c:order val="1"/>
          <c:tx>
            <c:strRef>
              <c:f>'J1634 Calcs  no precondition'!$AE$6</c:f>
              <c:strCache>
                <c:ptCount val="1"/>
                <c:pt idx="0">
                  <c:v>-7C Ambient with 22C Cabin (no-precondition)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  no precondition'!$AE$31</c15:f>
                      <c15:dlblFieldTableCache>
                        <c:ptCount val="1"/>
                        <c:pt idx="0">
                          <c:v>151%</c:v>
                        </c:pt>
                      </c15:dlblFieldTableCache>
                    </c15:dlblFTEntry>
                  </c15:dlblFieldTable>
                  <c15:showDataLabelsRange val="0"/>
                </c:ext>
                <c:ext xmlns:c16="http://schemas.microsoft.com/office/drawing/2014/chart" uri="{C3380CC4-5D6E-409C-BE32-E72D297353CC}">
                  <c16:uniqueId val="{00000005-0041-42C2-A2CE-F1AC9DB4424D}"/>
                </c:ext>
              </c:extLst>
            </c:dLbl>
            <c:dLbl>
              <c:idx val="1"/>
              <c:layout>
                <c:manualLayout>
                  <c:x val="2.9774922838920427E-3"/>
                  <c:y val="-4.8094838738527417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  no precondition'!$AE$32</c15:f>
                      <c15:dlblFieldTableCache>
                        <c:ptCount val="1"/>
                        <c:pt idx="0">
                          <c:v>55%</c:v>
                        </c:pt>
                      </c15:dlblFieldTableCache>
                    </c15:dlblFTEntry>
                  </c15:dlblFieldTable>
                  <c15:showDataLabelsRange val="0"/>
                </c:ext>
                <c:ext xmlns:c16="http://schemas.microsoft.com/office/drawing/2014/chart" uri="{C3380CC4-5D6E-409C-BE32-E72D297353CC}">
                  <c16:uniqueId val="{00000006-0041-42C2-A2CE-F1AC9DB4424D}"/>
                </c:ext>
              </c:extLst>
            </c:dLbl>
            <c:dLbl>
              <c:idx val="2"/>
              <c:layout>
                <c:manualLayout>
                  <c:x val="2.8466229016928233E-3"/>
                  <c:y val="-1.4772854756803531E-2"/>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  no precondition'!$AE$33</c15:f>
                      <c15:dlblFieldTableCache>
                        <c:ptCount val="1"/>
                        <c:pt idx="0">
                          <c:v>107%</c:v>
                        </c:pt>
                      </c15:dlblFieldTableCache>
                    </c15:dlblFTEntry>
                  </c15:dlblFieldTable>
                  <c15:showDataLabelsRange val="0"/>
                </c:ext>
                <c:ext xmlns:c16="http://schemas.microsoft.com/office/drawing/2014/chart" uri="{C3380CC4-5D6E-409C-BE32-E72D297353CC}">
                  <c16:uniqueId val="{00000007-0041-42C2-A2CE-F1AC9DB4424D}"/>
                </c:ext>
              </c:extLst>
            </c:dLbl>
            <c:dLbl>
              <c:idx val="3"/>
              <c:layout>
                <c:manualLayout>
                  <c:x val="3.4346797661501992E-3"/>
                  <c:y val="-1.2454213603688487E-2"/>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  no precondition'!$AE$34</c15:f>
                      <c15:dlblFieldTableCache>
                        <c:ptCount val="1"/>
                        <c:pt idx="0">
                          <c:v>38%</c:v>
                        </c:pt>
                      </c15:dlblFieldTableCache>
                    </c15:dlblFTEntry>
                  </c15:dlblFieldTable>
                  <c15:showDataLabelsRange val="0"/>
                </c:ext>
                <c:ext xmlns:c16="http://schemas.microsoft.com/office/drawing/2014/chart" uri="{C3380CC4-5D6E-409C-BE32-E72D297353CC}">
                  <c16:uniqueId val="{00000008-0041-42C2-A2CE-F1AC9DB4424D}"/>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'J1634 Calcs  no precondition'!$AC$7:$AC$10</c:f>
              <c:strCache>
                <c:ptCount val="4"/>
                <c:pt idx="0">
                  <c:v>UDDS#1</c:v>
                </c:pt>
                <c:pt idx="1">
                  <c:v>HWY#1</c:v>
                </c:pt>
                <c:pt idx="2">
                  <c:v>UDDS#2</c:v>
                </c:pt>
                <c:pt idx="3">
                  <c:v>US06#1</c:v>
                </c:pt>
              </c:strCache>
            </c:strRef>
          </c:cat>
          <c:val>
            <c:numRef>
              <c:f>'J1634 Calcs  no precondition'!$AE$7:$AE$10</c:f>
              <c:numCache>
                <c:formatCode>0</c:formatCode>
                <c:ptCount val="4"/>
                <c:pt idx="0">
                  <c:v>431.3822994414445</c:v>
                </c:pt>
                <c:pt idx="1">
                  <c:v>311.38109430516528</c:v>
                </c:pt>
                <c:pt idx="2">
                  <c:v>339.5422297261257</c:v>
                </c:pt>
                <c:pt idx="3">
                  <c:v>371.4121574672119</c:v>
                </c:pt>
              </c:numCache>
            </c:numRef>
          </c:val>
          <c:extLst>
            <c:ext xmlns:c16="http://schemas.microsoft.com/office/drawing/2014/chart" uri="{C3380CC4-5D6E-409C-BE32-E72D297353CC}">
              <c16:uniqueId val="{00000009-0041-42C2-A2CE-F1AC9DB4424D}"/>
            </c:ext>
          </c:extLst>
        </c:ser>
        <c:ser>
          <c:idx val="6"/>
          <c:order val="2"/>
          <c:tx>
            <c:strRef>
              <c:f>'J1634 Calcs  no precondition'!$AF$6</c:f>
              <c:strCache>
                <c:ptCount val="1"/>
                <c:pt idx="0">
                  <c:v>-7CF Ambient with 22oC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  no precondition'!$AF$31</c15:f>
                      <c15:dlblFieldTableCache>
                        <c:ptCount val="1"/>
                        <c:pt idx="0">
                          <c:v>132%</c:v>
                        </c:pt>
                      </c15:dlblFieldTableCache>
                    </c15:dlblFTEntry>
                  </c15:dlblFieldTable>
                  <c15:showDataLabelsRange val="0"/>
                </c:ext>
                <c:ext xmlns:c16="http://schemas.microsoft.com/office/drawing/2014/chart" uri="{C3380CC4-5D6E-409C-BE32-E72D297353CC}">
                  <c16:uniqueId val="{0000000A-0041-42C2-A2CE-F1AC9DB4424D}"/>
                </c:ext>
              </c:extLst>
            </c:dLbl>
            <c:dLbl>
              <c:idx val="1"/>
              <c:layout>
                <c:manualLayout>
                  <c:x val="3.1083616660911623E-3"/>
                  <c:y val="-7.4725281622131379E-3"/>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  no precondition'!$AF$32</c15:f>
                      <c15:dlblFieldTableCache>
                        <c:ptCount val="1"/>
                        <c:pt idx="0">
                          <c:v>56%</c:v>
                        </c:pt>
                      </c15:dlblFieldTableCache>
                    </c15:dlblFTEntry>
                  </c15:dlblFieldTable>
                  <c15:showDataLabelsRange val="0"/>
                </c:ext>
                <c:ext xmlns:c16="http://schemas.microsoft.com/office/drawing/2014/chart" uri="{C3380CC4-5D6E-409C-BE32-E72D297353CC}">
                  <c16:uniqueId val="{0000000B-0041-42C2-A2CE-F1AC9DB4424D}"/>
                </c:ext>
              </c:extLst>
            </c:dLbl>
            <c:dLbl>
              <c:idx val="2"/>
              <c:layout>
                <c:manualLayout>
                  <c:x val="2.9774922838919429E-3"/>
                  <c:y val="1.0135572450573397E-2"/>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  no precondition'!$AF$33</c15:f>
                      <c15:dlblFieldTableCache>
                        <c:ptCount val="1"/>
                        <c:pt idx="0">
                          <c:v>112%</c:v>
                        </c:pt>
                      </c15:dlblFieldTableCache>
                    </c15:dlblFTEntry>
                  </c15:dlblFieldTable>
                  <c15:showDataLabelsRange val="0"/>
                </c:ext>
                <c:ext xmlns:c16="http://schemas.microsoft.com/office/drawing/2014/chart" uri="{C3380CC4-5D6E-409C-BE32-E72D297353CC}">
                  <c16:uniqueId val="{0000000C-0041-42C2-A2CE-F1AC9DB4424D}"/>
                </c:ext>
              </c:extLst>
            </c:dLbl>
            <c:dLbl>
              <c:idx val="3"/>
              <c:layout>
                <c:manualLayout>
                  <c:x val="-9.957647873211931E-17"/>
                  <c:y val="1.2454213603688442E-2"/>
                </c:manualLayout>
              </c:layout>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  no precondition'!$AF$34</c15:f>
                      <c15:dlblFieldTableCache>
                        <c:ptCount val="1"/>
                        <c:pt idx="0">
                          <c:v>38%</c:v>
                        </c:pt>
                      </c15:dlblFieldTableCache>
                    </c15:dlblFTEntry>
                  </c15:dlblFieldTable>
                  <c15:showDataLabelsRange val="0"/>
                </c:ext>
                <c:ext xmlns:c16="http://schemas.microsoft.com/office/drawing/2014/chart" uri="{C3380CC4-5D6E-409C-BE32-E72D297353CC}">
                  <c16:uniqueId val="{0000000D-0041-42C2-A2CE-F1AC9DB4424D}"/>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'J1634 Calcs  no precondition'!$AC$7:$AC$10</c:f>
              <c:strCache>
                <c:ptCount val="4"/>
                <c:pt idx="0">
                  <c:v>UDDS#1</c:v>
                </c:pt>
                <c:pt idx="1">
                  <c:v>HWY#1</c:v>
                </c:pt>
                <c:pt idx="2">
                  <c:v>UDDS#2</c:v>
                </c:pt>
                <c:pt idx="3">
                  <c:v>US06#1</c:v>
                </c:pt>
              </c:strCache>
            </c:strRef>
          </c:cat>
          <c:val>
            <c:numRef>
              <c:f>'J1634 Calcs  no precondition'!$AF$7:$AF$10</c:f>
              <c:numCache>
                <c:formatCode>0</c:formatCode>
                <c:ptCount val="4"/>
                <c:pt idx="0">
                  <c:v>398.14452631280835</c:v>
                </c:pt>
                <c:pt idx="1">
                  <c:v>315.05056036409576</c:v>
                </c:pt>
                <c:pt idx="2">
                  <c:v>347.23225791628221</c:v>
                </c:pt>
                <c:pt idx="3">
                  <c:v>373.875230236015</c:v>
                </c:pt>
              </c:numCache>
            </c:numRef>
          </c:val>
          <c:extLst>
            <c:ext xmlns:c16="http://schemas.microsoft.com/office/drawing/2014/chart" uri="{C3380CC4-5D6E-409C-BE32-E72D297353CC}">
              <c16:uniqueId val="{0000000E-0041-42C2-A2CE-F1AC9DB4424D}"/>
            </c:ext>
          </c:extLst>
        </c:ser>
        <c:ser>
          <c:idx val="0"/>
          <c:order val="3"/>
          <c:tx>
            <c:strRef>
              <c:f>'J1634 Calcs  no precondition'!$AG$6</c:f>
              <c:strCache>
                <c:ptCount val="1"/>
                <c:pt idx="0">
                  <c:v>+22C Ambient with Climate off</c:v>
                </c:pt>
              </c:strCache>
            </c:strRef>
          </c:tx>
          <c:spPr>
            <a:solidFill>
              <a:schemeClr val="accent3"/>
            </a:solidFill>
          </c:spPr>
          <c:invertIfNegative val="0"/>
          <c:cat>
            <c:strRef>
              <c:f>'J1634 Calcs  no precondition'!$AC$7:$AC$10</c:f>
              <c:strCache>
                <c:ptCount val="4"/>
                <c:pt idx="0">
                  <c:v>UDDS#1</c:v>
                </c:pt>
                <c:pt idx="1">
                  <c:v>HWY#1</c:v>
                </c:pt>
                <c:pt idx="2">
                  <c:v>UDDS#2</c:v>
                </c:pt>
                <c:pt idx="3">
                  <c:v>US06#1</c:v>
                </c:pt>
              </c:strCache>
            </c:strRef>
          </c:cat>
          <c:val>
            <c:numRef>
              <c:f>'J1634 Calcs  no precondition'!$AG$7:$AG$10</c:f>
              <c:numCache>
                <c:formatCode>0</c:formatCode>
                <c:ptCount val="4"/>
                <c:pt idx="0">
                  <c:v>171.68219040147656</c:v>
                </c:pt>
                <c:pt idx="1">
                  <c:v>201.41867388808302</c:v>
                </c:pt>
                <c:pt idx="2">
                  <c:v>163.95361064234356</c:v>
                </c:pt>
                <c:pt idx="3">
                  <c:v>270.01110478849705</c:v>
                </c:pt>
              </c:numCache>
            </c:numRef>
          </c:val>
          <c:extLst>
            <c:ext xmlns:c16="http://schemas.microsoft.com/office/drawing/2014/chart" uri="{C3380CC4-5D6E-409C-BE32-E72D297353CC}">
              <c16:uniqueId val="{0000000F-0041-42C2-A2CE-F1AC9DB4424D}"/>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  no precondition'!$AH$31</c15:f>
                      <c15:dlblFieldTableCache>
                        <c:ptCount val="1"/>
                        <c:pt idx="0">
                          <c:v>30%</c:v>
                        </c:pt>
                      </c15:dlblFieldTableCache>
                    </c15:dlblFTEntry>
                  </c15:dlblFieldTable>
                  <c15:showDataLabelsRange val="0"/>
                </c:ext>
                <c:ext xmlns:c16="http://schemas.microsoft.com/office/drawing/2014/chart" uri="{C3380CC4-5D6E-409C-BE32-E72D297353CC}">
                  <c16:uniqueId val="{00000010-0041-42C2-A2CE-F1AC9DB4424D}"/>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  no precondition'!$AH$32</c15:f>
                      <c15:dlblFieldTableCache>
                        <c:ptCount val="1"/>
                        <c:pt idx="0">
                          <c:v>3%</c:v>
                        </c:pt>
                      </c15:dlblFieldTableCache>
                    </c15:dlblFTEntry>
                  </c15:dlblFieldTable>
                  <c15:showDataLabelsRange val="0"/>
                </c:ext>
                <c:ext xmlns:c16="http://schemas.microsoft.com/office/drawing/2014/chart" uri="{C3380CC4-5D6E-409C-BE32-E72D297353CC}">
                  <c16:uniqueId val="{00000011-0041-42C2-A2CE-F1AC9DB4424D}"/>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  no precondition'!$AH$33</c15:f>
                      <c15:dlblFieldTableCache>
                        <c:ptCount val="1"/>
                        <c:pt idx="0">
                          <c:v>20%</c:v>
                        </c:pt>
                      </c15:dlblFieldTableCache>
                    </c15:dlblFTEntry>
                  </c15:dlblFieldTable>
                  <c15:showDataLabelsRange val="0"/>
                </c:ext>
                <c:ext xmlns:c16="http://schemas.microsoft.com/office/drawing/2014/chart" uri="{C3380CC4-5D6E-409C-BE32-E72D297353CC}">
                  <c16:uniqueId val="{00000012-0041-42C2-A2CE-F1AC9DB4424D}"/>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  no precondition'!$AH$34</c15:f>
                      <c15:dlblFieldTableCache>
                        <c:ptCount val="1"/>
                        <c:pt idx="0">
                          <c:v>1%</c:v>
                        </c:pt>
                      </c15:dlblFieldTableCache>
                    </c15:dlblFTEntry>
                  </c15:dlblFieldTable>
                  <c15:showDataLabelsRange val="0"/>
                </c:ext>
                <c:ext xmlns:c16="http://schemas.microsoft.com/office/drawing/2014/chart" uri="{C3380CC4-5D6E-409C-BE32-E72D297353CC}">
                  <c16:uniqueId val="{00000013-0041-42C2-A2CE-F1AC9DB4424D}"/>
                </c:ext>
              </c:extLst>
            </c:dLbl>
            <c:spPr>
              <a:noFill/>
              <a:ln>
                <a:noFill/>
              </a:ln>
              <a:effectLst/>
            </c:spPr>
            <c:txPr>
              <a:bodyPr wrap="square" lIns="38100" tIns="19050" rIns="38100" bIns="19050" anchor="ctr">
                <a:spAutoFit/>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precondition'!$AH$7:$AH$10</c:f>
              <c:numCache>
                <c:formatCode>0</c:formatCode>
                <c:ptCount val="4"/>
                <c:pt idx="0">
                  <c:v>222.81597643414426</c:v>
                </c:pt>
                <c:pt idx="1">
                  <c:v>207.24880302286215</c:v>
                </c:pt>
                <c:pt idx="2">
                  <c:v>197.36417977936662</c:v>
                </c:pt>
                <c:pt idx="3">
                  <c:v>273.09184756510598</c:v>
                </c:pt>
              </c:numCache>
            </c:numRef>
          </c:val>
          <c:extLst>
            <c:ext xmlns:c16="http://schemas.microsoft.com/office/drawing/2014/chart" uri="{C3380CC4-5D6E-409C-BE32-E72D297353CC}">
              <c16:uniqueId val="{00000014-0041-42C2-A2CE-F1AC9DB4424D}"/>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  no precondition'!$AI$31</c15:f>
                      <c15:dlblFieldTableCache>
                        <c:ptCount val="1"/>
                        <c:pt idx="0">
                          <c:v>26%</c:v>
                        </c:pt>
                      </c15:dlblFieldTableCache>
                    </c15:dlblFTEntry>
                  </c15:dlblFieldTable>
                  <c15:showDataLabelsRange val="0"/>
                </c:ext>
                <c:ext xmlns:c16="http://schemas.microsoft.com/office/drawing/2014/chart" uri="{C3380CC4-5D6E-409C-BE32-E72D297353CC}">
                  <c16:uniqueId val="{00000015-0041-42C2-A2CE-F1AC9DB4424D}"/>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  no precondition'!$AI$32</c15:f>
                      <c15:dlblFieldTableCache>
                        <c:ptCount val="1"/>
                        <c:pt idx="0">
                          <c:v>6%</c:v>
                        </c:pt>
                      </c15:dlblFieldTableCache>
                    </c15:dlblFTEntry>
                  </c15:dlblFieldTable>
                  <c15:showDataLabelsRange val="0"/>
                </c:ext>
                <c:ext xmlns:c16="http://schemas.microsoft.com/office/drawing/2014/chart" uri="{C3380CC4-5D6E-409C-BE32-E72D297353CC}">
                  <c16:uniqueId val="{00000016-0041-42C2-A2CE-F1AC9DB4424D}"/>
                </c:ext>
              </c:extLst>
            </c:dLbl>
            <c:dLbl>
              <c:idx val="2"/>
              <c:layout>
                <c:manualLayout>
                  <c:x val="2.715753519493604E-3"/>
                  <c:y val="0"/>
                </c:manualLayout>
              </c:layout>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  no precondition'!$AI$33</c15:f>
                      <c15:dlblFieldTableCache>
                        <c:ptCount val="1"/>
                        <c:pt idx="0">
                          <c:v>23%</c:v>
                        </c:pt>
                      </c15:dlblFieldTableCache>
                    </c15:dlblFTEntry>
                  </c15:dlblFieldTable>
                  <c15:showDataLabelsRange val="0"/>
                </c:ext>
                <c:ext xmlns:c16="http://schemas.microsoft.com/office/drawing/2014/chart" uri="{C3380CC4-5D6E-409C-BE32-E72D297353CC}">
                  <c16:uniqueId val="{00000017-0041-42C2-A2CE-F1AC9DB4424D}"/>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  no precondition'!$AI$34</c15:f>
                      <c15:dlblFieldTableCache>
                        <c:ptCount val="1"/>
                        <c:pt idx="0">
                          <c:v>5%</c:v>
                        </c:pt>
                      </c15:dlblFieldTableCache>
                    </c15:dlblFTEntry>
                  </c15:dlblFieldTable>
                  <c15:showDataLabelsRange val="0"/>
                </c:ext>
                <c:ext xmlns:c16="http://schemas.microsoft.com/office/drawing/2014/chart" uri="{C3380CC4-5D6E-409C-BE32-E72D297353CC}">
                  <c16:uniqueId val="{00000018-0041-42C2-A2CE-F1AC9DB4424D}"/>
                </c:ext>
              </c:extLst>
            </c:dLbl>
            <c:spPr>
              <a:noFill/>
              <a:ln>
                <a:noFill/>
              </a:ln>
              <a:effectLst/>
            </c:spPr>
            <c:txPr>
              <a:bodyPr wrap="square" lIns="38100" tIns="19050" rIns="38100" bIns="19050" anchor="ctr">
                <a:spAutoFit/>
              </a:bodyPr>
              <a:lstStyle/>
              <a:p>
                <a:pPr>
                  <a:defRPr sz="9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precondition'!$AI$7:$AI$10</c:f>
              <c:numCache>
                <c:formatCode>0</c:formatCode>
                <c:ptCount val="4"/>
                <c:pt idx="0">
                  <c:v>216.41664329048987</c:v>
                </c:pt>
                <c:pt idx="1">
                  <c:v>213.58571189315117</c:v>
                </c:pt>
                <c:pt idx="2">
                  <c:v>201.39321481124568</c:v>
                </c:pt>
                <c:pt idx="3">
                  <c:v>282.17138816927599</c:v>
                </c:pt>
              </c:numCache>
            </c:numRef>
          </c:val>
          <c:extLst>
            <c:ext xmlns:c16="http://schemas.microsoft.com/office/drawing/2014/chart" uri="{C3380CC4-5D6E-409C-BE32-E72D297353CC}">
              <c16:uniqueId val="{00000019-0041-42C2-A2CE-F1AC9DB4424D}"/>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baseline="0">
                <a:effectLst/>
              </a:rPr>
              <a:t>2019 Nissan Leaf Plus Steady State Energy Consumption</a:t>
            </a:r>
          </a:p>
        </c:rich>
      </c:tx>
      <c:layout>
        <c:manualLayout>
          <c:xMode val="edge"/>
          <c:yMode val="edge"/>
          <c:x val="0.17908342458435084"/>
          <c:y val="2.0782393287319696E-2"/>
        </c:manualLayout>
      </c:layout>
      <c:overlay val="0"/>
    </c:title>
    <c:autoTitleDeleted val="0"/>
    <c:plotArea>
      <c:layout>
        <c:manualLayout>
          <c:layoutTarget val="inner"/>
          <c:xMode val="edge"/>
          <c:yMode val="edge"/>
          <c:x val="0.10723480431832659"/>
          <c:y val="0.17916092150768245"/>
          <c:w val="0.82107257113565391"/>
          <c:h val="0.63937049312528249"/>
        </c:manualLayout>
      </c:layout>
      <c:scatterChart>
        <c:scatterStyle val="lineMarker"/>
        <c:varyColors val="0"/>
        <c:ser>
          <c:idx val="0"/>
          <c:order val="0"/>
          <c:tx>
            <c:strRef>
              <c:f>AVTEReporting!$D$15</c:f>
              <c:strCache>
                <c:ptCount val="1"/>
                <c:pt idx="0">
                  <c:v>0% grade</c:v>
                </c:pt>
              </c:strCache>
            </c:strRef>
          </c:tx>
          <c:spPr>
            <a:ln>
              <a:solidFill>
                <a:srgbClr val="92D050"/>
              </a:solidFill>
            </a:ln>
          </c:spPr>
          <c:marker>
            <c:spPr>
              <a:solidFill>
                <a:srgbClr val="92D050"/>
              </a:solidFill>
              <a:ln>
                <a:solidFill>
                  <a:srgbClr val="92D050"/>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AVTEReporting!$D$16:$D$23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117A-4FD5-8569-2F5474880881}"/>
            </c:ext>
          </c:extLst>
        </c:ser>
        <c:ser>
          <c:idx val="2"/>
          <c:order val="1"/>
          <c:tx>
            <c:strRef>
              <c:f>AVTEReporting!$E$15</c:f>
              <c:strCache>
                <c:ptCount val="1"/>
                <c:pt idx="0">
                  <c:v>6% grade</c:v>
                </c:pt>
              </c:strCache>
            </c:strRef>
          </c:tx>
          <c:spPr>
            <a:ln>
              <a:solidFill>
                <a:schemeClr val="accent2">
                  <a:lumMod val="75000"/>
                </a:schemeClr>
              </a:solidFill>
            </a:ln>
          </c:spPr>
          <c:marker>
            <c:spPr>
              <a:solidFill>
                <a:schemeClr val="accent2">
                  <a:lumMod val="75000"/>
                </a:schemeClr>
              </a:solidFill>
              <a:ln>
                <a:solidFill>
                  <a:schemeClr val="accent2">
                    <a:lumMod val="75000"/>
                  </a:schemeClr>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AVTEReporting!$E$16:$E$23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117A-4FD5-8569-2F5474880881}"/>
            </c:ext>
          </c:extLst>
        </c:ser>
        <c:dLbls>
          <c:showLegendKey val="0"/>
          <c:showVal val="0"/>
          <c:showCatName val="0"/>
          <c:showSerName val="0"/>
          <c:showPercent val="0"/>
          <c:showBubbleSize val="0"/>
        </c:dLbls>
        <c:axId val="429209760"/>
        <c:axId val="901367136"/>
        <c:extLst/>
      </c:scatterChart>
      <c:valAx>
        <c:axId val="429209760"/>
        <c:scaling>
          <c:orientation val="minMax"/>
          <c:max val="80"/>
        </c:scaling>
        <c:delete val="0"/>
        <c:axPos val="b"/>
        <c:minorGridlines/>
        <c:title>
          <c:tx>
            <c:rich>
              <a:bodyPr/>
              <a:lstStyle/>
              <a:p>
                <a:pPr>
                  <a:defRPr/>
                </a:pPr>
                <a:r>
                  <a:rPr lang="en-US"/>
                  <a:t>Vehicle speed [mph]</a:t>
                </a:r>
              </a:p>
            </c:rich>
          </c:tx>
          <c:overlay val="0"/>
        </c:title>
        <c:numFmt formatCode="General" sourceLinked="1"/>
        <c:majorTickMark val="out"/>
        <c:minorTickMark val="none"/>
        <c:tickLblPos val="nextTo"/>
        <c:crossAx val="901367136"/>
        <c:crosses val="autoZero"/>
        <c:crossBetween val="midCat"/>
        <c:majorUnit val="20"/>
        <c:minorUnit val="10"/>
      </c:valAx>
      <c:valAx>
        <c:axId val="901367136"/>
        <c:scaling>
          <c:orientation val="minMax"/>
        </c:scaling>
        <c:delete val="0"/>
        <c:axPos val="l"/>
        <c:majorGridlines/>
        <c:title>
          <c:tx>
            <c:rich>
              <a:bodyPr rot="-5400000" vert="horz"/>
              <a:lstStyle/>
              <a:p>
                <a:pPr>
                  <a:defRPr/>
                </a:pPr>
                <a:r>
                  <a:rPr lang="en-US"/>
                  <a:t>Energy Consumption (AC Wh/mi)</a:t>
                </a:r>
              </a:p>
            </c:rich>
          </c:tx>
          <c:overlay val="0"/>
        </c:title>
        <c:numFmt formatCode="General" sourceLinked="0"/>
        <c:majorTickMark val="out"/>
        <c:minorTickMark val="none"/>
        <c:tickLblPos val="nextTo"/>
        <c:crossAx val="429209760"/>
        <c:crosses val="autoZero"/>
        <c:crossBetween val="midCat"/>
      </c:valAx>
    </c:plotArea>
    <c:legend>
      <c:legendPos val="r"/>
      <c:layout>
        <c:manualLayout>
          <c:xMode val="edge"/>
          <c:yMode val="edge"/>
          <c:x val="0.10990075934254655"/>
          <c:y val="0.13633740919157802"/>
          <c:w val="0.14529150664993024"/>
          <c:h val="0.15032248710591592"/>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i="0" u="none" strike="noStrike" baseline="0">
                <a:effectLst/>
              </a:rPr>
              <a:t>2019 Nissan Leaf Plus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AF2A-4F29-B7B2-9CBBD93EF0B3}"/>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F2A-4F29-B7B2-9CBBD93EF0B3}"/>
            </c:ext>
          </c:extLst>
        </c:ser>
        <c:ser>
          <c:idx val="0"/>
          <c:order val="2"/>
          <c:tx>
            <c:strRef>
              <c:f>AVTEReporting!$A$39</c:f>
              <c:strCache>
                <c:ptCount val="1"/>
                <c:pt idx="0">
                  <c:v>72F with Climate Off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F2A-4F29-B7B2-9CBBD93EF0B3}"/>
            </c:ext>
          </c:extLst>
        </c:ser>
        <c:ser>
          <c:idx val="1"/>
          <c:order val="3"/>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F2A-4F29-B7B2-9CBBD93EF0B3}"/>
            </c:ext>
          </c:extLst>
        </c:ser>
        <c:dLbls>
          <c:showLegendKey val="0"/>
          <c:showVal val="0"/>
          <c:showCatName val="0"/>
          <c:showSerName val="0"/>
          <c:showPercent val="0"/>
          <c:showBubbleSize val="0"/>
        </c:dLbls>
        <c:gapWidth val="243"/>
        <c:axId val="901364392"/>
        <c:axId val="901362432"/>
      </c:barChart>
      <c:catAx>
        <c:axId val="901364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2432"/>
        <c:crosses val="autoZero"/>
        <c:auto val="1"/>
        <c:lblAlgn val="ctr"/>
        <c:lblOffset val="100"/>
        <c:noMultiLvlLbl val="0"/>
      </c:catAx>
      <c:valAx>
        <c:axId val="901362432"/>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4392"/>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Energy Consumption Increase Relative to 72F</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AVTEReporting!$K$69:$K$74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21-4C05-91E3-B3F58081C477}"/>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AVTEReporting!$J$69:$J$74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21-4C05-91E3-B3F58081C477}"/>
            </c:ext>
          </c:extLst>
        </c:ser>
        <c:ser>
          <c:idx val="1"/>
          <c:order val="2"/>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AVTEReporting!$I$69:$I$74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2821-4C05-91E3-B3F58081C477}"/>
            </c:ext>
          </c:extLst>
        </c:ser>
        <c:dLbls>
          <c:showLegendKey val="0"/>
          <c:showVal val="0"/>
          <c:showCatName val="0"/>
          <c:showSerName val="0"/>
          <c:showPercent val="0"/>
          <c:showBubbleSize val="0"/>
        </c:dLbls>
        <c:gapWidth val="243"/>
        <c:axId val="366901296"/>
        <c:axId val="866523680"/>
      </c:barChart>
      <c:catAx>
        <c:axId val="36690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3680"/>
        <c:crosses val="autoZero"/>
        <c:auto val="1"/>
        <c:lblAlgn val="ctr"/>
        <c:lblOffset val="100"/>
        <c:noMultiLvlLbl val="0"/>
      </c:catAx>
      <c:valAx>
        <c:axId val="86652368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Increase</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6690129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2019 Nissan</a:t>
            </a:r>
            <a:r>
              <a:rPr lang="en-US" sz="2000" b="1" baseline="0"/>
              <a:t> Leaf Plus</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4AB-49E1-AC9A-492523AACB2C}"/>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4AB-49E1-AC9A-492523AACB2C}"/>
            </c:ext>
          </c:extLst>
        </c:ser>
        <c:ser>
          <c:idx val="0"/>
          <c:order val="2"/>
          <c:tx>
            <c:strRef>
              <c:f>AVTEReporting!$A$39</c:f>
              <c:strCache>
                <c:ptCount val="1"/>
                <c:pt idx="0">
                  <c:v>72F with Climate Off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4AB-49E1-AC9A-492523AACB2C}"/>
            </c:ext>
          </c:extLst>
        </c:ser>
        <c:ser>
          <c:idx val="1"/>
          <c:order val="3"/>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4AB-49E1-AC9A-492523AACB2C}"/>
            </c:ext>
          </c:extLst>
        </c:ser>
        <c:dLbls>
          <c:showLegendKey val="0"/>
          <c:showVal val="0"/>
          <c:showCatName val="0"/>
          <c:showSerName val="0"/>
          <c:showPercent val="0"/>
          <c:showBubbleSize val="0"/>
        </c:dLbls>
        <c:gapWidth val="243"/>
        <c:axId val="866526032"/>
        <c:axId val="866533480"/>
      </c:barChart>
      <c:catAx>
        <c:axId val="86652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3480"/>
        <c:crosses val="autoZero"/>
        <c:auto val="1"/>
        <c:lblAlgn val="ctr"/>
        <c:lblOffset val="100"/>
        <c:noMultiLvlLbl val="0"/>
      </c:catAx>
      <c:valAx>
        <c:axId val="866533480"/>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[DC</a:t>
                </a:r>
                <a:r>
                  <a:rPr lang="en-US" sz="1600" baseline="0"/>
                  <a:t> Wh/mi]</a:t>
                </a:r>
                <a:endParaRPr lang="en-US" sz="1600"/>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6032"/>
        <c:crosses val="autoZero"/>
        <c:crossBetween val="between"/>
      </c:valAx>
      <c:dTable>
        <c:showHorzBorder val="1"/>
        <c:showVertBorder val="1"/>
        <c:showOutline val="1"/>
        <c:showKeys val="1"/>
      </c:dTable>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2015 VW EGolf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dLbls>
            <c:spPr>
              <a:noFill/>
              <a:ln>
                <a:noFill/>
              </a:ln>
              <a:effectLst/>
            </c:spPr>
            <c:txPr>
              <a:bodyPr rot="-5400000" vert="horz" wrap="square" lIns="38100" tIns="19050" rIns="38100" bIns="19050" anchor="t" anchorCtr="1">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6C9-49A1-8EFB-5F065680CD1D}"/>
            </c:ext>
          </c:extLst>
        </c:ser>
        <c:ser>
          <c:idx val="2"/>
          <c:order val="1"/>
          <c:tx>
            <c:strRef>
              <c:f>AVTEReporting!$A$58</c:f>
              <c:strCache>
                <c:ptCount val="1"/>
                <c:pt idx="0">
                  <c:v>20F Ambient with 72F Cabin</c:v>
                </c:pt>
              </c:strCache>
            </c:strRef>
          </c:tx>
          <c:spPr>
            <a:solidFill>
              <a:schemeClr val="accent1"/>
            </a:solidFill>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76C9-49A1-8EFB-5F065680CD1D}"/>
            </c:ext>
          </c:extLst>
        </c:ser>
        <c:ser>
          <c:idx val="0"/>
          <c:order val="2"/>
          <c:tx>
            <c:strRef>
              <c:f>AVTEReporting!$A$39</c:f>
              <c:strCache>
                <c:ptCount val="1"/>
                <c:pt idx="0">
                  <c:v>72F with Climate Off</c:v>
                </c:pt>
              </c:strCache>
            </c:strRef>
          </c:tx>
          <c:spPr>
            <a:solidFill>
              <a:srgbClr val="92D050"/>
            </a:solidFill>
            <a:ln>
              <a:noFill/>
            </a:ln>
            <a:effectLst/>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76C9-49A1-8EFB-5F065680CD1D}"/>
            </c:ext>
          </c:extLst>
        </c:ser>
        <c:ser>
          <c:idx val="1"/>
          <c:order val="3"/>
          <c:tx>
            <c:strRef>
              <c:f>AVTEReporting!$A$48</c:f>
              <c:strCache>
                <c:ptCount val="1"/>
                <c:pt idx="0">
                  <c:v>95F Ambient with 72F Cabin</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76C9-49A1-8EFB-5F065680CD1D}"/>
            </c:ext>
          </c:extLst>
        </c:ser>
        <c:dLbls>
          <c:showLegendKey val="0"/>
          <c:showVal val="1"/>
          <c:showCatName val="0"/>
          <c:showSerName val="0"/>
          <c:showPercent val="0"/>
          <c:showBubbleSize val="0"/>
        </c:dLbls>
        <c:gapWidth val="243"/>
        <c:axId val="866534656"/>
        <c:axId val="866527208"/>
      </c:barChart>
      <c:catAx>
        <c:axId val="86653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7208"/>
        <c:crosses val="autoZero"/>
        <c:auto val="1"/>
        <c:lblAlgn val="ctr"/>
        <c:lblOffset val="100"/>
        <c:noMultiLvlLbl val="0"/>
      </c:catAx>
      <c:valAx>
        <c:axId val="866527208"/>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465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Road</a:t>
            </a:r>
            <a:r>
              <a:rPr lang="en-US" baseline="0"/>
              <a:t> L</a:t>
            </a:r>
            <a:r>
              <a:rPr lang="en-US"/>
              <a:t>oad</a:t>
            </a:r>
            <a:r>
              <a:rPr lang="en-US" baseline="0"/>
              <a:t> Power vs. Vehicle Speed</a:t>
            </a:r>
            <a:endParaRPr lang="en-US"/>
          </a:p>
        </c:rich>
      </c:tx>
      <c:overlay val="0"/>
    </c:title>
    <c:autoTitleDeleted val="0"/>
    <c:plotArea>
      <c:layout>
        <c:manualLayout>
          <c:layoutTarget val="inner"/>
          <c:xMode val="edge"/>
          <c:yMode val="edge"/>
          <c:x val="9.6498699788719916E-2"/>
          <c:y val="0.11072658508272543"/>
          <c:w val="0.87801349177189358"/>
          <c:h val="0.74563881047376424"/>
        </c:manualLayout>
      </c:layout>
      <c:scatterChart>
        <c:scatterStyle val="lineMarker"/>
        <c:varyColors val="0"/>
        <c:ser>
          <c:idx val="0"/>
          <c:order val="0"/>
          <c:tx>
            <c:strRef>
              <c:f>TestInfoInstru!$P$28</c:f>
              <c:strCache>
                <c:ptCount val="1"/>
                <c:pt idx="0">
                  <c:v>EPA-Leaf</c:v>
                </c:pt>
              </c:strCache>
            </c:strRef>
          </c:tx>
          <c:spPr>
            <a:ln>
              <a:solidFill>
                <a:schemeClr val="accent6">
                  <a:lumMod val="75000"/>
                </a:schemeClr>
              </a:solidFill>
            </a:ln>
          </c:spPr>
          <c:marker>
            <c:symbol val="none"/>
          </c:marker>
          <c:xVal>
            <c:numRef>
              <c:f>TestInfoInstru!$N$29:$N$37</c:f>
              <c:numCache>
                <c:formatCode>General</c:formatCode>
                <c:ptCount val="9"/>
                <c:pt idx="0">
                  <c:v>0</c:v>
                </c:pt>
                <c:pt idx="1">
                  <c:v>10</c:v>
                </c:pt>
                <c:pt idx="2">
                  <c:v>20</c:v>
                </c:pt>
                <c:pt idx="3">
                  <c:v>30</c:v>
                </c:pt>
                <c:pt idx="4">
                  <c:v>40</c:v>
                </c:pt>
                <c:pt idx="5">
                  <c:v>55</c:v>
                </c:pt>
                <c:pt idx="6">
                  <c:v>65</c:v>
                </c:pt>
                <c:pt idx="7">
                  <c:v>70</c:v>
                </c:pt>
                <c:pt idx="8">
                  <c:v>80</c:v>
                </c:pt>
              </c:numCache>
            </c:numRef>
          </c:xVal>
          <c:yVal>
            <c:numRef>
              <c:f>TestInfoInstru!$P$29:$P$37</c:f>
              <c:numCache>
                <c:formatCode>0.0</c:formatCode>
                <c:ptCount val="9"/>
                <c:pt idx="0">
                  <c:v>0</c:v>
                </c:pt>
                <c:pt idx="1">
                  <c:v>0.7062672631255148</c:v>
                </c:pt>
                <c:pt idx="2">
                  <c:v>1.77321464052224</c:v>
                </c:pt>
                <c:pt idx="3">
                  <c:v>3.4342163642492198</c:v>
                </c:pt>
                <c:pt idx="4">
                  <c:v>5.9226466663654964</c:v>
                </c:pt>
                <c:pt idx="5">
                  <c:v>11.717226836649003</c:v>
                </c:pt>
                <c:pt idx="6">
                  <c:v>17.295240849996837</c:v>
                </c:pt>
                <c:pt idx="7">
                  <c:v>20.68625136364054</c:v>
                </c:pt>
                <c:pt idx="8">
                  <c:v>28.818138299904437</c:v>
                </c:pt>
              </c:numCache>
            </c:numRef>
          </c:yVal>
          <c:smooth val="0"/>
          <c:extLst>
            <c:ext xmlns:c16="http://schemas.microsoft.com/office/drawing/2014/chart" uri="{C3380CC4-5D6E-409C-BE32-E72D297353CC}">
              <c16:uniqueId val="{00000000-AC4D-4BE9-A059-B3BA8A67A811}"/>
            </c:ext>
          </c:extLst>
        </c:ser>
        <c:ser>
          <c:idx val="1"/>
          <c:order val="1"/>
          <c:tx>
            <c:strRef>
              <c:f>TestInfoInstru!$Q$28</c:f>
              <c:strCache>
                <c:ptCount val="1"/>
                <c:pt idx="0">
                  <c:v>EPA-Tesla M3</c:v>
                </c:pt>
              </c:strCache>
            </c:strRef>
          </c:tx>
          <c:marker>
            <c:symbol val="none"/>
          </c:marker>
          <c:xVal>
            <c:numRef>
              <c:f>TestInfoInstru!$N$29:$N$37</c:f>
              <c:numCache>
                <c:formatCode>General</c:formatCode>
                <c:ptCount val="9"/>
                <c:pt idx="0">
                  <c:v>0</c:v>
                </c:pt>
                <c:pt idx="1">
                  <c:v>10</c:v>
                </c:pt>
                <c:pt idx="2">
                  <c:v>20</c:v>
                </c:pt>
                <c:pt idx="3">
                  <c:v>30</c:v>
                </c:pt>
                <c:pt idx="4">
                  <c:v>40</c:v>
                </c:pt>
                <c:pt idx="5">
                  <c:v>55</c:v>
                </c:pt>
                <c:pt idx="6">
                  <c:v>65</c:v>
                </c:pt>
                <c:pt idx="7">
                  <c:v>70</c:v>
                </c:pt>
                <c:pt idx="8">
                  <c:v>80</c:v>
                </c:pt>
              </c:numCache>
            </c:numRef>
          </c:xVal>
          <c:yVal>
            <c:numRef>
              <c:f>TestInfoInstru!$Q$29:$Q$37</c:f>
              <c:numCache>
                <c:formatCode>0.0</c:formatCode>
                <c:ptCount val="9"/>
                <c:pt idx="0">
                  <c:v>0</c:v>
                </c:pt>
                <c:pt idx="1">
                  <c:v>0.8056541421158947</c:v>
                </c:pt>
                <c:pt idx="2">
                  <c:v>1.8024063048595507</c:v>
                </c:pt>
                <c:pt idx="3">
                  <c:v>3.1692244576013997</c:v>
                </c:pt>
                <c:pt idx="4">
                  <c:v>5.0850765697118741</c:v>
                </c:pt>
                <c:pt idx="5">
                  <c:v>9.3797858446915789</c:v>
                </c:pt>
                <c:pt idx="6">
                  <c:v>13.451207721219257</c:v>
                </c:pt>
                <c:pt idx="7">
                  <c:v>15.916516355959372</c:v>
                </c:pt>
                <c:pt idx="8">
                  <c:v>21.818183999248667</c:v>
                </c:pt>
              </c:numCache>
            </c:numRef>
          </c:yVal>
          <c:smooth val="0"/>
          <c:extLst>
            <c:ext xmlns:c16="http://schemas.microsoft.com/office/drawing/2014/chart" uri="{C3380CC4-5D6E-409C-BE32-E72D297353CC}">
              <c16:uniqueId val="{00000000-6F6F-4EB6-8BB6-804A5C6B712A}"/>
            </c:ext>
          </c:extLst>
        </c:ser>
        <c:ser>
          <c:idx val="2"/>
          <c:order val="2"/>
          <c:tx>
            <c:strRef>
              <c:f>TestInfoInstru!$O$28</c:f>
              <c:strCache>
                <c:ptCount val="1"/>
                <c:pt idx="0">
                  <c:v>EPA Bolt</c:v>
                </c:pt>
              </c:strCache>
            </c:strRef>
          </c:tx>
          <c:marker>
            <c:symbol val="none"/>
          </c:marker>
          <c:xVal>
            <c:numRef>
              <c:f>TestInfoInstru!$N$29:$N$37</c:f>
              <c:numCache>
                <c:formatCode>General</c:formatCode>
                <c:ptCount val="9"/>
                <c:pt idx="0">
                  <c:v>0</c:v>
                </c:pt>
                <c:pt idx="1">
                  <c:v>10</c:v>
                </c:pt>
                <c:pt idx="2">
                  <c:v>20</c:v>
                </c:pt>
                <c:pt idx="3">
                  <c:v>30</c:v>
                </c:pt>
                <c:pt idx="4">
                  <c:v>40</c:v>
                </c:pt>
                <c:pt idx="5">
                  <c:v>55</c:v>
                </c:pt>
                <c:pt idx="6">
                  <c:v>65</c:v>
                </c:pt>
                <c:pt idx="7">
                  <c:v>70</c:v>
                </c:pt>
                <c:pt idx="8">
                  <c:v>80</c:v>
                </c:pt>
              </c:numCache>
            </c:numRef>
          </c:xVal>
          <c:yVal>
            <c:numRef>
              <c:f>TestInfoInstru!$O$29:$O$37</c:f>
              <c:numCache>
                <c:formatCode>0.0</c:formatCode>
                <c:ptCount val="9"/>
                <c:pt idx="0">
                  <c:v>0</c:v>
                </c:pt>
                <c:pt idx="1">
                  <c:v>0.64307168460782227</c:v>
                </c:pt>
                <c:pt idx="2">
                  <c:v>1.5968715347025746</c:v>
                </c:pt>
                <c:pt idx="3">
                  <c:v>3.0919102948333732</c:v>
                </c:pt>
                <c:pt idx="4">
                  <c:v>5.3586987095493352</c:v>
                </c:pt>
                <c:pt idx="5">
                  <c:v>10.710154187671652</c:v>
                </c:pt>
                <c:pt idx="6">
                  <c:v>15.914801246252903</c:v>
                </c:pt>
                <c:pt idx="7">
                  <c:v>19.094669326699361</c:v>
                </c:pt>
                <c:pt idx="8">
                  <c:v>26.753563805247136</c:v>
                </c:pt>
              </c:numCache>
            </c:numRef>
          </c:yVal>
          <c:smooth val="0"/>
          <c:extLst>
            <c:ext xmlns:c16="http://schemas.microsoft.com/office/drawing/2014/chart" uri="{C3380CC4-5D6E-409C-BE32-E72D297353CC}">
              <c16:uniqueId val="{00000000-5C5F-4DD9-9D1B-62C2D300810F}"/>
            </c:ext>
          </c:extLst>
        </c:ser>
        <c:dLbls>
          <c:showLegendKey val="0"/>
          <c:showVal val="0"/>
          <c:showCatName val="0"/>
          <c:showSerName val="0"/>
          <c:showPercent val="0"/>
          <c:showBubbleSize val="0"/>
        </c:dLbls>
        <c:axId val="408112088"/>
        <c:axId val="461518768"/>
      </c:scatterChart>
      <c:valAx>
        <c:axId val="408112088"/>
        <c:scaling>
          <c:orientation val="minMax"/>
          <c:max val="80"/>
          <c:min val="0"/>
        </c:scaling>
        <c:delete val="0"/>
        <c:axPos val="b"/>
        <c:title>
          <c:tx>
            <c:rich>
              <a:bodyPr/>
              <a:lstStyle/>
              <a:p>
                <a:pPr>
                  <a:defRPr sz="1050"/>
                </a:pPr>
                <a:r>
                  <a:rPr lang="en-US" sz="1050"/>
                  <a:t>Vehicle speed [mph]</a:t>
                </a:r>
              </a:p>
            </c:rich>
          </c:tx>
          <c:overlay val="0"/>
        </c:title>
        <c:numFmt formatCode="General" sourceLinked="1"/>
        <c:majorTickMark val="out"/>
        <c:minorTickMark val="none"/>
        <c:tickLblPos val="nextTo"/>
        <c:crossAx val="461518768"/>
        <c:crosses val="autoZero"/>
        <c:crossBetween val="midCat"/>
      </c:valAx>
      <c:valAx>
        <c:axId val="461518768"/>
        <c:scaling>
          <c:orientation val="minMax"/>
        </c:scaling>
        <c:delete val="0"/>
        <c:axPos val="l"/>
        <c:majorGridlines/>
        <c:title>
          <c:tx>
            <c:rich>
              <a:bodyPr rot="-5400000" vert="horz"/>
              <a:lstStyle/>
              <a:p>
                <a:pPr>
                  <a:defRPr sz="1100"/>
                </a:pPr>
                <a:r>
                  <a:rPr lang="en-US" sz="1100"/>
                  <a:t>Road load power [kW]</a:t>
                </a:r>
              </a:p>
            </c:rich>
          </c:tx>
          <c:overlay val="0"/>
        </c:title>
        <c:numFmt formatCode="0.0" sourceLinked="1"/>
        <c:majorTickMark val="out"/>
        <c:minorTickMark val="none"/>
        <c:tickLblPos val="nextTo"/>
        <c:crossAx val="408112088"/>
        <c:crosses val="autoZero"/>
        <c:crossBetween val="midCat"/>
      </c:valAx>
    </c:plotArea>
    <c:legend>
      <c:legendPos val="r"/>
      <c:layout>
        <c:manualLayout>
          <c:xMode val="edge"/>
          <c:yMode val="edge"/>
          <c:x val="0.11460934124177445"/>
          <c:y val="0.14716225830727214"/>
          <c:w val="0.12291369261951755"/>
          <c:h val="0.16606147436174004"/>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4019790806919732E-2"/>
          <c:y val="0.15962931741615491"/>
          <c:w val="0.62350100594091296"/>
          <c:h val="0.74533241408481499"/>
        </c:manualLayout>
      </c:layout>
      <c:scatterChart>
        <c:scatterStyle val="smoothMarker"/>
        <c:varyColors val="0"/>
        <c:ser>
          <c:idx val="0"/>
          <c:order val="0"/>
          <c:tx>
            <c:strRef>
              <c:f>TestInfoInstru!$O$46</c:f>
              <c:strCache>
                <c:ptCount val="1"/>
                <c:pt idx="0">
                  <c:v>Wheel Speed [rpm]</c:v>
                </c:pt>
              </c:strCache>
            </c:strRef>
          </c:tx>
          <c:marker>
            <c:symbol val="none"/>
          </c:marker>
          <c:trendline>
            <c:trendlineType val="linear"/>
            <c:dispRSqr val="0"/>
            <c:dispEq val="1"/>
            <c:trendlineLbl>
              <c:numFmt formatCode="General" sourceLinked="0"/>
            </c:trendlineLbl>
          </c:trendline>
          <c:xVal>
            <c:numRef>
              <c:f>TestInfoInstru!$N$47:$N$54</c:f>
              <c:numCache>
                <c:formatCode>General</c:formatCode>
                <c:ptCount val="8"/>
                <c:pt idx="0">
                  <c:v>10</c:v>
                </c:pt>
                <c:pt idx="1">
                  <c:v>20</c:v>
                </c:pt>
                <c:pt idx="2">
                  <c:v>30</c:v>
                </c:pt>
                <c:pt idx="3">
                  <c:v>40</c:v>
                </c:pt>
                <c:pt idx="4">
                  <c:v>50</c:v>
                </c:pt>
                <c:pt idx="5">
                  <c:v>60</c:v>
                </c:pt>
                <c:pt idx="6">
                  <c:v>70</c:v>
                </c:pt>
                <c:pt idx="7">
                  <c:v>80</c:v>
                </c:pt>
              </c:numCache>
            </c:numRef>
          </c:xVal>
          <c:yVal>
            <c:numRef>
              <c:f>TestInfoInstru!$O$47:$O$54</c:f>
              <c:numCache>
                <c:formatCode>General</c:formatCode>
                <c:ptCount val="8"/>
                <c:pt idx="0">
                  <c:v>138.9</c:v>
                </c:pt>
                <c:pt idx="1">
                  <c:v>278</c:v>
                </c:pt>
                <c:pt idx="2">
                  <c:v>416.9</c:v>
                </c:pt>
                <c:pt idx="3">
                  <c:v>555.5</c:v>
                </c:pt>
                <c:pt idx="4">
                  <c:v>697.3</c:v>
                </c:pt>
                <c:pt idx="5">
                  <c:v>832.7</c:v>
                </c:pt>
                <c:pt idx="6">
                  <c:v>970.6</c:v>
                </c:pt>
                <c:pt idx="7">
                  <c:v>1108</c:v>
                </c:pt>
              </c:numCache>
            </c:numRef>
          </c:yVal>
          <c:smooth val="1"/>
          <c:extLst>
            <c:ext xmlns:c16="http://schemas.microsoft.com/office/drawing/2014/chart" uri="{C3380CC4-5D6E-409C-BE32-E72D297353CC}">
              <c16:uniqueId val="{00000000-B0D5-4250-97AB-0B020EB1CAD2}"/>
            </c:ext>
          </c:extLst>
        </c:ser>
        <c:dLbls>
          <c:showLegendKey val="0"/>
          <c:showVal val="0"/>
          <c:showCatName val="0"/>
          <c:showSerName val="0"/>
          <c:showPercent val="0"/>
          <c:showBubbleSize val="0"/>
        </c:dLbls>
        <c:axId val="461515632"/>
        <c:axId val="461516808"/>
      </c:scatterChart>
      <c:valAx>
        <c:axId val="461515632"/>
        <c:scaling>
          <c:orientation val="minMax"/>
        </c:scaling>
        <c:delete val="0"/>
        <c:axPos val="b"/>
        <c:numFmt formatCode="General" sourceLinked="1"/>
        <c:majorTickMark val="out"/>
        <c:minorTickMark val="none"/>
        <c:tickLblPos val="nextTo"/>
        <c:crossAx val="461516808"/>
        <c:crosses val="autoZero"/>
        <c:crossBetween val="midCat"/>
      </c:valAx>
      <c:valAx>
        <c:axId val="461516808"/>
        <c:scaling>
          <c:orientation val="minMax"/>
        </c:scaling>
        <c:delete val="0"/>
        <c:axPos val="l"/>
        <c:majorGridlines/>
        <c:numFmt formatCode="General" sourceLinked="1"/>
        <c:majorTickMark val="out"/>
        <c:minorTickMark val="none"/>
        <c:tickLblPos val="nextTo"/>
        <c:crossAx val="4615156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'Accessory Load'!$M$6</c:f>
              <c:strCache>
                <c:ptCount val="1"/>
                <c:pt idx="0">
                  <c:v>HV Watts</c:v>
                </c:pt>
              </c:strCache>
            </c:strRef>
          </c:tx>
          <c:spPr>
            <a:solidFill>
              <a:schemeClr val="accent3">
                <a:lumMod val="50000"/>
              </a:schemeClr>
            </a:solidFill>
            <a:ln>
              <a:noFill/>
            </a:ln>
            <a:effectLst/>
          </c:spPr>
          <c:invertIfNegative val="0"/>
          <c:cat>
            <c:strRef>
              <c:f>'Accessory Load'!$A$8:$A$77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x4</c:v>
                </c:pt>
                <c:pt idx="44">
                  <c:v> PF window down/up hold</c:v>
                </c:pt>
                <c:pt idx="46">
                  <c:v>radio</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Load'!$M$7:$M$77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0-4510-48A0-BF98-2911A67D1D1E}"/>
            </c:ext>
          </c:extLst>
        </c:ser>
        <c:ser>
          <c:idx val="1"/>
          <c:order val="1"/>
          <c:tx>
            <c:v>12V watts</c:v>
          </c:tx>
          <c:spPr>
            <a:solidFill>
              <a:schemeClr val="accent3"/>
            </a:solidFill>
            <a:ln>
              <a:noFill/>
            </a:ln>
            <a:effectLst/>
          </c:spPr>
          <c:invertIfNegative val="0"/>
          <c:cat>
            <c:strRef>
              <c:f>'Accessory Load'!$A$8:$A$77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x4</c:v>
                </c:pt>
                <c:pt idx="44">
                  <c:v> PF window down/up hold</c:v>
                </c:pt>
                <c:pt idx="46">
                  <c:v>radio</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Load'!$N$7:$N$77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1-4510-48A0-BF98-2911A67D1D1E}"/>
            </c:ext>
          </c:extLst>
        </c:ser>
        <c:ser>
          <c:idx val="2"/>
          <c:order val="2"/>
          <c:tx>
            <c:v>DC-DC Loss</c:v>
          </c:tx>
          <c:spPr>
            <a:solidFill>
              <a:schemeClr val="accent6">
                <a:lumMod val="75000"/>
              </a:schemeClr>
            </a:solidFill>
            <a:ln>
              <a:noFill/>
            </a:ln>
            <a:effectLst/>
          </c:spPr>
          <c:invertIfNegative val="0"/>
          <c:cat>
            <c:strRef>
              <c:f>'Accessory Load'!$A$8:$A$77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x4</c:v>
                </c:pt>
                <c:pt idx="44">
                  <c:v> PF window down/up hold</c:v>
                </c:pt>
                <c:pt idx="46">
                  <c:v>radio</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Load'!$R$7:$R$77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2-4510-48A0-BF98-2911A67D1D1E}"/>
            </c:ext>
          </c:extLst>
        </c:ser>
        <c:dLbls>
          <c:showLegendKey val="0"/>
          <c:showVal val="0"/>
          <c:showCatName val="0"/>
          <c:showSerName val="0"/>
          <c:showPercent val="0"/>
          <c:showBubbleSize val="0"/>
        </c:dLbls>
        <c:gapWidth val="75"/>
        <c:overlap val="100"/>
        <c:axId val="866528384"/>
        <c:axId val="866530736"/>
      </c:barChart>
      <c:catAx>
        <c:axId val="8665283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Accessory Selected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30736"/>
        <c:crosses val="autoZero"/>
        <c:auto val="1"/>
        <c:lblAlgn val="ctr"/>
        <c:lblOffset val="100"/>
        <c:noMultiLvlLbl val="0"/>
      </c:catAx>
      <c:valAx>
        <c:axId val="866530736"/>
        <c:scaling>
          <c:orientation val="minMax"/>
          <c:max val="52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Consumption</a:t>
                </a:r>
                <a:r>
                  <a:rPr lang="en-US" baseline="0"/>
                  <a:t> (Watts)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28384"/>
        <c:crosses val="autoZero"/>
        <c:crossBetween val="between"/>
      </c:valAx>
      <c:spPr>
        <a:gradFill>
          <a:gsLst>
            <a:gs pos="55000">
              <a:schemeClr val="accent1">
                <a:lumMod val="5000"/>
                <a:lumOff val="95000"/>
              </a:schemeClr>
            </a:gs>
            <a:gs pos="0">
              <a:schemeClr val="bg1">
                <a:lumMod val="65000"/>
              </a:schemeClr>
            </a:gs>
            <a:gs pos="15000">
              <a:schemeClr val="bg1">
                <a:lumMod val="75000"/>
              </a:schemeClr>
            </a:gs>
            <a:gs pos="72358">
              <a:schemeClr val="bg1">
                <a:lumMod val="95000"/>
              </a:schemeClr>
            </a:gs>
            <a:gs pos="91000">
              <a:schemeClr val="accent1">
                <a:lumMod val="30000"/>
                <a:lumOff val="70000"/>
              </a:schemeClr>
            </a:gs>
          </a:gsLst>
          <a:lin ang="5400000" scaled="1"/>
        </a:grad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14</xdr:col>
      <xdr:colOff>1595438</xdr:colOff>
      <xdr:row>0</xdr:row>
      <xdr:rowOff>0</xdr:rowOff>
    </xdr:from>
    <xdr:to>
      <xdr:col>15</xdr:col>
      <xdr:colOff>7938</xdr:colOff>
      <xdr:row>3</xdr:row>
      <xdr:rowOff>148079</xdr:rowOff>
    </xdr:to>
    <xdr:pic>
      <xdr:nvPicPr>
        <xdr:cNvPr id="4" name="Picture 3" descr="https://docs.anl.gov/main/groups/intranet/@shared/@cpa/@div/documents/multimedia/114726.jp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192251" y="0"/>
          <a:ext cx="2155825" cy="6910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35</xdr:col>
      <xdr:colOff>523258</xdr:colOff>
      <xdr:row>21</xdr:row>
      <xdr:rowOff>148044</xdr:rowOff>
    </xdr:from>
    <xdr:to>
      <xdr:col>50</xdr:col>
      <xdr:colOff>184481</xdr:colOff>
      <xdr:row>46</xdr:row>
      <xdr:rowOff>95690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88049</xdr:colOff>
      <xdr:row>47</xdr:row>
      <xdr:rowOff>123265</xdr:rowOff>
    </xdr:from>
    <xdr:to>
      <xdr:col>47</xdr:col>
      <xdr:colOff>354390</xdr:colOff>
      <xdr:row>73</xdr:row>
      <xdr:rowOff>171764</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519546</xdr:colOff>
      <xdr:row>1</xdr:row>
      <xdr:rowOff>123265</xdr:rowOff>
    </xdr:from>
    <xdr:to>
      <xdr:col>50</xdr:col>
      <xdr:colOff>179294</xdr:colOff>
      <xdr:row>21</xdr:row>
      <xdr:rowOff>78441</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515471</xdr:colOff>
      <xdr:row>67</xdr:row>
      <xdr:rowOff>89649</xdr:rowOff>
    </xdr:from>
    <xdr:to>
      <xdr:col>16</xdr:col>
      <xdr:colOff>257736</xdr:colOff>
      <xdr:row>72</xdr:row>
      <xdr:rowOff>33619</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928912" y="14679708"/>
          <a:ext cx="3709148" cy="896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No UBE</a:t>
          </a:r>
          <a:r>
            <a:rPr lang="en-US" sz="1100" baseline="0">
              <a:solidFill>
                <a:srgbClr val="FF0000"/>
              </a:solidFill>
            </a:rPr>
            <a:t> and Hioki charge data </a:t>
          </a:r>
        </a:p>
        <a:p>
          <a:endParaRPr lang="en-US" sz="1100" baseline="0">
            <a:solidFill>
              <a:srgbClr val="FF0000"/>
            </a:solidFill>
          </a:endParaRPr>
        </a:p>
        <a:p>
          <a:r>
            <a:rPr lang="en-US" sz="1100" baseline="0">
              <a:solidFill>
                <a:srgbClr val="FF0000"/>
              </a:solidFill>
            </a:rPr>
            <a:t>used the +850W/m2 data here</a:t>
          </a:r>
          <a:endParaRPr lang="en-US" sz="1100">
            <a:solidFill>
              <a:srgbClr val="FF0000"/>
            </a:solidFill>
          </a:endParaRPr>
        </a:p>
      </xdr:txBody>
    </xdr:sp>
    <xdr:clientData/>
  </xdr:twoCellAnchor>
  <xdr:twoCellAnchor>
    <xdr:from>
      <xdr:col>18</xdr:col>
      <xdr:colOff>537882</xdr:colOff>
      <xdr:row>2</xdr:row>
      <xdr:rowOff>112059</xdr:rowOff>
    </xdr:from>
    <xdr:to>
      <xdr:col>23</xdr:col>
      <xdr:colOff>705970</xdr:colOff>
      <xdr:row>5</xdr:row>
      <xdr:rowOff>549088</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9195676" y="493059"/>
          <a:ext cx="4403912" cy="101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UBE: Usable battery energy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523258</xdr:colOff>
      <xdr:row>21</xdr:row>
      <xdr:rowOff>148044</xdr:rowOff>
    </xdr:from>
    <xdr:to>
      <xdr:col>50</xdr:col>
      <xdr:colOff>184481</xdr:colOff>
      <xdr:row>46</xdr:row>
      <xdr:rowOff>95690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88049</xdr:colOff>
      <xdr:row>47</xdr:row>
      <xdr:rowOff>123265</xdr:rowOff>
    </xdr:from>
    <xdr:to>
      <xdr:col>47</xdr:col>
      <xdr:colOff>354390</xdr:colOff>
      <xdr:row>73</xdr:row>
      <xdr:rowOff>171764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519546</xdr:colOff>
      <xdr:row>1</xdr:row>
      <xdr:rowOff>123265</xdr:rowOff>
    </xdr:from>
    <xdr:to>
      <xdr:col>50</xdr:col>
      <xdr:colOff>179294</xdr:colOff>
      <xdr:row>21</xdr:row>
      <xdr:rowOff>78441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515471</xdr:colOff>
      <xdr:row>67</xdr:row>
      <xdr:rowOff>89649</xdr:rowOff>
    </xdr:from>
    <xdr:to>
      <xdr:col>16</xdr:col>
      <xdr:colOff>257736</xdr:colOff>
      <xdr:row>72</xdr:row>
      <xdr:rowOff>33619</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3907621" y="14662899"/>
          <a:ext cx="3704665" cy="896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No UBE</a:t>
          </a:r>
          <a:r>
            <a:rPr lang="en-US" sz="1100" baseline="0">
              <a:solidFill>
                <a:srgbClr val="FF0000"/>
              </a:solidFill>
            </a:rPr>
            <a:t> and Hioki charge data </a:t>
          </a:r>
        </a:p>
        <a:p>
          <a:endParaRPr lang="en-US" sz="1100" baseline="0">
            <a:solidFill>
              <a:srgbClr val="FF0000"/>
            </a:solidFill>
          </a:endParaRPr>
        </a:p>
        <a:p>
          <a:r>
            <a:rPr lang="en-US" sz="1100" baseline="0">
              <a:solidFill>
                <a:srgbClr val="FF0000"/>
              </a:solidFill>
            </a:rPr>
            <a:t>used the +850W/m2 data here</a:t>
          </a:r>
          <a:endParaRPr lang="en-US" sz="1100">
            <a:solidFill>
              <a:srgbClr val="FF0000"/>
            </a:solidFill>
          </a:endParaRPr>
        </a:p>
      </xdr:txBody>
    </xdr:sp>
    <xdr:clientData/>
  </xdr:twoCellAnchor>
  <xdr:twoCellAnchor>
    <xdr:from>
      <xdr:col>18</xdr:col>
      <xdr:colOff>537882</xdr:colOff>
      <xdr:row>2</xdr:row>
      <xdr:rowOff>112059</xdr:rowOff>
    </xdr:from>
    <xdr:to>
      <xdr:col>23</xdr:col>
      <xdr:colOff>705970</xdr:colOff>
      <xdr:row>5</xdr:row>
      <xdr:rowOff>549088</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9168782" y="493059"/>
          <a:ext cx="4406713" cy="10180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UBE: Usable battery energy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16</xdr:row>
      <xdr:rowOff>180975</xdr:rowOff>
    </xdr:from>
    <xdr:to>
      <xdr:col>3</xdr:col>
      <xdr:colOff>66675</xdr:colOff>
      <xdr:row>22</xdr:row>
      <xdr:rowOff>9525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0" y="3248025"/>
          <a:ext cx="2219325" cy="971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To estimate 65 MPH</a:t>
          </a:r>
          <a:r>
            <a:rPr lang="en-US" sz="1100" baseline="0">
              <a:solidFill>
                <a:srgbClr val="FF0000"/>
              </a:solidFill>
            </a:rPr>
            <a:t> ss cold wh/mi:</a:t>
          </a:r>
          <a:br>
            <a:rPr lang="en-US" sz="1100" baseline="0">
              <a:solidFill>
                <a:srgbClr val="FF0000"/>
              </a:solidFill>
            </a:rPr>
          </a:br>
          <a:r>
            <a:rPr lang="en-US" sz="1100" baseline="0">
              <a:solidFill>
                <a:srgbClr val="FF0000"/>
              </a:solidFill>
            </a:rPr>
            <a:t>1. get 22C HWY wh/mi (HWY #1)</a:t>
          </a:r>
        </a:p>
        <a:p>
          <a:r>
            <a:rPr lang="en-US" sz="1100" baseline="0">
              <a:solidFill>
                <a:srgbClr val="FF0000"/>
              </a:solidFill>
            </a:rPr>
            <a:t>2. get -7C HWY wh/mi </a:t>
          </a:r>
          <a:r>
            <a:rPr lang="en-US" sz="1100" baseline="0">
              <a:solidFill>
                <a:srgbClr val="FF0000"/>
              </a:solidFill>
              <a:effectLst/>
              <a:latin typeface="+mn-lt"/>
              <a:ea typeface="+mn-ea"/>
              <a:cs typeface="+mn-cs"/>
            </a:rPr>
            <a:t>(HWY #1)</a:t>
          </a:r>
          <a:endParaRPr lang="en-US" sz="1100" baseline="0">
            <a:solidFill>
              <a:srgbClr val="FF0000"/>
            </a:solidFill>
          </a:endParaRPr>
        </a:p>
        <a:p>
          <a:r>
            <a:rPr lang="en-US" sz="1100" baseline="0">
              <a:solidFill>
                <a:srgbClr val="FF0000"/>
              </a:solidFill>
            </a:rPr>
            <a:t>3. take ratio of these, multiply by the 22C 65ss wh/mi</a:t>
          </a:r>
        </a:p>
        <a:p>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1004607</xdr:colOff>
      <xdr:row>12</xdr:row>
      <xdr:rowOff>136153</xdr:rowOff>
    </xdr:from>
    <xdr:to>
      <xdr:col>14</xdr:col>
      <xdr:colOff>1120</xdr:colOff>
      <xdr:row>34</xdr:row>
      <xdr:rowOff>123703</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141945</xdr:colOff>
      <xdr:row>36</xdr:row>
      <xdr:rowOff>176547</xdr:rowOff>
    </xdr:from>
    <xdr:to>
      <xdr:col>13</xdr:col>
      <xdr:colOff>586480</xdr:colOff>
      <xdr:row>64</xdr:row>
      <xdr:rowOff>33579</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76</xdr:row>
      <xdr:rowOff>0</xdr:rowOff>
    </xdr:from>
    <xdr:to>
      <xdr:col>13</xdr:col>
      <xdr:colOff>444535</xdr:colOff>
      <xdr:row>104</xdr:row>
      <xdr:rowOff>85632</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75</xdr:row>
      <xdr:rowOff>171450</xdr:rowOff>
    </xdr:from>
    <xdr:to>
      <xdr:col>22</xdr:col>
      <xdr:colOff>196885</xdr:colOff>
      <xdr:row>104</xdr:row>
      <xdr:rowOff>66582</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447675</xdr:colOff>
      <xdr:row>76</xdr:row>
      <xdr:rowOff>0</xdr:rowOff>
    </xdr:from>
    <xdr:to>
      <xdr:col>28</xdr:col>
      <xdr:colOff>958885</xdr:colOff>
      <xdr:row>104</xdr:row>
      <xdr:rowOff>85632</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179294</xdr:colOff>
      <xdr:row>20</xdr:row>
      <xdr:rowOff>136473</xdr:rowOff>
    </xdr:from>
    <xdr:to>
      <xdr:col>24</xdr:col>
      <xdr:colOff>694765</xdr:colOff>
      <xdr:row>42</xdr:row>
      <xdr:rowOff>56192</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124891</xdr:colOff>
      <xdr:row>44</xdr:row>
      <xdr:rowOff>3021</xdr:rowOff>
    </xdr:from>
    <xdr:to>
      <xdr:col>24</xdr:col>
      <xdr:colOff>33961</xdr:colOff>
      <xdr:row>61</xdr:row>
      <xdr:rowOff>28979</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342899</xdr:colOff>
      <xdr:row>94</xdr:row>
      <xdr:rowOff>63499</xdr:rowOff>
    </xdr:from>
    <xdr:to>
      <xdr:col>15</xdr:col>
      <xdr:colOff>372533</xdr:colOff>
      <xdr:row>115</xdr:row>
      <xdr:rowOff>110067</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ales\APTF%20Docs\Users\kstutenberg\AppData\Local\Microsoft\Windows\INetCache\Content.Outlook\ZUJC1O24\Lightweight\FEvsMass_Leafonlypower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LABC"/>
      <sheetName val="INLcoef"/>
      <sheetName val="THEOcoef"/>
      <sheetName val="LEAFTheoreticalRL"/>
      <sheetName val="FusionConvTheoreticalRL"/>
      <sheetName val="SpdtoABCcalcFocus"/>
    </sheetNames>
    <sheetDataSet>
      <sheetData sheetId="0" refreshError="1"/>
      <sheetData sheetId="1" refreshError="1"/>
      <sheetData sheetId="2" refreshError="1"/>
      <sheetData sheetId="3">
        <row r="2">
          <cell r="H2">
            <v>0</v>
          </cell>
        </row>
      </sheetData>
      <sheetData sheetId="4" refreshError="1"/>
      <sheetData sheetId="5">
        <row r="2">
          <cell r="P2">
            <v>3125</v>
          </cell>
          <cell r="Q2">
            <v>30.85</v>
          </cell>
          <cell r="R2">
            <v>0.50800000000000001</v>
          </cell>
          <cell r="S2">
            <v>1.6490000000000001E-2</v>
          </cell>
        </row>
        <row r="3">
          <cell r="Q3">
            <v>34.296999999999997</v>
          </cell>
          <cell r="R3">
            <v>0.56420000000000003</v>
          </cell>
          <cell r="S3">
            <v>1.84E-2</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kstutenberg/AppData/All%20Daq/Drive%20Cycles/J1634%20Combined" TargetMode="External"/><Relationship Id="rId1" Type="http://schemas.openxmlformats.org/officeDocument/2006/relationships/hyperlink" Target="../../../../../../kstutenberg/AppData/All%20Daq/Drive%20Cycles/J1634%20Combined"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https://www.epa.gov/compliance-and-fuel-economy-data/data-cars-used-testing-fuel-economy"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73"/>
  <sheetViews>
    <sheetView zoomScale="85" zoomScaleNormal="85" workbookViewId="0">
      <pane ySplit="5" topLeftCell="A6" activePane="bottomLeft" state="frozen"/>
      <selection pane="bottomLeft" activeCell="B77" sqref="B77"/>
    </sheetView>
  </sheetViews>
  <sheetFormatPr defaultColWidth="9.140625" defaultRowHeight="15" x14ac:dyDescent="0.25"/>
  <cols>
    <col min="1" max="1" width="66.28515625" customWidth="1"/>
    <col min="2" max="2" width="9.42578125" style="17" customWidth="1"/>
    <col min="3" max="3" width="6.5703125" customWidth="1"/>
    <col min="4" max="4" width="8.5703125" customWidth="1"/>
    <col min="5" max="5" width="5.5703125" customWidth="1"/>
    <col min="6" max="6" width="8.5703125" customWidth="1"/>
    <col min="7" max="7" width="5.5703125" customWidth="1"/>
    <col min="8" max="8" width="9.42578125" customWidth="1"/>
    <col min="9" max="10" width="5.5703125" customWidth="1"/>
    <col min="11" max="11" width="12.5703125" customWidth="1"/>
    <col min="12" max="12" width="11" customWidth="1"/>
    <col min="13" max="13" width="8.5703125" customWidth="1"/>
    <col min="14" max="14" width="12.85546875" customWidth="1"/>
    <col min="15" max="15" width="52.42578125" customWidth="1"/>
    <col min="16" max="16" width="19.140625" customWidth="1"/>
    <col min="22" max="22" width="14.5703125" customWidth="1"/>
  </cols>
  <sheetData>
    <row r="1" spans="1:25" ht="14.45" customHeight="1" x14ac:dyDescent="0.25">
      <c r="A1" s="27" t="s">
        <v>5</v>
      </c>
      <c r="B1" s="460" t="s">
        <v>686</v>
      </c>
      <c r="C1" s="27"/>
      <c r="K1" s="27" t="s">
        <v>6</v>
      </c>
      <c r="L1" s="27" t="s">
        <v>408</v>
      </c>
    </row>
    <row r="2" spans="1:25" ht="14.45" customHeight="1" x14ac:dyDescent="0.25">
      <c r="A2" s="27" t="s">
        <v>7</v>
      </c>
      <c r="B2" s="460" t="s">
        <v>409</v>
      </c>
      <c r="C2" s="27"/>
      <c r="K2" s="27" t="s">
        <v>305</v>
      </c>
      <c r="L2" s="16">
        <v>44082</v>
      </c>
    </row>
    <row r="3" spans="1:25" ht="14.45" customHeight="1" x14ac:dyDescent="0.25">
      <c r="A3" s="1" t="s">
        <v>8</v>
      </c>
      <c r="B3" s="461" t="s">
        <v>685</v>
      </c>
      <c r="C3" s="1"/>
      <c r="D3" s="139"/>
      <c r="E3" s="140" t="s">
        <v>687</v>
      </c>
      <c r="K3" s="27" t="s">
        <v>300</v>
      </c>
      <c r="L3" s="16">
        <f ca="1">TODAY()</f>
        <v>45481</v>
      </c>
    </row>
    <row r="4" spans="1:25" ht="14.45" customHeight="1" x14ac:dyDescent="0.25">
      <c r="C4" s="2"/>
    </row>
    <row r="5" spans="1:25" s="3" customFormat="1" ht="99.95" customHeight="1" x14ac:dyDescent="0.25">
      <c r="A5" s="141" t="s">
        <v>9</v>
      </c>
      <c r="B5" s="412" t="s">
        <v>10</v>
      </c>
      <c r="C5" s="142" t="s">
        <v>11</v>
      </c>
      <c r="D5" s="142" t="s">
        <v>301</v>
      </c>
      <c r="E5" s="142" t="s">
        <v>12</v>
      </c>
      <c r="F5" s="142" t="s">
        <v>13</v>
      </c>
      <c r="G5" s="142" t="s">
        <v>302</v>
      </c>
      <c r="H5" s="143" t="s">
        <v>14</v>
      </c>
      <c r="I5" s="143" t="s">
        <v>15</v>
      </c>
      <c r="J5" s="143" t="s">
        <v>16</v>
      </c>
      <c r="K5" s="144" t="s">
        <v>17</v>
      </c>
      <c r="L5" s="144" t="s">
        <v>18</v>
      </c>
      <c r="M5" s="144" t="s">
        <v>19</v>
      </c>
      <c r="N5" s="144" t="s">
        <v>20</v>
      </c>
      <c r="O5" s="145" t="s">
        <v>303</v>
      </c>
    </row>
    <row r="6" spans="1:25" ht="14.45" customHeight="1" x14ac:dyDescent="0.25">
      <c r="A6" s="263" t="s">
        <v>597</v>
      </c>
      <c r="B6" s="413"/>
      <c r="C6" s="207"/>
      <c r="D6" s="207"/>
      <c r="E6" s="207"/>
      <c r="F6" s="207"/>
      <c r="G6" s="207"/>
      <c r="H6" s="207"/>
      <c r="I6" s="207"/>
      <c r="J6" s="207"/>
      <c r="K6" s="207"/>
      <c r="L6" s="207"/>
      <c r="M6" s="207"/>
      <c r="N6" s="207"/>
      <c r="O6" s="208"/>
    </row>
    <row r="7" spans="1:25" ht="15" customHeight="1" x14ac:dyDescent="0.25">
      <c r="A7" s="246" t="s">
        <v>355</v>
      </c>
      <c r="B7" s="414"/>
      <c r="C7" s="247"/>
      <c r="D7" s="247"/>
      <c r="E7" s="247"/>
      <c r="F7" s="247"/>
      <c r="G7" s="247"/>
      <c r="H7" s="247"/>
      <c r="I7" s="247"/>
      <c r="J7" s="247"/>
      <c r="K7" s="247"/>
      <c r="L7" s="247"/>
      <c r="M7" s="247"/>
      <c r="N7" s="247"/>
      <c r="O7" s="248"/>
    </row>
    <row r="8" spans="1:25" ht="30" x14ac:dyDescent="0.25">
      <c r="A8" s="246" t="s">
        <v>363</v>
      </c>
      <c r="B8" s="414"/>
      <c r="C8" s="247"/>
      <c r="D8" s="247"/>
      <c r="E8" s="247"/>
      <c r="F8" s="247"/>
      <c r="G8" s="247"/>
      <c r="H8" s="247"/>
      <c r="I8" s="247"/>
      <c r="J8" s="247"/>
      <c r="K8" s="247"/>
      <c r="L8" s="247"/>
      <c r="M8" s="247"/>
      <c r="N8" s="247"/>
      <c r="O8" s="248"/>
    </row>
    <row r="9" spans="1:25" ht="15" customHeight="1" x14ac:dyDescent="0.25">
      <c r="A9" s="28" t="s">
        <v>704</v>
      </c>
      <c r="B9" s="332" t="s">
        <v>373</v>
      </c>
      <c r="C9" s="29" t="s">
        <v>21</v>
      </c>
      <c r="D9" s="29" t="s">
        <v>341</v>
      </c>
      <c r="E9" s="29" t="s">
        <v>22</v>
      </c>
      <c r="F9" s="29" t="s">
        <v>50</v>
      </c>
      <c r="G9" s="29" t="s">
        <v>23</v>
      </c>
      <c r="H9" s="30" t="s">
        <v>23</v>
      </c>
      <c r="I9" s="30" t="s">
        <v>24</v>
      </c>
      <c r="J9" s="30" t="s">
        <v>25</v>
      </c>
      <c r="K9" s="31" t="s">
        <v>26</v>
      </c>
      <c r="L9" s="31" t="s">
        <v>51</v>
      </c>
      <c r="M9" s="31" t="s">
        <v>27</v>
      </c>
      <c r="N9" s="31" t="s">
        <v>402</v>
      </c>
      <c r="O9" s="32" t="s">
        <v>29</v>
      </c>
    </row>
    <row r="10" spans="1:25" ht="15" customHeight="1" x14ac:dyDescent="0.25">
      <c r="A10" s="28" t="s">
        <v>372</v>
      </c>
      <c r="B10" s="332" t="s">
        <v>373</v>
      </c>
      <c r="C10" s="29" t="s">
        <v>21</v>
      </c>
      <c r="D10" s="29" t="s">
        <v>341</v>
      </c>
      <c r="E10" s="29" t="s">
        <v>22</v>
      </c>
      <c r="F10" s="29" t="s">
        <v>50</v>
      </c>
      <c r="G10" s="29" t="s">
        <v>23</v>
      </c>
      <c r="H10" s="30" t="s">
        <v>23</v>
      </c>
      <c r="I10" s="30" t="s">
        <v>24</v>
      </c>
      <c r="J10" s="30" t="s">
        <v>25</v>
      </c>
      <c r="K10" s="31" t="s">
        <v>26</v>
      </c>
      <c r="L10" s="31" t="s">
        <v>51</v>
      </c>
      <c r="M10" s="31" t="s">
        <v>27</v>
      </c>
      <c r="N10" s="31" t="s">
        <v>402</v>
      </c>
      <c r="O10" s="32"/>
    </row>
    <row r="11" spans="1:25" x14ac:dyDescent="0.25">
      <c r="A11" s="260" t="s">
        <v>403</v>
      </c>
      <c r="B11" s="261"/>
      <c r="C11" s="262"/>
      <c r="D11" s="262" t="s">
        <v>341</v>
      </c>
      <c r="E11" s="262" t="s">
        <v>341</v>
      </c>
      <c r="F11" s="262"/>
      <c r="G11" s="262"/>
      <c r="H11" s="262"/>
      <c r="I11" s="262"/>
      <c r="J11" s="262" t="s">
        <v>25</v>
      </c>
      <c r="K11" s="262"/>
      <c r="L11" s="262" t="s">
        <v>51</v>
      </c>
      <c r="M11" s="262" t="s">
        <v>27</v>
      </c>
      <c r="N11" s="262"/>
      <c r="O11" s="260" t="s">
        <v>539</v>
      </c>
      <c r="X11" s="18"/>
      <c r="Y11" s="27"/>
    </row>
    <row r="12" spans="1:25" ht="14.45" customHeight="1" x14ac:dyDescent="0.25">
      <c r="A12" s="4"/>
      <c r="B12" s="5"/>
      <c r="C12" s="5"/>
      <c r="D12" s="5"/>
      <c r="E12" s="5"/>
      <c r="F12" s="5"/>
      <c r="G12" s="5"/>
      <c r="H12" s="5"/>
      <c r="I12" s="5"/>
      <c r="J12" s="5"/>
      <c r="K12" s="5"/>
      <c r="L12" s="5"/>
      <c r="M12" s="5"/>
      <c r="N12" s="5"/>
      <c r="O12" s="4"/>
    </row>
    <row r="13" spans="1:25" ht="14.45" customHeight="1" x14ac:dyDescent="0.25">
      <c r="A13" s="263" t="s">
        <v>406</v>
      </c>
      <c r="B13" s="413"/>
      <c r="C13" s="207"/>
      <c r="D13" s="207"/>
      <c r="E13" s="207"/>
      <c r="F13" s="207"/>
      <c r="G13" s="207"/>
      <c r="H13" s="207"/>
      <c r="I13" s="207"/>
      <c r="J13" s="207"/>
      <c r="K13" s="207"/>
      <c r="L13" s="207"/>
      <c r="M13" s="207"/>
      <c r="N13" s="207"/>
      <c r="O13" s="208"/>
      <c r="X13" s="18"/>
      <c r="Y13" s="27"/>
    </row>
    <row r="14" spans="1:25" ht="14.45" customHeight="1" x14ac:dyDescent="0.25">
      <c r="A14" s="250" t="s">
        <v>410</v>
      </c>
      <c r="B14" s="332" t="s">
        <v>373</v>
      </c>
      <c r="C14" s="244" t="s">
        <v>30</v>
      </c>
      <c r="D14" s="244" t="s">
        <v>341</v>
      </c>
      <c r="E14" s="244" t="s">
        <v>341</v>
      </c>
      <c r="F14" s="244" t="s">
        <v>50</v>
      </c>
      <c r="G14" s="244" t="s">
        <v>23</v>
      </c>
      <c r="H14" s="245" t="s">
        <v>23</v>
      </c>
      <c r="I14" s="245" t="s">
        <v>24</v>
      </c>
      <c r="J14" s="245" t="s">
        <v>25</v>
      </c>
      <c r="K14" s="251" t="s">
        <v>26</v>
      </c>
      <c r="L14" s="251" t="s">
        <v>51</v>
      </c>
      <c r="M14" s="251" t="s">
        <v>304</v>
      </c>
      <c r="N14" s="31" t="s">
        <v>402</v>
      </c>
      <c r="O14" s="259"/>
      <c r="X14" s="18"/>
      <c r="Y14" s="27"/>
    </row>
    <row r="15" spans="1:25" ht="15" customHeight="1" x14ac:dyDescent="0.25">
      <c r="A15" s="28" t="s">
        <v>308</v>
      </c>
      <c r="B15" s="332" t="s">
        <v>373</v>
      </c>
      <c r="C15" s="29" t="s">
        <v>247</v>
      </c>
      <c r="D15" s="29" t="s">
        <v>341</v>
      </c>
      <c r="E15" s="29" t="s">
        <v>341</v>
      </c>
      <c r="F15" s="29" t="s">
        <v>50</v>
      </c>
      <c r="G15" s="29" t="s">
        <v>23</v>
      </c>
      <c r="H15" s="30" t="s">
        <v>23</v>
      </c>
      <c r="I15" s="30" t="s">
        <v>24</v>
      </c>
      <c r="J15" s="30" t="s">
        <v>25</v>
      </c>
      <c r="K15" s="31" t="s">
        <v>26</v>
      </c>
      <c r="L15" s="31" t="s">
        <v>51</v>
      </c>
      <c r="M15" s="31" t="s">
        <v>304</v>
      </c>
      <c r="N15" s="31" t="s">
        <v>402</v>
      </c>
      <c r="O15" s="100" t="s">
        <v>345</v>
      </c>
    </row>
    <row r="16" spans="1:25" ht="15.6" customHeight="1" x14ac:dyDescent="0.25">
      <c r="A16" s="250" t="s">
        <v>688</v>
      </c>
      <c r="B16" s="333" t="s">
        <v>373</v>
      </c>
      <c r="C16" s="29" t="s">
        <v>247</v>
      </c>
      <c r="D16" s="29" t="s">
        <v>341</v>
      </c>
      <c r="E16" s="29" t="s">
        <v>341</v>
      </c>
      <c r="F16" s="29" t="s">
        <v>50</v>
      </c>
      <c r="G16" s="29" t="s">
        <v>23</v>
      </c>
      <c r="H16" s="30" t="s">
        <v>23</v>
      </c>
      <c r="I16" s="30" t="s">
        <v>24</v>
      </c>
      <c r="J16" s="30" t="s">
        <v>25</v>
      </c>
      <c r="K16" s="31" t="s">
        <v>26</v>
      </c>
      <c r="L16" s="31" t="s">
        <v>51</v>
      </c>
      <c r="M16" s="31" t="s">
        <v>304</v>
      </c>
      <c r="N16" s="31" t="s">
        <v>402</v>
      </c>
      <c r="O16" s="100"/>
      <c r="X16" s="27"/>
      <c r="Y16" s="27"/>
    </row>
    <row r="17" spans="1:25" ht="14.45" customHeight="1" x14ac:dyDescent="0.25">
      <c r="A17" s="28" t="s">
        <v>346</v>
      </c>
      <c r="B17" s="332" t="s">
        <v>373</v>
      </c>
      <c r="C17" s="29" t="s">
        <v>247</v>
      </c>
      <c r="D17" s="29" t="s">
        <v>341</v>
      </c>
      <c r="E17" s="29" t="s">
        <v>341</v>
      </c>
      <c r="F17" s="29" t="s">
        <v>50</v>
      </c>
      <c r="G17" s="29" t="s">
        <v>23</v>
      </c>
      <c r="H17" s="30" t="s">
        <v>23</v>
      </c>
      <c r="I17" s="30" t="s">
        <v>24</v>
      </c>
      <c r="J17" s="30" t="s">
        <v>25</v>
      </c>
      <c r="K17" s="31" t="s">
        <v>26</v>
      </c>
      <c r="L17" s="31" t="s">
        <v>51</v>
      </c>
      <c r="M17" s="31" t="s">
        <v>304</v>
      </c>
      <c r="N17" s="31" t="s">
        <v>402</v>
      </c>
      <c r="O17" s="100"/>
      <c r="X17" s="27"/>
      <c r="Y17" s="27"/>
    </row>
    <row r="18" spans="1:25" ht="14.45" customHeight="1" x14ac:dyDescent="0.25">
      <c r="A18" s="260" t="s">
        <v>403</v>
      </c>
      <c r="B18" s="261" t="s">
        <v>373</v>
      </c>
      <c r="C18" s="262"/>
      <c r="D18" s="262" t="s">
        <v>341</v>
      </c>
      <c r="E18" s="262" t="s">
        <v>341</v>
      </c>
      <c r="F18" s="262"/>
      <c r="G18" s="262"/>
      <c r="H18" s="262"/>
      <c r="I18" s="262"/>
      <c r="J18" s="262" t="s">
        <v>25</v>
      </c>
      <c r="K18" s="262" t="s">
        <v>397</v>
      </c>
      <c r="L18" s="262" t="s">
        <v>51</v>
      </c>
      <c r="M18" s="262" t="s">
        <v>27</v>
      </c>
      <c r="N18" s="262"/>
      <c r="O18" s="260" t="s">
        <v>539</v>
      </c>
      <c r="X18" s="27"/>
      <c r="Y18" s="27"/>
    </row>
    <row r="19" spans="1:25" ht="14.45" customHeight="1" x14ac:dyDescent="0.25">
      <c r="A19" s="263" t="s">
        <v>596</v>
      </c>
      <c r="B19" s="413"/>
      <c r="C19" s="207"/>
      <c r="D19" s="207"/>
      <c r="E19" s="207"/>
      <c r="F19" s="207"/>
      <c r="G19" s="207"/>
      <c r="H19" s="207"/>
      <c r="I19" s="207"/>
      <c r="J19" s="207"/>
      <c r="K19" s="207"/>
      <c r="L19" s="207"/>
      <c r="M19" s="207"/>
      <c r="N19" s="207"/>
      <c r="O19" s="208"/>
      <c r="X19" s="18"/>
      <c r="Y19" s="27"/>
    </row>
    <row r="20" spans="1:25" ht="14.45" customHeight="1" x14ac:dyDescent="0.25">
      <c r="A20" s="250" t="s">
        <v>410</v>
      </c>
      <c r="B20" s="332" t="s">
        <v>373</v>
      </c>
      <c r="C20" s="244" t="s">
        <v>30</v>
      </c>
      <c r="D20" s="244" t="s">
        <v>341</v>
      </c>
      <c r="E20" s="244" t="s">
        <v>341</v>
      </c>
      <c r="F20" s="244" t="s">
        <v>50</v>
      </c>
      <c r="G20" s="244" t="s">
        <v>23</v>
      </c>
      <c r="H20" s="245" t="s">
        <v>23</v>
      </c>
      <c r="I20" s="245" t="s">
        <v>24</v>
      </c>
      <c r="J20" s="245" t="s">
        <v>25</v>
      </c>
      <c r="K20" s="251" t="s">
        <v>26</v>
      </c>
      <c r="L20" s="251" t="s">
        <v>51</v>
      </c>
      <c r="M20" s="251" t="s">
        <v>304</v>
      </c>
      <c r="N20" s="31" t="s">
        <v>402</v>
      </c>
      <c r="O20" s="259"/>
      <c r="X20" s="18"/>
      <c r="Y20" s="27"/>
    </row>
    <row r="21" spans="1:25" ht="15" customHeight="1" x14ac:dyDescent="0.25">
      <c r="A21" s="28" t="s">
        <v>308</v>
      </c>
      <c r="B21" s="332" t="s">
        <v>373</v>
      </c>
      <c r="C21" s="29" t="s">
        <v>247</v>
      </c>
      <c r="D21" s="29" t="s">
        <v>341</v>
      </c>
      <c r="E21" s="29" t="s">
        <v>341</v>
      </c>
      <c r="F21" s="29" t="s">
        <v>50</v>
      </c>
      <c r="G21" s="29" t="s">
        <v>23</v>
      </c>
      <c r="H21" s="30" t="s">
        <v>23</v>
      </c>
      <c r="I21" s="30" t="s">
        <v>24</v>
      </c>
      <c r="J21" s="30" t="s">
        <v>25</v>
      </c>
      <c r="K21" s="31" t="s">
        <v>26</v>
      </c>
      <c r="L21" s="31" t="s">
        <v>51</v>
      </c>
      <c r="M21" s="31" t="s">
        <v>304</v>
      </c>
      <c r="N21" s="31" t="s">
        <v>402</v>
      </c>
      <c r="O21" s="100" t="s">
        <v>345</v>
      </c>
    </row>
    <row r="22" spans="1:25" ht="15.6" customHeight="1" x14ac:dyDescent="0.25">
      <c r="A22" s="250" t="s">
        <v>688</v>
      </c>
      <c r="B22" s="333" t="s">
        <v>373</v>
      </c>
      <c r="C22" s="29" t="s">
        <v>247</v>
      </c>
      <c r="D22" s="29" t="s">
        <v>341</v>
      </c>
      <c r="E22" s="29" t="s">
        <v>341</v>
      </c>
      <c r="F22" s="29" t="s">
        <v>50</v>
      </c>
      <c r="G22" s="29" t="s">
        <v>23</v>
      </c>
      <c r="H22" s="30" t="s">
        <v>23</v>
      </c>
      <c r="I22" s="30" t="s">
        <v>24</v>
      </c>
      <c r="J22" s="30" t="s">
        <v>25</v>
      </c>
      <c r="K22" s="31" t="s">
        <v>26</v>
      </c>
      <c r="L22" s="31" t="s">
        <v>51</v>
      </c>
      <c r="M22" s="31" t="s">
        <v>304</v>
      </c>
      <c r="N22" s="31" t="s">
        <v>402</v>
      </c>
      <c r="O22" s="100"/>
      <c r="X22" s="27"/>
      <c r="Y22" s="27"/>
    </row>
    <row r="23" spans="1:25" ht="14.25" customHeight="1" x14ac:dyDescent="0.25">
      <c r="A23" s="28" t="s">
        <v>346</v>
      </c>
      <c r="B23" s="332" t="s">
        <v>373</v>
      </c>
      <c r="C23" s="29" t="s">
        <v>247</v>
      </c>
      <c r="D23" s="29" t="s">
        <v>341</v>
      </c>
      <c r="E23" s="29" t="s">
        <v>341</v>
      </c>
      <c r="F23" s="29" t="s">
        <v>50</v>
      </c>
      <c r="G23" s="29" t="s">
        <v>23</v>
      </c>
      <c r="H23" s="30" t="s">
        <v>23</v>
      </c>
      <c r="I23" s="30" t="s">
        <v>24</v>
      </c>
      <c r="J23" s="30" t="s">
        <v>25</v>
      </c>
      <c r="K23" s="31" t="s">
        <v>26</v>
      </c>
      <c r="L23" s="31" t="s">
        <v>51</v>
      </c>
      <c r="M23" s="31" t="s">
        <v>304</v>
      </c>
      <c r="N23" s="31" t="s">
        <v>402</v>
      </c>
      <c r="O23" s="100"/>
      <c r="X23" s="27"/>
      <c r="Y23" s="27"/>
    </row>
    <row r="24" spans="1:25" ht="14.45" customHeight="1" x14ac:dyDescent="0.25">
      <c r="A24" s="260" t="s">
        <v>403</v>
      </c>
      <c r="B24" s="261"/>
      <c r="C24" s="262"/>
      <c r="D24" s="262" t="s">
        <v>341</v>
      </c>
      <c r="E24" s="262" t="s">
        <v>341</v>
      </c>
      <c r="F24" s="262"/>
      <c r="G24" s="262"/>
      <c r="H24" s="262"/>
      <c r="I24" s="262"/>
      <c r="J24" s="262" t="s">
        <v>25</v>
      </c>
      <c r="K24" s="262"/>
      <c r="L24" s="262" t="s">
        <v>51</v>
      </c>
      <c r="M24" s="262" t="s">
        <v>27</v>
      </c>
      <c r="N24" s="262"/>
      <c r="O24" s="260" t="s">
        <v>539</v>
      </c>
      <c r="X24" s="27"/>
      <c r="Y24" s="27"/>
    </row>
    <row r="25" spans="1:25" ht="14.45" customHeight="1" x14ac:dyDescent="0.25">
      <c r="A25" s="263" t="s">
        <v>861</v>
      </c>
      <c r="B25" s="413"/>
      <c r="C25" s="207"/>
      <c r="D25" s="207"/>
      <c r="E25" s="207"/>
      <c r="F25" s="207"/>
      <c r="G25" s="207"/>
      <c r="H25" s="207"/>
      <c r="I25" s="207"/>
      <c r="J25" s="207"/>
      <c r="K25" s="207"/>
      <c r="L25" s="207"/>
      <c r="M25" s="207"/>
      <c r="N25" s="207"/>
      <c r="O25" s="208"/>
      <c r="X25" s="18"/>
      <c r="Y25" s="27"/>
    </row>
    <row r="26" spans="1:25" ht="14.45" customHeight="1" x14ac:dyDescent="0.25">
      <c r="A26" s="250" t="s">
        <v>410</v>
      </c>
      <c r="B26" s="332" t="s">
        <v>373</v>
      </c>
      <c r="C26" s="244" t="s">
        <v>30</v>
      </c>
      <c r="D26" s="244" t="s">
        <v>341</v>
      </c>
      <c r="E26" s="244" t="s">
        <v>341</v>
      </c>
      <c r="F26" s="244" t="s">
        <v>50</v>
      </c>
      <c r="G26" s="244" t="s">
        <v>23</v>
      </c>
      <c r="H26" s="245" t="s">
        <v>23</v>
      </c>
      <c r="I26" s="245" t="s">
        <v>24</v>
      </c>
      <c r="J26" s="245" t="s">
        <v>25</v>
      </c>
      <c r="K26" s="251" t="s">
        <v>26</v>
      </c>
      <c r="L26" s="251" t="s">
        <v>51</v>
      </c>
      <c r="M26" s="251" t="s">
        <v>304</v>
      </c>
      <c r="N26" s="31" t="s">
        <v>402</v>
      </c>
      <c r="O26" s="259"/>
      <c r="X26" s="18"/>
      <c r="Y26" s="27"/>
    </row>
    <row r="27" spans="1:25" ht="14.45" customHeight="1" x14ac:dyDescent="0.25">
      <c r="A27" s="250" t="s">
        <v>427</v>
      </c>
      <c r="B27" s="333" t="s">
        <v>373</v>
      </c>
      <c r="C27" s="29" t="s">
        <v>21</v>
      </c>
      <c r="D27" s="29" t="s">
        <v>341</v>
      </c>
      <c r="E27" s="29" t="s">
        <v>341</v>
      </c>
      <c r="F27" s="29" t="s">
        <v>50</v>
      </c>
      <c r="G27" s="29" t="s">
        <v>23</v>
      </c>
      <c r="H27" s="30" t="s">
        <v>23</v>
      </c>
      <c r="I27" s="30" t="s">
        <v>24</v>
      </c>
      <c r="J27" s="30" t="s">
        <v>25</v>
      </c>
      <c r="K27" s="31" t="s">
        <v>26</v>
      </c>
      <c r="L27" s="31" t="s">
        <v>51</v>
      </c>
      <c r="M27" s="31" t="s">
        <v>304</v>
      </c>
      <c r="N27" s="31" t="s">
        <v>402</v>
      </c>
      <c r="O27" s="259"/>
      <c r="X27" s="18"/>
      <c r="Y27" s="27"/>
    </row>
    <row r="28" spans="1:25" ht="15" customHeight="1" x14ac:dyDescent="0.25">
      <c r="A28" s="28" t="s">
        <v>625</v>
      </c>
      <c r="B28" s="332" t="s">
        <v>373</v>
      </c>
      <c r="C28" s="29" t="s">
        <v>21</v>
      </c>
      <c r="D28" s="29" t="s">
        <v>341</v>
      </c>
      <c r="E28" s="29" t="s">
        <v>341</v>
      </c>
      <c r="F28" s="29" t="s">
        <v>50</v>
      </c>
      <c r="G28" s="29" t="s">
        <v>23</v>
      </c>
      <c r="H28" s="30" t="s">
        <v>23</v>
      </c>
      <c r="I28" s="30" t="s">
        <v>24</v>
      </c>
      <c r="J28" s="30" t="s">
        <v>25</v>
      </c>
      <c r="K28" s="31" t="s">
        <v>26</v>
      </c>
      <c r="L28" s="31" t="s">
        <v>51</v>
      </c>
      <c r="M28" s="31" t="s">
        <v>304</v>
      </c>
      <c r="N28" s="31" t="s">
        <v>402</v>
      </c>
      <c r="O28" s="100" t="s">
        <v>426</v>
      </c>
    </row>
    <row r="29" spans="1:25" ht="14.25" customHeight="1" x14ac:dyDescent="0.25">
      <c r="A29" s="260" t="s">
        <v>403</v>
      </c>
      <c r="B29" s="261"/>
      <c r="C29" s="262"/>
      <c r="D29" s="262" t="s">
        <v>341</v>
      </c>
      <c r="E29" s="262" t="s">
        <v>341</v>
      </c>
      <c r="F29" s="262"/>
      <c r="G29" s="262"/>
      <c r="H29" s="262"/>
      <c r="I29" s="262"/>
      <c r="J29" s="262" t="s">
        <v>25</v>
      </c>
      <c r="K29" s="262" t="s">
        <v>397</v>
      </c>
      <c r="L29" s="262" t="s">
        <v>51</v>
      </c>
      <c r="M29" s="262" t="s">
        <v>27</v>
      </c>
      <c r="N29" s="262"/>
      <c r="O29" s="260" t="s">
        <v>539</v>
      </c>
      <c r="X29" s="27"/>
      <c r="Y29" s="27"/>
    </row>
    <row r="30" spans="1:25" ht="14.45" customHeight="1" x14ac:dyDescent="0.25">
      <c r="A30" s="263" t="s">
        <v>876</v>
      </c>
      <c r="B30" s="413"/>
      <c r="C30" s="207"/>
      <c r="D30" s="207"/>
      <c r="E30" s="207"/>
      <c r="F30" s="207"/>
      <c r="G30" s="207"/>
      <c r="H30" s="207"/>
      <c r="I30" s="207"/>
      <c r="J30" s="207"/>
      <c r="K30" s="207"/>
      <c r="L30" s="207"/>
      <c r="M30" s="207"/>
      <c r="N30" s="207"/>
      <c r="O30" s="208"/>
      <c r="X30" s="18"/>
      <c r="Y30" s="27"/>
    </row>
    <row r="31" spans="1:25" ht="14.45" customHeight="1" x14ac:dyDescent="0.25">
      <c r="A31" s="250" t="s">
        <v>538</v>
      </c>
      <c r="B31" s="333" t="s">
        <v>904</v>
      </c>
      <c r="C31" s="244" t="s">
        <v>30</v>
      </c>
      <c r="D31" s="244" t="s">
        <v>341</v>
      </c>
      <c r="E31" s="244" t="s">
        <v>341</v>
      </c>
      <c r="F31" s="244" t="s">
        <v>50</v>
      </c>
      <c r="G31" s="244" t="s">
        <v>23</v>
      </c>
      <c r="H31" s="245" t="s">
        <v>23</v>
      </c>
      <c r="I31" s="245" t="s">
        <v>24</v>
      </c>
      <c r="J31" s="245" t="s">
        <v>25</v>
      </c>
      <c r="K31" s="251" t="s">
        <v>26</v>
      </c>
      <c r="L31" s="251" t="s">
        <v>51</v>
      </c>
      <c r="M31" s="251" t="s">
        <v>304</v>
      </c>
      <c r="N31" s="31" t="s">
        <v>402</v>
      </c>
      <c r="O31" s="259"/>
      <c r="X31" s="18"/>
      <c r="Y31" s="27"/>
    </row>
    <row r="32" spans="1:25" ht="14.45" customHeight="1" x14ac:dyDescent="0.25">
      <c r="A32" s="28" t="s">
        <v>346</v>
      </c>
      <c r="B32" s="332" t="s">
        <v>904</v>
      </c>
      <c r="C32" s="29" t="s">
        <v>247</v>
      </c>
      <c r="D32" s="29" t="s">
        <v>341</v>
      </c>
      <c r="E32" s="29" t="s">
        <v>341</v>
      </c>
      <c r="F32" s="29" t="s">
        <v>50</v>
      </c>
      <c r="G32" s="29" t="s">
        <v>23</v>
      </c>
      <c r="H32" s="30" t="s">
        <v>23</v>
      </c>
      <c r="I32" s="30" t="s">
        <v>24</v>
      </c>
      <c r="J32" s="30" t="s">
        <v>25</v>
      </c>
      <c r="K32" s="31" t="s">
        <v>26</v>
      </c>
      <c r="L32" s="31" t="s">
        <v>51</v>
      </c>
      <c r="M32" s="31" t="s">
        <v>304</v>
      </c>
      <c r="N32" s="31" t="s">
        <v>402</v>
      </c>
      <c r="O32" s="100"/>
      <c r="X32" s="27"/>
      <c r="Y32" s="27"/>
    </row>
    <row r="33" spans="1:25" ht="15" customHeight="1" x14ac:dyDescent="0.25">
      <c r="A33" s="28" t="s">
        <v>351</v>
      </c>
      <c r="B33" s="332" t="s">
        <v>904</v>
      </c>
      <c r="C33" s="29" t="s">
        <v>21</v>
      </c>
      <c r="D33" s="29" t="s">
        <v>341</v>
      </c>
      <c r="E33" s="29" t="s">
        <v>22</v>
      </c>
      <c r="F33" s="29" t="s">
        <v>50</v>
      </c>
      <c r="G33" s="29" t="s">
        <v>23</v>
      </c>
      <c r="H33" s="30" t="s">
        <v>23</v>
      </c>
      <c r="I33" s="30" t="s">
        <v>24</v>
      </c>
      <c r="J33" s="30" t="s">
        <v>25</v>
      </c>
      <c r="K33" s="31" t="s">
        <v>26</v>
      </c>
      <c r="L33" s="31" t="s">
        <v>51</v>
      </c>
      <c r="M33" s="31" t="s">
        <v>27</v>
      </c>
      <c r="N33" s="31" t="s">
        <v>402</v>
      </c>
      <c r="O33" s="32" t="s">
        <v>29</v>
      </c>
    </row>
    <row r="34" spans="1:25" ht="14.45" customHeight="1" x14ac:dyDescent="0.25">
      <c r="A34" s="75" t="s">
        <v>877</v>
      </c>
      <c r="B34" s="413"/>
      <c r="C34" s="207"/>
      <c r="D34" s="207"/>
      <c r="E34" s="207"/>
      <c r="F34" s="207"/>
      <c r="G34" s="207"/>
      <c r="H34" s="207"/>
      <c r="I34" s="207"/>
      <c r="J34" s="207"/>
      <c r="K34" s="207"/>
      <c r="L34" s="207"/>
      <c r="M34" s="207"/>
      <c r="N34" s="207"/>
      <c r="O34" s="208"/>
    </row>
    <row r="35" spans="1:25" ht="15" customHeight="1" x14ac:dyDescent="0.25">
      <c r="A35" s="28" t="s">
        <v>516</v>
      </c>
      <c r="B35" s="332" t="s">
        <v>904</v>
      </c>
      <c r="C35" s="29"/>
      <c r="D35" s="29"/>
      <c r="E35" s="29"/>
      <c r="F35" s="29"/>
      <c r="G35" s="29"/>
      <c r="H35" s="30"/>
      <c r="I35" s="30"/>
      <c r="J35" s="30"/>
      <c r="K35" s="31"/>
      <c r="L35" s="31"/>
      <c r="M35" s="31"/>
      <c r="N35" s="31"/>
      <c r="O35" s="32" t="s">
        <v>905</v>
      </c>
      <c r="P35" t="s">
        <v>599</v>
      </c>
    </row>
    <row r="36" spans="1:25" ht="14.45" customHeight="1" x14ac:dyDescent="0.25">
      <c r="A36" s="28" t="s">
        <v>600</v>
      </c>
      <c r="B36" s="331" t="s">
        <v>904</v>
      </c>
      <c r="C36" s="29" t="s">
        <v>21</v>
      </c>
      <c r="D36" s="29" t="s">
        <v>341</v>
      </c>
      <c r="E36" s="29" t="s">
        <v>341</v>
      </c>
      <c r="F36" s="29" t="s">
        <v>50</v>
      </c>
      <c r="G36" s="29" t="s">
        <v>23</v>
      </c>
      <c r="H36" s="30" t="s">
        <v>24</v>
      </c>
      <c r="I36" s="30" t="s">
        <v>24</v>
      </c>
      <c r="J36" s="30" t="s">
        <v>25</v>
      </c>
      <c r="K36" s="31" t="s">
        <v>26</v>
      </c>
      <c r="L36" s="31" t="s">
        <v>51</v>
      </c>
      <c r="M36" s="31" t="s">
        <v>27</v>
      </c>
      <c r="N36" s="31" t="s">
        <v>402</v>
      </c>
      <c r="O36" s="32"/>
      <c r="P36" s="328" t="s">
        <v>601</v>
      </c>
      <c r="X36" s="18"/>
      <c r="Y36" s="27"/>
    </row>
    <row r="37" spans="1:25" x14ac:dyDescent="0.25">
      <c r="A37" s="28" t="s">
        <v>374</v>
      </c>
      <c r="B37" s="331" t="s">
        <v>904</v>
      </c>
      <c r="C37" s="29" t="s">
        <v>21</v>
      </c>
      <c r="D37" s="29" t="s">
        <v>341</v>
      </c>
      <c r="E37" s="29" t="s">
        <v>341</v>
      </c>
      <c r="F37" s="29" t="s">
        <v>50</v>
      </c>
      <c r="G37" s="29" t="s">
        <v>23</v>
      </c>
      <c r="H37" s="30" t="s">
        <v>24</v>
      </c>
      <c r="I37" s="30" t="s">
        <v>24</v>
      </c>
      <c r="J37" s="30" t="s">
        <v>25</v>
      </c>
      <c r="K37" s="31" t="s">
        <v>26</v>
      </c>
      <c r="L37" s="31" t="s">
        <v>51</v>
      </c>
      <c r="M37" s="31" t="s">
        <v>27</v>
      </c>
      <c r="N37" s="31" t="s">
        <v>402</v>
      </c>
      <c r="O37" s="32" t="s">
        <v>456</v>
      </c>
      <c r="X37" s="18"/>
      <c r="Y37" s="27"/>
    </row>
    <row r="38" spans="1:25" ht="14.45" customHeight="1" x14ac:dyDescent="0.25">
      <c r="A38" s="28" t="s">
        <v>342</v>
      </c>
      <c r="B38" s="331" t="s">
        <v>904</v>
      </c>
      <c r="C38" s="29" t="s">
        <v>21</v>
      </c>
      <c r="D38" s="29" t="s">
        <v>341</v>
      </c>
      <c r="E38" s="29" t="s">
        <v>341</v>
      </c>
      <c r="F38" s="29" t="s">
        <v>50</v>
      </c>
      <c r="G38" s="29" t="s">
        <v>23</v>
      </c>
      <c r="H38" s="30" t="s">
        <v>24</v>
      </c>
      <c r="I38" s="30" t="s">
        <v>24</v>
      </c>
      <c r="J38" s="30" t="s">
        <v>25</v>
      </c>
      <c r="K38" s="31" t="s">
        <v>26</v>
      </c>
      <c r="L38" s="31" t="s">
        <v>51</v>
      </c>
      <c r="M38" s="31" t="s">
        <v>27</v>
      </c>
      <c r="N38" s="31" t="s">
        <v>402</v>
      </c>
      <c r="O38" s="32" t="s">
        <v>343</v>
      </c>
      <c r="X38" s="27"/>
      <c r="Y38" s="27"/>
    </row>
    <row r="39" spans="1:25" x14ac:dyDescent="0.25">
      <c r="A39" s="28" t="s">
        <v>405</v>
      </c>
      <c r="B39" s="331" t="s">
        <v>904</v>
      </c>
      <c r="C39" s="29" t="s">
        <v>21</v>
      </c>
      <c r="D39" s="29" t="s">
        <v>341</v>
      </c>
      <c r="E39" s="29" t="s">
        <v>341</v>
      </c>
      <c r="F39" s="29" t="s">
        <v>50</v>
      </c>
      <c r="G39" s="29" t="s">
        <v>23</v>
      </c>
      <c r="H39" s="30" t="s">
        <v>24</v>
      </c>
      <c r="I39" s="30" t="s">
        <v>24</v>
      </c>
      <c r="J39" s="30" t="s">
        <v>25</v>
      </c>
      <c r="K39" s="31" t="s">
        <v>26</v>
      </c>
      <c r="L39" s="31" t="s">
        <v>51</v>
      </c>
      <c r="M39" s="31" t="s">
        <v>27</v>
      </c>
      <c r="N39" s="31" t="s">
        <v>402</v>
      </c>
      <c r="O39" s="32" t="s">
        <v>456</v>
      </c>
      <c r="X39" s="18"/>
      <c r="Y39" s="27"/>
    </row>
    <row r="40" spans="1:25" ht="15" customHeight="1" x14ac:dyDescent="0.25">
      <c r="A40" s="28" t="s">
        <v>210</v>
      </c>
      <c r="B40" s="331" t="s">
        <v>904</v>
      </c>
      <c r="C40" s="29" t="s">
        <v>21</v>
      </c>
      <c r="D40" s="29" t="s">
        <v>341</v>
      </c>
      <c r="E40" s="29" t="s">
        <v>341</v>
      </c>
      <c r="F40" s="29" t="s">
        <v>50</v>
      </c>
      <c r="G40" s="29" t="s">
        <v>23</v>
      </c>
      <c r="H40" s="30" t="s">
        <v>24</v>
      </c>
      <c r="I40" s="30" t="s">
        <v>24</v>
      </c>
      <c r="J40" s="30" t="s">
        <v>25</v>
      </c>
      <c r="K40" s="31" t="s">
        <v>26</v>
      </c>
      <c r="L40" s="31" t="s">
        <v>51</v>
      </c>
      <c r="M40" s="31" t="s">
        <v>27</v>
      </c>
      <c r="N40" s="31" t="s">
        <v>402</v>
      </c>
      <c r="O40" s="32"/>
    </row>
    <row r="41" spans="1:25" ht="14.45" customHeight="1" x14ac:dyDescent="0.25">
      <c r="A41" s="260" t="s">
        <v>403</v>
      </c>
      <c r="B41" s="261"/>
      <c r="C41" s="262"/>
      <c r="D41" s="262" t="s">
        <v>341</v>
      </c>
      <c r="E41" s="262" t="s">
        <v>341</v>
      </c>
      <c r="F41" s="262"/>
      <c r="G41" s="262"/>
      <c r="H41" s="262"/>
      <c r="I41" s="262"/>
      <c r="J41" s="262" t="s">
        <v>25</v>
      </c>
      <c r="K41" s="262" t="s">
        <v>397</v>
      </c>
      <c r="L41" s="262" t="s">
        <v>51</v>
      </c>
      <c r="M41" s="262" t="s">
        <v>27</v>
      </c>
      <c r="N41" s="262"/>
      <c r="O41" s="260" t="s">
        <v>404</v>
      </c>
      <c r="X41" s="27"/>
      <c r="Y41" s="27"/>
    </row>
    <row r="42" spans="1:25" ht="15.75" x14ac:dyDescent="0.25">
      <c r="A42" s="249" t="s">
        <v>862</v>
      </c>
      <c r="B42" s="413"/>
      <c r="C42" s="207"/>
      <c r="D42" s="207"/>
      <c r="E42" s="207"/>
      <c r="F42" s="207"/>
      <c r="G42" s="207"/>
      <c r="H42" s="207"/>
      <c r="I42" s="207"/>
      <c r="J42" s="207"/>
      <c r="K42" s="207"/>
      <c r="L42" s="207"/>
      <c r="M42" s="207"/>
      <c r="N42" s="207"/>
      <c r="O42" s="208"/>
    </row>
    <row r="43" spans="1:25" ht="14.45" customHeight="1" x14ac:dyDescent="0.25">
      <c r="A43" s="260" t="s">
        <v>403</v>
      </c>
      <c r="B43" s="261"/>
      <c r="C43" s="262"/>
      <c r="D43" s="262" t="s">
        <v>306</v>
      </c>
      <c r="E43" s="262" t="s">
        <v>341</v>
      </c>
      <c r="F43" s="262"/>
      <c r="G43" s="262"/>
      <c r="H43" s="262"/>
      <c r="I43" s="262"/>
      <c r="J43" s="262" t="s">
        <v>517</v>
      </c>
      <c r="K43" s="262" t="s">
        <v>397</v>
      </c>
      <c r="L43" s="262" t="s">
        <v>51</v>
      </c>
      <c r="M43" s="262" t="s">
        <v>27</v>
      </c>
      <c r="N43" s="262"/>
      <c r="O43" s="260" t="s">
        <v>539</v>
      </c>
      <c r="X43" s="27"/>
      <c r="Y43" s="27"/>
    </row>
    <row r="44" spans="1:25" ht="14.45" customHeight="1" x14ac:dyDescent="0.25">
      <c r="A44" s="250" t="s">
        <v>349</v>
      </c>
      <c r="B44" s="333"/>
      <c r="C44" s="244" t="s">
        <v>30</v>
      </c>
      <c r="D44" s="244" t="s">
        <v>306</v>
      </c>
      <c r="E44" s="244" t="s">
        <v>306</v>
      </c>
      <c r="F44" s="244" t="s">
        <v>50</v>
      </c>
      <c r="G44" s="29">
        <v>850</v>
      </c>
      <c r="H44" s="245" t="s">
        <v>24</v>
      </c>
      <c r="I44" s="245" t="s">
        <v>24</v>
      </c>
      <c r="J44" s="245" t="s">
        <v>25</v>
      </c>
      <c r="K44" s="251" t="s">
        <v>307</v>
      </c>
      <c r="L44" s="251" t="s">
        <v>51</v>
      </c>
      <c r="M44" s="251" t="s">
        <v>51</v>
      </c>
      <c r="N44" s="31" t="s">
        <v>402</v>
      </c>
      <c r="O44" s="259" t="s">
        <v>354</v>
      </c>
      <c r="X44" s="18"/>
      <c r="Y44" s="27"/>
    </row>
    <row r="45" spans="1:25" ht="15" customHeight="1" x14ac:dyDescent="0.25">
      <c r="A45" s="28" t="s">
        <v>308</v>
      </c>
      <c r="B45" s="333"/>
      <c r="C45" s="29" t="s">
        <v>247</v>
      </c>
      <c r="D45" s="244" t="s">
        <v>306</v>
      </c>
      <c r="E45" s="29" t="s">
        <v>306</v>
      </c>
      <c r="F45" s="29" t="s">
        <v>50</v>
      </c>
      <c r="G45" s="29">
        <v>850</v>
      </c>
      <c r="H45" s="30" t="s">
        <v>24</v>
      </c>
      <c r="I45" s="30" t="s">
        <v>24</v>
      </c>
      <c r="J45" s="30" t="s">
        <v>25</v>
      </c>
      <c r="K45" s="31" t="s">
        <v>307</v>
      </c>
      <c r="L45" s="31" t="s">
        <v>51</v>
      </c>
      <c r="M45" s="31" t="s">
        <v>51</v>
      </c>
      <c r="N45" s="31" t="s">
        <v>402</v>
      </c>
      <c r="O45" s="100" t="s">
        <v>347</v>
      </c>
    </row>
    <row r="46" spans="1:25" ht="15" customHeight="1" x14ac:dyDescent="0.25">
      <c r="A46" s="250" t="s">
        <v>688</v>
      </c>
      <c r="B46" s="333"/>
      <c r="C46" s="29" t="s">
        <v>247</v>
      </c>
      <c r="D46" s="29" t="s">
        <v>341</v>
      </c>
      <c r="E46" s="29" t="s">
        <v>341</v>
      </c>
      <c r="F46" s="29" t="s">
        <v>50</v>
      </c>
      <c r="G46" s="29" t="s">
        <v>23</v>
      </c>
      <c r="H46" s="30" t="s">
        <v>23</v>
      </c>
      <c r="I46" s="30" t="s">
        <v>24</v>
      </c>
      <c r="J46" s="30" t="s">
        <v>25</v>
      </c>
      <c r="K46" s="31" t="s">
        <v>26</v>
      </c>
      <c r="L46" s="31" t="s">
        <v>51</v>
      </c>
      <c r="M46" s="31" t="s">
        <v>304</v>
      </c>
      <c r="N46" s="31" t="s">
        <v>402</v>
      </c>
      <c r="O46" s="100"/>
    </row>
    <row r="47" spans="1:25" x14ac:dyDescent="0.25">
      <c r="A47" s="28" t="s">
        <v>689</v>
      </c>
      <c r="B47" s="331"/>
      <c r="C47" s="29" t="s">
        <v>247</v>
      </c>
      <c r="D47" s="244" t="s">
        <v>306</v>
      </c>
      <c r="E47" s="29" t="s">
        <v>306</v>
      </c>
      <c r="F47" s="29" t="s">
        <v>50</v>
      </c>
      <c r="G47" s="29">
        <v>850</v>
      </c>
      <c r="H47" s="30" t="s">
        <v>24</v>
      </c>
      <c r="I47" s="30" t="s">
        <v>24</v>
      </c>
      <c r="J47" s="30" t="s">
        <v>25</v>
      </c>
      <c r="K47" s="31" t="s">
        <v>307</v>
      </c>
      <c r="L47" s="31" t="s">
        <v>51</v>
      </c>
      <c r="M47" s="31" t="s">
        <v>51</v>
      </c>
      <c r="N47" s="31" t="s">
        <v>402</v>
      </c>
      <c r="O47" s="330"/>
      <c r="X47" s="18"/>
      <c r="Y47" s="27"/>
    </row>
    <row r="48" spans="1:25" ht="15" customHeight="1" x14ac:dyDescent="0.25">
      <c r="A48" s="28" t="s">
        <v>346</v>
      </c>
      <c r="B48" s="331"/>
      <c r="C48" s="29" t="s">
        <v>247</v>
      </c>
      <c r="D48" s="244" t="s">
        <v>306</v>
      </c>
      <c r="E48" s="29" t="s">
        <v>306</v>
      </c>
      <c r="F48" s="29" t="s">
        <v>50</v>
      </c>
      <c r="G48" s="29">
        <v>850</v>
      </c>
      <c r="H48" s="30" t="s">
        <v>24</v>
      </c>
      <c r="I48" s="30" t="s">
        <v>24</v>
      </c>
      <c r="J48" s="30" t="s">
        <v>25</v>
      </c>
      <c r="K48" s="31" t="s">
        <v>307</v>
      </c>
      <c r="L48" s="31" t="s">
        <v>51</v>
      </c>
      <c r="M48" s="31" t="s">
        <v>51</v>
      </c>
      <c r="N48" s="31" t="s">
        <v>402</v>
      </c>
      <c r="O48" s="100"/>
    </row>
    <row r="49" spans="1:25" ht="14.45" customHeight="1" x14ac:dyDescent="0.25">
      <c r="A49" s="260" t="s">
        <v>403</v>
      </c>
      <c r="B49" s="261"/>
      <c r="C49" s="262"/>
      <c r="D49" s="262" t="s">
        <v>306</v>
      </c>
      <c r="E49" s="262" t="s">
        <v>306</v>
      </c>
      <c r="F49" s="262"/>
      <c r="G49" s="262"/>
      <c r="H49" s="262"/>
      <c r="I49" s="262"/>
      <c r="J49" s="262" t="s">
        <v>25</v>
      </c>
      <c r="K49" s="262" t="s">
        <v>397</v>
      </c>
      <c r="L49" s="262" t="s">
        <v>51</v>
      </c>
      <c r="M49" s="262" t="s">
        <v>27</v>
      </c>
      <c r="N49" s="262"/>
      <c r="O49" s="260" t="s">
        <v>539</v>
      </c>
      <c r="X49" s="27"/>
      <c r="Y49" s="27"/>
    </row>
    <row r="50" spans="1:25" ht="15.75" x14ac:dyDescent="0.25">
      <c r="A50" s="249" t="s">
        <v>863</v>
      </c>
      <c r="B50" s="413"/>
      <c r="C50" s="207"/>
      <c r="D50" s="207"/>
      <c r="E50" s="207"/>
      <c r="F50" s="207"/>
      <c r="G50" s="207"/>
      <c r="H50" s="207"/>
      <c r="I50" s="207"/>
      <c r="J50" s="207"/>
      <c r="K50" s="207"/>
      <c r="L50" s="207"/>
      <c r="M50" s="207"/>
      <c r="N50" s="207"/>
      <c r="O50" s="208"/>
    </row>
    <row r="51" spans="1:25" ht="14.45" customHeight="1" x14ac:dyDescent="0.25">
      <c r="A51" s="250" t="s">
        <v>349</v>
      </c>
      <c r="B51" s="333"/>
      <c r="C51" s="244" t="s">
        <v>30</v>
      </c>
      <c r="D51" s="244" t="s">
        <v>306</v>
      </c>
      <c r="E51" s="244" t="s">
        <v>306</v>
      </c>
      <c r="F51" s="244" t="s">
        <v>50</v>
      </c>
      <c r="G51" s="329">
        <v>0</v>
      </c>
      <c r="H51" s="245" t="s">
        <v>24</v>
      </c>
      <c r="I51" s="245" t="s">
        <v>24</v>
      </c>
      <c r="J51" s="245" t="s">
        <v>25</v>
      </c>
      <c r="K51" s="251" t="s">
        <v>307</v>
      </c>
      <c r="L51" s="251" t="s">
        <v>51</v>
      </c>
      <c r="M51" s="251" t="s">
        <v>51</v>
      </c>
      <c r="N51" s="31" t="s">
        <v>402</v>
      </c>
      <c r="O51" s="259"/>
      <c r="X51" s="18"/>
      <c r="Y51" s="27"/>
    </row>
    <row r="52" spans="1:25" ht="14.45" customHeight="1" x14ac:dyDescent="0.25">
      <c r="A52" s="260" t="s">
        <v>403</v>
      </c>
      <c r="B52" s="261"/>
      <c r="C52" s="262"/>
      <c r="D52" s="262" t="s">
        <v>306</v>
      </c>
      <c r="E52" s="262" t="s">
        <v>341</v>
      </c>
      <c r="F52" s="262"/>
      <c r="G52" s="262"/>
      <c r="H52" s="262"/>
      <c r="I52" s="262"/>
      <c r="J52" s="262" t="s">
        <v>517</v>
      </c>
      <c r="K52" s="262" t="s">
        <v>397</v>
      </c>
      <c r="L52" s="262" t="s">
        <v>51</v>
      </c>
      <c r="M52" s="262" t="s">
        <v>27</v>
      </c>
      <c r="N52" s="262"/>
      <c r="O52" s="260" t="s">
        <v>539</v>
      </c>
      <c r="X52" s="27"/>
      <c r="Y52" s="27"/>
    </row>
    <row r="53" spans="1:25" ht="14.45" customHeight="1" x14ac:dyDescent="0.25">
      <c r="A53" s="263" t="s">
        <v>864</v>
      </c>
      <c r="B53" s="413"/>
      <c r="C53" s="207"/>
      <c r="D53" s="207"/>
      <c r="E53" s="207"/>
      <c r="F53" s="207"/>
      <c r="G53" s="207"/>
      <c r="H53" s="207"/>
      <c r="I53" s="207"/>
      <c r="J53" s="207"/>
      <c r="K53" s="207"/>
      <c r="L53" s="207"/>
      <c r="M53" s="207"/>
      <c r="N53" s="207"/>
      <c r="O53" s="208"/>
      <c r="X53" s="18"/>
      <c r="Y53" s="27"/>
    </row>
    <row r="54" spans="1:25" ht="14.45" customHeight="1" x14ac:dyDescent="0.25">
      <c r="A54" s="250" t="s">
        <v>349</v>
      </c>
      <c r="B54" s="333"/>
      <c r="C54" s="244" t="s">
        <v>30</v>
      </c>
      <c r="D54" s="244" t="s">
        <v>338</v>
      </c>
      <c r="E54" s="244" t="s">
        <v>338</v>
      </c>
      <c r="F54" s="244" t="s">
        <v>50</v>
      </c>
      <c r="G54" s="244" t="s">
        <v>24</v>
      </c>
      <c r="H54" s="245" t="s">
        <v>24</v>
      </c>
      <c r="I54" s="245" t="s">
        <v>24</v>
      </c>
      <c r="J54" s="245" t="s">
        <v>25</v>
      </c>
      <c r="K54" s="251" t="s">
        <v>307</v>
      </c>
      <c r="L54" s="251" t="s">
        <v>51</v>
      </c>
      <c r="M54" s="251" t="s">
        <v>304</v>
      </c>
      <c r="N54" s="251" t="s">
        <v>28</v>
      </c>
      <c r="O54" s="259"/>
      <c r="X54" s="18"/>
      <c r="Y54" s="27"/>
    </row>
    <row r="55" spans="1:25" ht="15" customHeight="1" x14ac:dyDescent="0.25">
      <c r="A55" s="28" t="s">
        <v>308</v>
      </c>
      <c r="B55" s="333"/>
      <c r="C55" s="29" t="s">
        <v>247</v>
      </c>
      <c r="D55" s="29" t="s">
        <v>338</v>
      </c>
      <c r="E55" s="29" t="s">
        <v>338</v>
      </c>
      <c r="F55" s="29" t="s">
        <v>50</v>
      </c>
      <c r="G55" s="29" t="s">
        <v>24</v>
      </c>
      <c r="H55" s="177" t="s">
        <v>24</v>
      </c>
      <c r="I55" s="30" t="s">
        <v>24</v>
      </c>
      <c r="J55" s="30" t="s">
        <v>25</v>
      </c>
      <c r="K55" s="178" t="s">
        <v>307</v>
      </c>
      <c r="L55" s="31" t="s">
        <v>51</v>
      </c>
      <c r="M55" s="31" t="s">
        <v>304</v>
      </c>
      <c r="N55" s="31" t="s">
        <v>28</v>
      </c>
      <c r="O55" s="179"/>
    </row>
    <row r="56" spans="1:25" ht="15.6" customHeight="1" x14ac:dyDescent="0.25">
      <c r="A56" s="250" t="s">
        <v>688</v>
      </c>
      <c r="B56" s="333"/>
      <c r="C56" s="29" t="s">
        <v>247</v>
      </c>
      <c r="D56" s="29" t="s">
        <v>338</v>
      </c>
      <c r="E56" s="29" t="s">
        <v>338</v>
      </c>
      <c r="F56" s="29" t="s">
        <v>50</v>
      </c>
      <c r="G56" s="29" t="s">
        <v>24</v>
      </c>
      <c r="H56" s="177" t="s">
        <v>24</v>
      </c>
      <c r="I56" s="30" t="s">
        <v>24</v>
      </c>
      <c r="J56" s="30" t="s">
        <v>25</v>
      </c>
      <c r="K56" s="178" t="s">
        <v>307</v>
      </c>
      <c r="L56" s="31" t="s">
        <v>51</v>
      </c>
      <c r="M56" s="31" t="s">
        <v>304</v>
      </c>
      <c r="N56" s="31" t="s">
        <v>28</v>
      </c>
      <c r="O56" s="100"/>
      <c r="X56" s="27"/>
      <c r="Y56" s="27"/>
    </row>
    <row r="57" spans="1:25" ht="14.45" customHeight="1" x14ac:dyDescent="0.25">
      <c r="A57" s="28" t="s">
        <v>346</v>
      </c>
      <c r="B57" s="333"/>
      <c r="C57" s="29" t="s">
        <v>247</v>
      </c>
      <c r="D57" s="29" t="s">
        <v>338</v>
      </c>
      <c r="E57" s="29" t="s">
        <v>338</v>
      </c>
      <c r="F57" s="29" t="s">
        <v>50</v>
      </c>
      <c r="G57" s="29" t="s">
        <v>24</v>
      </c>
      <c r="H57" s="30" t="s">
        <v>24</v>
      </c>
      <c r="I57" s="30" t="s">
        <v>24</v>
      </c>
      <c r="J57" s="30" t="s">
        <v>25</v>
      </c>
      <c r="K57" s="31" t="s">
        <v>307</v>
      </c>
      <c r="L57" s="31" t="s">
        <v>51</v>
      </c>
      <c r="M57" s="31" t="s">
        <v>304</v>
      </c>
      <c r="N57" s="31" t="s">
        <v>28</v>
      </c>
      <c r="O57" s="100"/>
      <c r="X57" s="27"/>
      <c r="Y57" s="27"/>
    </row>
    <row r="58" spans="1:25" ht="14.45" customHeight="1" x14ac:dyDescent="0.25">
      <c r="A58" s="260" t="s">
        <v>403</v>
      </c>
      <c r="B58" s="261"/>
      <c r="C58" s="262"/>
      <c r="D58" s="262" t="s">
        <v>338</v>
      </c>
      <c r="E58" s="262" t="s">
        <v>338</v>
      </c>
      <c r="F58" s="262"/>
      <c r="G58" s="262"/>
      <c r="H58" s="262"/>
      <c r="I58" s="262"/>
      <c r="J58" s="262" t="s">
        <v>25</v>
      </c>
      <c r="K58" s="262" t="s">
        <v>397</v>
      </c>
      <c r="L58" s="262" t="s">
        <v>51</v>
      </c>
      <c r="M58" s="262" t="s">
        <v>27</v>
      </c>
      <c r="N58" s="262"/>
      <c r="O58" s="260" t="s">
        <v>539</v>
      </c>
      <c r="X58" s="27"/>
      <c r="Y58" s="27"/>
    </row>
    <row r="59" spans="1:25" ht="15" customHeight="1" x14ac:dyDescent="0.25">
      <c r="A59" s="246" t="s">
        <v>369</v>
      </c>
      <c r="B59" s="414"/>
      <c r="C59" s="247"/>
      <c r="D59" s="247"/>
      <c r="E59" s="247"/>
      <c r="F59" s="247"/>
      <c r="G59" s="247"/>
      <c r="H59" s="247"/>
      <c r="I59" s="247"/>
      <c r="J59" s="247"/>
      <c r="K59" s="247"/>
      <c r="L59" s="247"/>
      <c r="M59" s="247"/>
      <c r="N59" s="247"/>
      <c r="O59" s="248"/>
    </row>
    <row r="60" spans="1:25" ht="14.45" customHeight="1" x14ac:dyDescent="0.25">
      <c r="A60" s="263" t="s">
        <v>865</v>
      </c>
      <c r="B60" s="413"/>
      <c r="C60" s="207"/>
      <c r="D60" s="207"/>
      <c r="E60" s="207"/>
      <c r="F60" s="207"/>
      <c r="G60" s="207"/>
      <c r="H60" s="207"/>
      <c r="I60" s="207"/>
      <c r="J60" s="207"/>
      <c r="K60" s="207"/>
      <c r="L60" s="207"/>
      <c r="M60" s="207"/>
      <c r="N60" s="207"/>
      <c r="O60" s="208"/>
      <c r="X60" s="18"/>
      <c r="Y60" s="27"/>
    </row>
    <row r="61" spans="1:25" ht="14.45" customHeight="1" x14ac:dyDescent="0.25">
      <c r="A61" s="250" t="s">
        <v>519</v>
      </c>
      <c r="B61" s="333"/>
      <c r="C61" s="244" t="s">
        <v>30</v>
      </c>
      <c r="D61" s="244" t="s">
        <v>338</v>
      </c>
      <c r="E61" s="244" t="s">
        <v>338</v>
      </c>
      <c r="F61" s="244" t="s">
        <v>50</v>
      </c>
      <c r="G61" s="244" t="s">
        <v>24</v>
      </c>
      <c r="H61" s="245" t="s">
        <v>24</v>
      </c>
      <c r="I61" s="245" t="s">
        <v>24</v>
      </c>
      <c r="J61" s="245" t="s">
        <v>25</v>
      </c>
      <c r="K61" s="251" t="s">
        <v>307</v>
      </c>
      <c r="L61" s="251" t="s">
        <v>51</v>
      </c>
      <c r="M61" s="251" t="s">
        <v>304</v>
      </c>
      <c r="N61" s="251" t="s">
        <v>28</v>
      </c>
      <c r="O61" s="259"/>
      <c r="X61" s="18"/>
      <c r="Y61" s="27"/>
    </row>
    <row r="62" spans="1:25" ht="14.45" customHeight="1" x14ac:dyDescent="0.25">
      <c r="A62" s="250" t="s">
        <v>349</v>
      </c>
      <c r="B62" s="333"/>
      <c r="C62" s="244" t="s">
        <v>30</v>
      </c>
      <c r="D62" s="244" t="s">
        <v>338</v>
      </c>
      <c r="E62" s="244" t="s">
        <v>338</v>
      </c>
      <c r="F62" s="244" t="s">
        <v>50</v>
      </c>
      <c r="G62" s="244" t="s">
        <v>24</v>
      </c>
      <c r="H62" s="245" t="s">
        <v>24</v>
      </c>
      <c r="I62" s="245" t="s">
        <v>24</v>
      </c>
      <c r="J62" s="245" t="s">
        <v>25</v>
      </c>
      <c r="K62" s="251" t="s">
        <v>307</v>
      </c>
      <c r="L62" s="251" t="s">
        <v>51</v>
      </c>
      <c r="M62" s="251" t="s">
        <v>304</v>
      </c>
      <c r="N62" s="251" t="s">
        <v>28</v>
      </c>
      <c r="O62" s="259"/>
      <c r="X62" s="18"/>
      <c r="Y62" s="27"/>
    </row>
    <row r="63" spans="1:25" ht="14.45" customHeight="1" x14ac:dyDescent="0.25">
      <c r="A63" s="260" t="s">
        <v>403</v>
      </c>
      <c r="B63" s="261"/>
      <c r="C63" s="262"/>
      <c r="D63" s="262" t="s">
        <v>338</v>
      </c>
      <c r="E63" s="262" t="s">
        <v>338</v>
      </c>
      <c r="F63" s="262"/>
      <c r="G63" s="262"/>
      <c r="H63" s="262"/>
      <c r="I63" s="262"/>
      <c r="J63" s="262" t="s">
        <v>25</v>
      </c>
      <c r="K63" s="262" t="s">
        <v>397</v>
      </c>
      <c r="L63" s="262" t="s">
        <v>51</v>
      </c>
      <c r="M63" s="262" t="s">
        <v>27</v>
      </c>
      <c r="N63" s="262"/>
      <c r="O63" s="260" t="s">
        <v>539</v>
      </c>
      <c r="X63" s="27"/>
      <c r="Y63" s="27"/>
    </row>
    <row r="64" spans="1:25" ht="14.45" customHeight="1" x14ac:dyDescent="0.25">
      <c r="A64" s="263" t="s">
        <v>866</v>
      </c>
      <c r="B64" s="413"/>
      <c r="C64" s="207"/>
      <c r="D64" s="207"/>
      <c r="E64" s="207"/>
      <c r="F64" s="207"/>
      <c r="G64" s="207"/>
      <c r="H64" s="207"/>
      <c r="I64" s="207"/>
      <c r="J64" s="207"/>
      <c r="K64" s="207"/>
      <c r="L64" s="207"/>
      <c r="M64" s="207"/>
      <c r="N64" s="207"/>
      <c r="O64" s="208"/>
      <c r="X64" s="18"/>
      <c r="Y64" s="27"/>
    </row>
    <row r="65" spans="1:25" ht="14.45" customHeight="1" x14ac:dyDescent="0.25">
      <c r="A65" s="250" t="s">
        <v>349</v>
      </c>
      <c r="B65" s="333"/>
      <c r="C65" s="244" t="s">
        <v>30</v>
      </c>
      <c r="D65" s="244" t="s">
        <v>364</v>
      </c>
      <c r="E65" s="244" t="s">
        <v>364</v>
      </c>
      <c r="F65" s="244" t="s">
        <v>50</v>
      </c>
      <c r="G65" s="244" t="s">
        <v>24</v>
      </c>
      <c r="H65" s="245" t="s">
        <v>24</v>
      </c>
      <c r="I65" s="245" t="s">
        <v>24</v>
      </c>
      <c r="J65" s="245" t="s">
        <v>25</v>
      </c>
      <c r="K65" s="251" t="s">
        <v>307</v>
      </c>
      <c r="L65" s="251" t="s">
        <v>51</v>
      </c>
      <c r="M65" s="251" t="s">
        <v>304</v>
      </c>
      <c r="N65" s="251" t="s">
        <v>28</v>
      </c>
      <c r="O65" s="259"/>
      <c r="X65" s="18"/>
      <c r="Y65" s="27"/>
    </row>
    <row r="66" spans="1:25" ht="15" customHeight="1" x14ac:dyDescent="0.25">
      <c r="A66" s="28" t="s">
        <v>308</v>
      </c>
      <c r="B66" s="333"/>
      <c r="C66" s="29" t="s">
        <v>247</v>
      </c>
      <c r="D66" s="29" t="s">
        <v>364</v>
      </c>
      <c r="E66" s="29" t="s">
        <v>364</v>
      </c>
      <c r="F66" s="29" t="s">
        <v>50</v>
      </c>
      <c r="G66" s="29" t="s">
        <v>24</v>
      </c>
      <c r="H66" s="177" t="s">
        <v>24</v>
      </c>
      <c r="I66" s="30" t="s">
        <v>24</v>
      </c>
      <c r="J66" s="30" t="s">
        <v>25</v>
      </c>
      <c r="K66" s="178" t="s">
        <v>307</v>
      </c>
      <c r="L66" s="31" t="s">
        <v>51</v>
      </c>
      <c r="M66" s="31" t="s">
        <v>304</v>
      </c>
      <c r="N66" s="31" t="s">
        <v>28</v>
      </c>
      <c r="O66" s="179" t="s">
        <v>347</v>
      </c>
    </row>
    <row r="67" spans="1:25" ht="15.6" customHeight="1" x14ac:dyDescent="0.25">
      <c r="A67" s="250" t="s">
        <v>688</v>
      </c>
      <c r="B67" s="333"/>
      <c r="C67" s="29" t="s">
        <v>247</v>
      </c>
      <c r="D67" s="29" t="s">
        <v>364</v>
      </c>
      <c r="E67" s="29" t="s">
        <v>364</v>
      </c>
      <c r="F67" s="29" t="s">
        <v>50</v>
      </c>
      <c r="G67" s="29" t="s">
        <v>24</v>
      </c>
      <c r="H67" s="177" t="s">
        <v>24</v>
      </c>
      <c r="I67" s="30" t="s">
        <v>24</v>
      </c>
      <c r="J67" s="30" t="s">
        <v>25</v>
      </c>
      <c r="K67" s="178" t="s">
        <v>307</v>
      </c>
      <c r="L67" s="31" t="s">
        <v>51</v>
      </c>
      <c r="M67" s="31" t="s">
        <v>304</v>
      </c>
      <c r="N67" s="31" t="s">
        <v>28</v>
      </c>
      <c r="O67" s="100"/>
      <c r="X67" s="27"/>
      <c r="Y67" s="27"/>
    </row>
    <row r="68" spans="1:25" ht="14.45" customHeight="1" x14ac:dyDescent="0.25">
      <c r="A68" s="28" t="s">
        <v>346</v>
      </c>
      <c r="B68" s="333"/>
      <c r="C68" s="29" t="s">
        <v>247</v>
      </c>
      <c r="D68" s="29" t="s">
        <v>364</v>
      </c>
      <c r="E68" s="29" t="s">
        <v>364</v>
      </c>
      <c r="F68" s="29" t="s">
        <v>50</v>
      </c>
      <c r="G68" s="29" t="s">
        <v>24</v>
      </c>
      <c r="H68" s="30" t="s">
        <v>24</v>
      </c>
      <c r="I68" s="30" t="s">
        <v>24</v>
      </c>
      <c r="J68" s="30" t="s">
        <v>25</v>
      </c>
      <c r="K68" s="31" t="s">
        <v>307</v>
      </c>
      <c r="L68" s="31" t="s">
        <v>51</v>
      </c>
      <c r="M68" s="31" t="s">
        <v>304</v>
      </c>
      <c r="N68" s="31" t="s">
        <v>28</v>
      </c>
      <c r="O68" s="100"/>
      <c r="X68" s="27"/>
      <c r="Y68" s="27"/>
    </row>
    <row r="69" spans="1:25" ht="15" customHeight="1" x14ac:dyDescent="0.25">
      <c r="A69" s="246" t="s">
        <v>370</v>
      </c>
      <c r="B69" s="414"/>
      <c r="C69" s="247"/>
      <c r="D69" s="247"/>
      <c r="E69" s="247"/>
      <c r="F69" s="247"/>
      <c r="G69" s="247"/>
      <c r="H69" s="247"/>
      <c r="I69" s="247"/>
      <c r="J69" s="247"/>
      <c r="K69" s="247"/>
      <c r="L69" s="247"/>
      <c r="M69" s="247"/>
      <c r="N69" s="247"/>
      <c r="O69" s="248"/>
      <c r="X69" s="18"/>
      <c r="Y69" s="27"/>
    </row>
    <row r="70" spans="1:25" ht="14.25" customHeight="1" x14ac:dyDescent="0.25">
      <c r="A70" s="260" t="s">
        <v>403</v>
      </c>
      <c r="B70" s="261"/>
      <c r="C70" s="262"/>
      <c r="D70" s="262" t="s">
        <v>364</v>
      </c>
      <c r="E70" s="262" t="s">
        <v>341</v>
      </c>
      <c r="F70" s="262"/>
      <c r="G70" s="262"/>
      <c r="H70" s="262"/>
      <c r="I70" s="262"/>
      <c r="J70" s="262" t="s">
        <v>25</v>
      </c>
      <c r="K70" s="262" t="s">
        <v>397</v>
      </c>
      <c r="L70" s="262" t="s">
        <v>51</v>
      </c>
      <c r="M70" s="262" t="s">
        <v>27</v>
      </c>
      <c r="N70" s="262"/>
      <c r="O70" s="260" t="s">
        <v>539</v>
      </c>
      <c r="X70" s="27"/>
      <c r="Y70" s="27"/>
    </row>
    <row r="71" spans="1:25" ht="14.25" customHeight="1" x14ac:dyDescent="0.25">
      <c r="A71" s="263" t="s">
        <v>867</v>
      </c>
      <c r="B71" s="413"/>
      <c r="C71" s="207"/>
      <c r="D71" s="207"/>
      <c r="E71" s="207"/>
      <c r="F71" s="207"/>
      <c r="G71" s="207"/>
      <c r="H71" s="207"/>
      <c r="I71" s="207"/>
      <c r="J71" s="207"/>
      <c r="K71" s="207"/>
      <c r="L71" s="207"/>
      <c r="M71" s="207"/>
      <c r="N71" s="207"/>
      <c r="O71" s="208"/>
      <c r="X71" s="18"/>
      <c r="Y71" s="27"/>
    </row>
    <row r="72" spans="1:25" ht="14.45" customHeight="1" x14ac:dyDescent="0.25">
      <c r="A72" s="28" t="s">
        <v>598</v>
      </c>
      <c r="B72" s="332"/>
      <c r="C72" s="29" t="s">
        <v>21</v>
      </c>
      <c r="D72" s="29" t="s">
        <v>341</v>
      </c>
      <c r="E72" s="29" t="s">
        <v>341</v>
      </c>
      <c r="F72" s="29" t="s">
        <v>50</v>
      </c>
      <c r="G72" s="29" t="s">
        <v>23</v>
      </c>
      <c r="H72" s="30" t="s">
        <v>23</v>
      </c>
      <c r="I72" s="30" t="s">
        <v>24</v>
      </c>
      <c r="J72" s="30" t="s">
        <v>25</v>
      </c>
      <c r="K72" s="31" t="s">
        <v>26</v>
      </c>
      <c r="L72" s="31" t="s">
        <v>51</v>
      </c>
      <c r="M72" s="31" t="s">
        <v>304</v>
      </c>
      <c r="N72" s="31" t="s">
        <v>402</v>
      </c>
      <c r="O72" s="100" t="s">
        <v>520</v>
      </c>
      <c r="X72" s="18"/>
      <c r="Y72" s="27"/>
    </row>
    <row r="73" spans="1:25" ht="15" customHeight="1" x14ac:dyDescent="0.25">
      <c r="A73" s="28" t="s">
        <v>351</v>
      </c>
      <c r="B73" s="332"/>
      <c r="C73" s="29" t="s">
        <v>21</v>
      </c>
      <c r="D73" s="29" t="s">
        <v>341</v>
      </c>
      <c r="E73" s="29" t="s">
        <v>22</v>
      </c>
      <c r="F73" s="29" t="s">
        <v>50</v>
      </c>
      <c r="G73" s="29" t="s">
        <v>23</v>
      </c>
      <c r="H73" s="30" t="s">
        <v>23</v>
      </c>
      <c r="I73" s="30" t="s">
        <v>24</v>
      </c>
      <c r="J73" s="30" t="s">
        <v>25</v>
      </c>
      <c r="K73" s="31" t="s">
        <v>26</v>
      </c>
      <c r="L73" s="31" t="s">
        <v>51</v>
      </c>
      <c r="M73" s="31" t="s">
        <v>27</v>
      </c>
      <c r="N73" s="31" t="s">
        <v>402</v>
      </c>
      <c r="O73" s="32" t="s">
        <v>29</v>
      </c>
    </row>
  </sheetData>
  <pageMargins left="0.7" right="0.7" top="0.75" bottom="0.75" header="0.3" footer="0.3"/>
  <pageSetup scale="53" fitToHeight="0" orientation="landscape"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J340"/>
  <sheetViews>
    <sheetView tabSelected="1" zoomScaleNormal="100" workbookViewId="0">
      <pane xSplit="2" ySplit="7" topLeftCell="C278" activePane="bottomRight" state="frozen"/>
      <selection pane="topRight" activeCell="C1" sqref="C1"/>
      <selection pane="bottomLeft" activeCell="A8" sqref="A8"/>
      <selection pane="bottomRight" activeCell="D293" sqref="D293"/>
    </sheetView>
  </sheetViews>
  <sheetFormatPr defaultColWidth="9.140625" defaultRowHeight="15" customHeight="1" x14ac:dyDescent="0.2"/>
  <cols>
    <col min="1" max="1" width="16" style="423" customWidth="1"/>
    <col min="2" max="2" width="50.140625" style="423" customWidth="1"/>
    <col min="3" max="3" width="14.42578125" style="423" customWidth="1"/>
    <col min="4" max="4" width="64.5703125" style="422" customWidth="1"/>
    <col min="5" max="5" width="16.42578125" style="423" customWidth="1"/>
    <col min="6" max="6" width="8.42578125" style="431" bestFit="1" customWidth="1"/>
    <col min="7" max="7" width="118" style="423" customWidth="1"/>
    <col min="8" max="8" width="59" style="422" customWidth="1"/>
    <col min="9" max="12" width="10" style="422" customWidth="1"/>
    <col min="13" max="13" width="10.85546875" style="422" customWidth="1"/>
    <col min="14" max="14" width="5.42578125" style="422" customWidth="1"/>
    <col min="15" max="15" width="6" style="422" customWidth="1"/>
    <col min="16" max="16" width="5.5703125" style="422" customWidth="1"/>
    <col min="17" max="17" width="8.5703125" style="422" customWidth="1"/>
    <col min="18" max="18" width="9" style="422" customWidth="1"/>
    <col min="19" max="19" width="9.5703125" style="428" customWidth="1"/>
    <col min="20" max="20" width="10" style="428" customWidth="1"/>
    <col min="21" max="21" width="11.42578125" style="428" bestFit="1" customWidth="1"/>
    <col min="22" max="23" width="10.7109375" style="429" customWidth="1"/>
    <col min="24" max="30" width="10.7109375" style="428" customWidth="1"/>
    <col min="31" max="33" width="10.7109375" style="430" customWidth="1"/>
    <col min="34" max="35" width="10.7109375" style="429" customWidth="1"/>
    <col min="36" max="41" width="10.7109375" style="422" customWidth="1"/>
    <col min="42" max="43" width="10.7109375" style="429" customWidth="1"/>
    <col min="44" max="45" width="10.7109375" style="422" customWidth="1"/>
    <col min="46" max="47" width="10.7109375" style="429" customWidth="1"/>
    <col min="48" max="49" width="10.7109375" style="422" customWidth="1"/>
    <col min="50" max="51" width="10.7109375" style="429" customWidth="1"/>
    <col min="52" max="53" width="10.7109375" style="422" customWidth="1"/>
    <col min="54" max="55" width="10.7109375" style="429" customWidth="1"/>
    <col min="56" max="57" width="10.7109375" style="422" customWidth="1"/>
    <col min="58" max="59" width="10.7109375" style="429" customWidth="1"/>
    <col min="60" max="70" width="10.7109375" style="422" customWidth="1"/>
    <col min="71" max="71" width="14.5703125" style="422" customWidth="1"/>
    <col min="72" max="72" width="12.42578125" style="422" customWidth="1"/>
    <col min="73" max="16384" width="9.140625" style="422"/>
  </cols>
  <sheetData>
    <row r="1" spans="1:87" s="423" customFormat="1" ht="11.25" x14ac:dyDescent="0.2">
      <c r="A1" s="477">
        <v>1</v>
      </c>
      <c r="B1" s="423">
        <v>2</v>
      </c>
      <c r="C1" s="423">
        <v>3</v>
      </c>
      <c r="D1" s="423">
        <v>4</v>
      </c>
      <c r="E1" s="423">
        <v>5</v>
      </c>
      <c r="F1" s="423">
        <v>6</v>
      </c>
      <c r="G1" s="423">
        <v>7</v>
      </c>
      <c r="H1" s="423">
        <v>8</v>
      </c>
      <c r="I1" s="423">
        <v>9</v>
      </c>
      <c r="J1" s="423">
        <v>10</v>
      </c>
      <c r="K1" s="423">
        <v>11</v>
      </c>
      <c r="L1" s="423">
        <v>12</v>
      </c>
      <c r="M1" s="423">
        <v>13</v>
      </c>
      <c r="N1" s="423">
        <v>14</v>
      </c>
      <c r="O1" s="423">
        <v>15</v>
      </c>
      <c r="P1" s="423">
        <v>16</v>
      </c>
      <c r="Q1" s="423">
        <v>17</v>
      </c>
      <c r="R1" s="423">
        <v>18</v>
      </c>
      <c r="S1" s="423">
        <v>19</v>
      </c>
      <c r="T1" s="423">
        <v>20</v>
      </c>
      <c r="U1" s="423">
        <v>21</v>
      </c>
      <c r="V1" s="423">
        <v>22</v>
      </c>
      <c r="W1" s="423">
        <v>23</v>
      </c>
      <c r="X1" s="423">
        <v>24</v>
      </c>
      <c r="Y1" s="423">
        <v>25</v>
      </c>
      <c r="Z1" s="423">
        <v>26</v>
      </c>
      <c r="AA1" s="423">
        <v>27</v>
      </c>
      <c r="AB1" s="423">
        <v>28</v>
      </c>
      <c r="AC1" s="423">
        <v>29</v>
      </c>
      <c r="AD1" s="423">
        <v>30</v>
      </c>
      <c r="AE1" s="423">
        <v>31</v>
      </c>
      <c r="AF1" s="423">
        <v>32</v>
      </c>
      <c r="AG1" s="423">
        <v>33</v>
      </c>
      <c r="AH1" s="423">
        <v>34</v>
      </c>
      <c r="AI1" s="423">
        <v>35</v>
      </c>
      <c r="AJ1" s="423">
        <v>36</v>
      </c>
      <c r="AK1" s="423">
        <v>37</v>
      </c>
      <c r="AL1" s="423">
        <v>38</v>
      </c>
      <c r="AM1" s="423">
        <v>39</v>
      </c>
      <c r="AN1" s="423">
        <v>40</v>
      </c>
      <c r="AO1" s="423">
        <v>41</v>
      </c>
      <c r="AP1" s="423">
        <v>42</v>
      </c>
      <c r="AQ1" s="423">
        <v>43</v>
      </c>
      <c r="AR1" s="423">
        <v>44</v>
      </c>
      <c r="AS1" s="423">
        <v>45</v>
      </c>
      <c r="AT1" s="423">
        <v>46</v>
      </c>
      <c r="AU1" s="423">
        <v>47</v>
      </c>
      <c r="AV1" s="423">
        <v>48</v>
      </c>
      <c r="AW1" s="423">
        <v>49</v>
      </c>
      <c r="AX1" s="423">
        <v>50</v>
      </c>
      <c r="AY1" s="423">
        <v>51</v>
      </c>
      <c r="AZ1" s="423">
        <v>52</v>
      </c>
      <c r="BA1" s="423">
        <v>53</v>
      </c>
      <c r="BB1" s="423">
        <v>54</v>
      </c>
      <c r="BC1" s="423">
        <v>55</v>
      </c>
      <c r="BD1" s="423">
        <v>56</v>
      </c>
      <c r="BE1" s="423">
        <v>57</v>
      </c>
      <c r="BF1" s="423">
        <v>58</v>
      </c>
      <c r="BG1" s="423">
        <v>59</v>
      </c>
      <c r="BH1" s="423">
        <v>60</v>
      </c>
      <c r="BI1" s="423">
        <v>61</v>
      </c>
      <c r="BJ1" s="423">
        <v>62</v>
      </c>
      <c r="BK1" s="423">
        <v>63</v>
      </c>
      <c r="BL1" s="423">
        <v>64</v>
      </c>
      <c r="BM1" s="423">
        <v>65</v>
      </c>
      <c r="BN1" s="423">
        <v>66</v>
      </c>
      <c r="BO1" s="423">
        <v>67</v>
      </c>
      <c r="BP1" s="423">
        <v>68</v>
      </c>
      <c r="BQ1" s="423">
        <v>69</v>
      </c>
      <c r="BR1" s="423">
        <v>70</v>
      </c>
      <c r="BS1" s="423">
        <v>71</v>
      </c>
      <c r="BT1" s="423">
        <v>72</v>
      </c>
      <c r="BU1" s="423">
        <v>73</v>
      </c>
      <c r="BV1" s="423">
        <v>74</v>
      </c>
      <c r="BW1" s="423">
        <v>75</v>
      </c>
      <c r="BX1" s="423">
        <v>76</v>
      </c>
      <c r="BY1" s="423">
        <v>77</v>
      </c>
      <c r="BZ1" s="423">
        <v>78</v>
      </c>
      <c r="CA1" s="423">
        <v>79</v>
      </c>
      <c r="CB1" s="423">
        <v>80</v>
      </c>
      <c r="CC1" s="423">
        <v>81</v>
      </c>
      <c r="CD1" s="423">
        <v>82</v>
      </c>
      <c r="CE1" s="423">
        <v>83</v>
      </c>
      <c r="CF1" s="423">
        <v>84</v>
      </c>
      <c r="CG1" s="423">
        <v>85</v>
      </c>
      <c r="CH1" s="423">
        <v>86</v>
      </c>
      <c r="CI1" s="423">
        <v>87</v>
      </c>
    </row>
    <row r="2" spans="1:87" ht="12" thickBot="1" x14ac:dyDescent="0.25">
      <c r="A2" s="475" t="s">
        <v>5</v>
      </c>
      <c r="B2" s="425" t="str">
        <f>TestPlan!B1</f>
        <v>2020 Chevrolet Bolt</v>
      </c>
      <c r="C2" s="425"/>
      <c r="F2" s="426" t="s">
        <v>6</v>
      </c>
      <c r="G2" s="427" t="s">
        <v>334</v>
      </c>
      <c r="H2" s="427"/>
      <c r="I2" s="427"/>
      <c r="J2" s="427"/>
      <c r="K2" s="427"/>
      <c r="L2" s="427"/>
      <c r="N2" s="424"/>
      <c r="O2" s="424"/>
      <c r="P2" s="424"/>
    </row>
    <row r="3" spans="1:87" ht="12" thickBot="1" x14ac:dyDescent="0.25">
      <c r="A3" s="475" t="s">
        <v>7</v>
      </c>
      <c r="B3" s="425" t="str">
        <f>TestPlan!B2</f>
        <v>NHTSA 2020 Vehicle Technology Assessment</v>
      </c>
      <c r="C3" s="425"/>
      <c r="H3" s="432"/>
      <c r="I3" s="432"/>
      <c r="J3" s="432"/>
      <c r="K3" s="432"/>
      <c r="L3" s="432"/>
      <c r="N3" s="15"/>
      <c r="O3" s="15"/>
      <c r="P3" s="15"/>
      <c r="S3" s="433"/>
      <c r="T3" s="510" t="s">
        <v>672</v>
      </c>
      <c r="U3" s="511"/>
      <c r="X3" s="433"/>
      <c r="Y3" s="510" t="s">
        <v>672</v>
      </c>
      <c r="Z3" s="511"/>
      <c r="AA3" s="511"/>
      <c r="AB3" s="511"/>
      <c r="AC3" s="511"/>
      <c r="AD3" s="511"/>
      <c r="AE3" s="511"/>
      <c r="AF3" s="423"/>
      <c r="AG3" s="423"/>
      <c r="AI3" s="434" t="s">
        <v>396</v>
      </c>
      <c r="AJ3" s="423" t="s">
        <v>394</v>
      </c>
      <c r="AK3" s="423" t="s">
        <v>395</v>
      </c>
      <c r="AL3" s="422" t="e">
        <f>#REF!/#REF!</f>
        <v>#REF!</v>
      </c>
      <c r="AO3" s="423"/>
      <c r="AP3" s="434"/>
      <c r="AQ3" s="434"/>
      <c r="AT3" s="434"/>
      <c r="AU3" s="434"/>
      <c r="AX3" s="434"/>
      <c r="AY3" s="434"/>
      <c r="BB3" s="434"/>
      <c r="BC3" s="434"/>
      <c r="BF3" s="434"/>
      <c r="BG3" s="434"/>
    </row>
    <row r="4" spans="1:87" ht="11.25" x14ac:dyDescent="0.2">
      <c r="A4" s="474" t="s">
        <v>373</v>
      </c>
    </row>
    <row r="5" spans="1:87" ht="11.25" x14ac:dyDescent="0.2">
      <c r="A5" s="474" t="s">
        <v>373</v>
      </c>
    </row>
    <row r="6" spans="1:87" s="435" customFormat="1" ht="15" customHeight="1" thickBot="1" x14ac:dyDescent="0.25">
      <c r="A6" s="476" t="s">
        <v>373</v>
      </c>
      <c r="B6" s="436"/>
      <c r="C6" s="436"/>
      <c r="E6" s="436"/>
      <c r="F6" s="437"/>
      <c r="G6" s="436"/>
      <c r="S6" s="438" t="s">
        <v>104</v>
      </c>
      <c r="T6" s="438"/>
      <c r="U6" s="438"/>
      <c r="V6" s="439"/>
      <c r="W6" s="439"/>
      <c r="X6" s="438" t="s">
        <v>104</v>
      </c>
      <c r="Y6" s="438"/>
      <c r="Z6" s="438"/>
      <c r="AA6" s="438"/>
      <c r="AB6" s="438"/>
      <c r="AC6" s="438"/>
      <c r="AD6" s="438"/>
      <c r="AE6" s="440"/>
      <c r="AF6" s="440"/>
      <c r="AG6" s="440"/>
      <c r="AH6" s="439"/>
      <c r="AI6" s="439"/>
      <c r="AJ6" s="441"/>
      <c r="AK6" s="441"/>
      <c r="AL6" s="441"/>
      <c r="AM6" s="441"/>
      <c r="AN6" s="441"/>
      <c r="AO6" s="441"/>
      <c r="AP6" s="439"/>
      <c r="AQ6" s="439"/>
      <c r="AR6" s="441"/>
      <c r="AS6" s="441"/>
      <c r="AT6" s="439"/>
      <c r="AU6" s="439"/>
      <c r="AV6" s="441"/>
      <c r="AW6" s="441"/>
      <c r="AX6" s="439"/>
      <c r="AY6" s="439"/>
      <c r="AZ6" s="441"/>
      <c r="BA6" s="441"/>
      <c r="BB6" s="439"/>
      <c r="BC6" s="439"/>
      <c r="BD6" s="441"/>
      <c r="BE6" s="441"/>
      <c r="BF6" s="439"/>
      <c r="BG6" s="439"/>
      <c r="BH6" s="441"/>
      <c r="BI6" s="441"/>
      <c r="BJ6" s="513" t="s">
        <v>106</v>
      </c>
      <c r="BK6" s="513"/>
      <c r="BL6" s="513"/>
      <c r="BM6" s="442" t="s">
        <v>362</v>
      </c>
      <c r="BN6" s="442"/>
      <c r="BO6" s="442"/>
      <c r="BP6" s="442" t="s">
        <v>362</v>
      </c>
      <c r="BQ6" s="442"/>
      <c r="BR6" s="442"/>
      <c r="BS6" s="512" t="s">
        <v>362</v>
      </c>
      <c r="BT6" s="512"/>
      <c r="BU6" s="512"/>
      <c r="BV6" s="512"/>
    </row>
    <row r="7" spans="1:87" s="445" customFormat="1" ht="67.5" x14ac:dyDescent="0.25">
      <c r="A7" s="309" t="s">
        <v>361</v>
      </c>
      <c r="B7" s="291" t="s">
        <v>1</v>
      </c>
      <c r="C7" s="291" t="s">
        <v>494</v>
      </c>
      <c r="D7" s="303" t="s">
        <v>98</v>
      </c>
      <c r="E7" s="291" t="s">
        <v>495</v>
      </c>
      <c r="F7" s="291" t="s">
        <v>384</v>
      </c>
      <c r="G7" s="291" t="s">
        <v>2</v>
      </c>
      <c r="H7" s="291" t="s">
        <v>3</v>
      </c>
      <c r="I7" s="292" t="s">
        <v>90</v>
      </c>
      <c r="J7" s="293" t="s">
        <v>360</v>
      </c>
      <c r="K7" s="293" t="s">
        <v>297</v>
      </c>
      <c r="L7" s="293" t="s">
        <v>298</v>
      </c>
      <c r="M7" s="293" t="s">
        <v>496</v>
      </c>
      <c r="N7" s="294" t="s">
        <v>206</v>
      </c>
      <c r="O7" s="294" t="s">
        <v>46</v>
      </c>
      <c r="P7" s="294" t="s">
        <v>47</v>
      </c>
      <c r="Q7" s="294" t="s">
        <v>48</v>
      </c>
      <c r="R7" s="295" t="s">
        <v>299</v>
      </c>
      <c r="S7" s="295" t="s">
        <v>113</v>
      </c>
      <c r="T7" s="313" t="s">
        <v>497</v>
      </c>
      <c r="U7" s="313" t="s">
        <v>498</v>
      </c>
      <c r="V7" s="342" t="s">
        <v>499</v>
      </c>
      <c r="W7" s="342" t="s">
        <v>744</v>
      </c>
      <c r="X7" s="343" t="s">
        <v>618</v>
      </c>
      <c r="Y7" s="343" t="s">
        <v>619</v>
      </c>
      <c r="Z7" s="342" t="s">
        <v>717</v>
      </c>
      <c r="AA7" s="342" t="s">
        <v>745</v>
      </c>
      <c r="AB7" s="343" t="s">
        <v>720</v>
      </c>
      <c r="AC7" s="343" t="s">
        <v>721</v>
      </c>
      <c r="AD7" s="342" t="s">
        <v>718</v>
      </c>
      <c r="AE7" s="342" t="s">
        <v>719</v>
      </c>
      <c r="AF7" s="343" t="s">
        <v>722</v>
      </c>
      <c r="AG7" s="343" t="s">
        <v>723</v>
      </c>
      <c r="AH7" s="342" t="s">
        <v>724</v>
      </c>
      <c r="AI7" s="342" t="s">
        <v>725</v>
      </c>
      <c r="AJ7" s="296" t="s">
        <v>726</v>
      </c>
      <c r="AK7" s="296" t="s">
        <v>727</v>
      </c>
      <c r="AL7" s="340" t="s">
        <v>730</v>
      </c>
      <c r="AM7" s="340" t="s">
        <v>731</v>
      </c>
      <c r="AN7" s="296" t="s">
        <v>732</v>
      </c>
      <c r="AO7" s="296" t="s">
        <v>733</v>
      </c>
      <c r="AP7" s="340" t="s">
        <v>746</v>
      </c>
      <c r="AQ7" s="340" t="s">
        <v>747</v>
      </c>
      <c r="AR7" s="296" t="s">
        <v>752</v>
      </c>
      <c r="AS7" s="296" t="s">
        <v>753</v>
      </c>
      <c r="AT7" s="340" t="s">
        <v>748</v>
      </c>
      <c r="AU7" s="340" t="s">
        <v>749</v>
      </c>
      <c r="AV7" s="296" t="s">
        <v>754</v>
      </c>
      <c r="AW7" s="296" t="s">
        <v>755</v>
      </c>
      <c r="AX7" s="340" t="s">
        <v>750</v>
      </c>
      <c r="AY7" s="340" t="s">
        <v>751</v>
      </c>
      <c r="AZ7" s="296" t="s">
        <v>756</v>
      </c>
      <c r="BA7" s="296" t="s">
        <v>757</v>
      </c>
      <c r="BB7" s="340" t="s">
        <v>758</v>
      </c>
      <c r="BC7" s="340" t="s">
        <v>759</v>
      </c>
      <c r="BD7" s="296" t="s">
        <v>760</v>
      </c>
      <c r="BE7" s="296" t="s">
        <v>761</v>
      </c>
      <c r="BF7" s="340" t="s">
        <v>762</v>
      </c>
      <c r="BG7" s="340" t="s">
        <v>763</v>
      </c>
      <c r="BH7" s="296" t="s">
        <v>764</v>
      </c>
      <c r="BI7" s="296" t="s">
        <v>765</v>
      </c>
      <c r="BJ7" s="470" t="s">
        <v>497</v>
      </c>
      <c r="BK7" s="471" t="s">
        <v>498</v>
      </c>
      <c r="BL7" s="470" t="s">
        <v>514</v>
      </c>
      <c r="BM7" s="344" t="s">
        <v>767</v>
      </c>
      <c r="BN7" s="344" t="s">
        <v>768</v>
      </c>
      <c r="BO7" s="316" t="s">
        <v>515</v>
      </c>
      <c r="BP7" s="344" t="s">
        <v>769</v>
      </c>
      <c r="BQ7" s="344" t="s">
        <v>770</v>
      </c>
      <c r="BR7" s="316" t="s">
        <v>771</v>
      </c>
      <c r="BS7" s="280" t="s">
        <v>358</v>
      </c>
      <c r="BT7" s="280" t="s">
        <v>518</v>
      </c>
      <c r="BU7" s="280"/>
      <c r="BV7" s="280"/>
      <c r="BW7" s="443" t="s">
        <v>500</v>
      </c>
      <c r="BX7" s="443" t="s">
        <v>501</v>
      </c>
      <c r="BY7" s="443" t="s">
        <v>502</v>
      </c>
      <c r="BZ7" s="443" t="s">
        <v>503</v>
      </c>
      <c r="CA7" s="443" t="s">
        <v>504</v>
      </c>
      <c r="CB7" s="443" t="s">
        <v>505</v>
      </c>
      <c r="CC7" s="443" t="s">
        <v>506</v>
      </c>
      <c r="CD7" s="443" t="s">
        <v>507</v>
      </c>
      <c r="CE7" s="443" t="s">
        <v>508</v>
      </c>
      <c r="CF7" s="443" t="s">
        <v>509</v>
      </c>
      <c r="CG7" s="443" t="s">
        <v>510</v>
      </c>
      <c r="CH7" s="443" t="s">
        <v>511</v>
      </c>
      <c r="CI7" s="444" t="s">
        <v>512</v>
      </c>
    </row>
    <row r="8" spans="1:87" ht="15" customHeight="1" x14ac:dyDescent="0.2">
      <c r="A8" s="457" t="s">
        <v>513</v>
      </c>
      <c r="B8" s="334"/>
      <c r="C8" s="334"/>
      <c r="D8" s="335"/>
      <c r="E8" s="334"/>
      <c r="F8" s="334"/>
      <c r="G8" s="335"/>
      <c r="H8" s="335"/>
      <c r="I8" s="335"/>
      <c r="J8" s="335"/>
      <c r="K8" s="335"/>
      <c r="L8" s="335"/>
      <c r="M8" s="335"/>
      <c r="N8" s="335"/>
      <c r="O8" s="335"/>
      <c r="P8" s="336"/>
      <c r="Q8" s="337"/>
      <c r="R8" s="334"/>
      <c r="S8" s="334"/>
      <c r="T8" s="334"/>
      <c r="U8" s="334"/>
      <c r="V8" s="341"/>
      <c r="W8" s="341"/>
      <c r="X8" s="334"/>
      <c r="Y8" s="334"/>
      <c r="Z8" s="334"/>
      <c r="AA8" s="334"/>
      <c r="AB8" s="334"/>
      <c r="AC8" s="334"/>
      <c r="AD8" s="334"/>
      <c r="AE8" s="341"/>
      <c r="AF8" s="341"/>
      <c r="AG8" s="341"/>
      <c r="AH8" s="341"/>
      <c r="AI8" s="341"/>
      <c r="AJ8" s="334"/>
      <c r="AK8" s="334"/>
      <c r="AL8" s="334"/>
      <c r="AM8" s="334"/>
      <c r="AN8" s="334"/>
      <c r="AO8" s="334"/>
      <c r="AP8" s="341"/>
      <c r="AQ8" s="341"/>
      <c r="AR8" s="334"/>
      <c r="AS8" s="334"/>
      <c r="AT8" s="341"/>
      <c r="AU8" s="341"/>
      <c r="AV8" s="334"/>
      <c r="AW8" s="334"/>
      <c r="AX8" s="341"/>
      <c r="AY8" s="341"/>
      <c r="AZ8" s="334"/>
      <c r="BA8" s="334"/>
      <c r="BB8" s="341"/>
      <c r="BC8" s="341"/>
      <c r="BD8" s="334"/>
      <c r="BE8" s="334"/>
      <c r="BF8" s="341"/>
      <c r="BG8" s="341"/>
      <c r="BH8" s="334"/>
      <c r="BI8" s="334"/>
      <c r="BJ8" s="334"/>
      <c r="BK8" s="334"/>
      <c r="BL8" s="334"/>
      <c r="BM8" s="334"/>
      <c r="BN8" s="334"/>
      <c r="BO8" s="334"/>
      <c r="BP8" s="334"/>
      <c r="BQ8" s="334"/>
      <c r="BR8" s="334"/>
      <c r="BS8" s="334"/>
      <c r="BT8" s="334"/>
      <c r="BU8" s="334"/>
      <c r="BV8" s="334"/>
      <c r="BW8" s="334"/>
      <c r="BX8" s="334"/>
      <c r="BY8" s="334"/>
      <c r="BZ8" s="334"/>
      <c r="CA8" s="334"/>
      <c r="CB8" s="334"/>
      <c r="CC8" s="334"/>
      <c r="CD8" s="334"/>
      <c r="CE8" s="334"/>
      <c r="CF8" s="334"/>
      <c r="CG8" s="334"/>
      <c r="CH8" s="334"/>
      <c r="CI8" s="338"/>
    </row>
    <row r="9" spans="1:87" ht="15" customHeight="1" x14ac:dyDescent="0.2">
      <c r="A9" s="297">
        <v>62009001</v>
      </c>
      <c r="B9" s="297" t="s">
        <v>617</v>
      </c>
      <c r="C9" s="297" t="s">
        <v>626</v>
      </c>
      <c r="D9" s="326" t="s">
        <v>709</v>
      </c>
      <c r="E9" s="283" t="s">
        <v>710</v>
      </c>
      <c r="F9" s="310" t="str">
        <f>LEFT(E9,8)</f>
        <v>09/09/20</v>
      </c>
      <c r="G9" s="298" t="s">
        <v>711</v>
      </c>
      <c r="H9" s="298" t="s">
        <v>712</v>
      </c>
      <c r="I9" s="306"/>
      <c r="J9" s="299">
        <v>25.171451000000001</v>
      </c>
      <c r="K9" s="299">
        <v>38.440716999999999</v>
      </c>
      <c r="L9" s="299">
        <v>29.510863000000001</v>
      </c>
      <c r="M9" s="299">
        <v>27.081344000000001</v>
      </c>
      <c r="N9" s="284">
        <v>3875</v>
      </c>
      <c r="O9" s="284">
        <v>28.39</v>
      </c>
      <c r="P9" s="284">
        <v>0.20169999999999999</v>
      </c>
      <c r="Q9" s="284">
        <v>1.932E-2</v>
      </c>
      <c r="R9" s="285">
        <v>10.31377618</v>
      </c>
      <c r="S9" s="285">
        <f t="shared" ref="S9:S14" si="0">R9+R8</f>
        <v>10.31377618</v>
      </c>
      <c r="T9" s="314">
        <v>77.779701000000003</v>
      </c>
      <c r="U9" s="314">
        <v>74.311329999999998</v>
      </c>
      <c r="V9" s="289">
        <v>9</v>
      </c>
      <c r="W9" s="289">
        <v>2491</v>
      </c>
      <c r="X9" s="289">
        <f t="shared" ref="X9:X14" si="1">W9-V9</f>
        <v>2482</v>
      </c>
      <c r="Y9" s="289">
        <f t="shared" ref="Y9:Y25" si="2">X9/$R9</f>
        <v>240.64900737452305</v>
      </c>
      <c r="Z9" s="308">
        <v>6.5</v>
      </c>
      <c r="AA9" s="289">
        <v>35.700000000000003</v>
      </c>
      <c r="AB9" s="289">
        <f t="shared" ref="AB9:AB14" si="3">AA9-Z9</f>
        <v>29.200000000000003</v>
      </c>
      <c r="AC9" s="289">
        <f t="shared" ref="AC9:AC25" si="4">AB9/$R9</f>
        <v>2.8311647926414478</v>
      </c>
      <c r="AD9" s="308">
        <v>5.7923220000000004</v>
      </c>
      <c r="AE9" s="289">
        <v>31.38</v>
      </c>
      <c r="AF9" s="289">
        <f t="shared" ref="AF9:AF14" si="5">AE9-AD9</f>
        <v>25.587677999999997</v>
      </c>
      <c r="AG9" s="289">
        <f t="shared" ref="AG9:AG25" si="6">AF9/$R9</f>
        <v>2.4809223657207577</v>
      </c>
      <c r="AH9" s="308">
        <v>0.91</v>
      </c>
      <c r="AI9" s="289">
        <v>5.85</v>
      </c>
      <c r="AJ9" s="289">
        <f t="shared" ref="AJ9:AJ14" si="7">AI9-AH9</f>
        <v>4.9399999999999995</v>
      </c>
      <c r="AK9" s="307">
        <f t="shared" ref="AK9:AK25" si="8">AJ9/$R9</f>
        <v>0.47897102998797086</v>
      </c>
      <c r="AL9" s="308">
        <v>0</v>
      </c>
      <c r="AM9" s="289">
        <v>0</v>
      </c>
      <c r="AN9" s="289">
        <f t="shared" ref="AN9:AN14" si="9">AM9-AL9</f>
        <v>0</v>
      </c>
      <c r="AO9" s="307">
        <f t="shared" ref="AO9:AO25" si="10">AN9/$R9</f>
        <v>0</v>
      </c>
      <c r="AP9" s="308">
        <v>0.2</v>
      </c>
      <c r="AQ9" s="289">
        <v>0.1</v>
      </c>
      <c r="AR9" s="289">
        <f t="shared" ref="AR9:AR14" si="11">AQ9-AP9</f>
        <v>-0.1</v>
      </c>
      <c r="AS9" s="307">
        <f t="shared" ref="AS9:AS25" si="12">AR9/$R9</f>
        <v>-9.6957698378131764E-3</v>
      </c>
      <c r="AT9" s="308">
        <v>0</v>
      </c>
      <c r="AU9" s="289">
        <v>-0.1</v>
      </c>
      <c r="AV9" s="289">
        <f t="shared" ref="AV9:AV14" si="13">AU9-AT9</f>
        <v>-0.1</v>
      </c>
      <c r="AW9" s="307">
        <f t="shared" ref="AW9:AW25" si="14">AV9/$R9</f>
        <v>-9.6957698378131764E-3</v>
      </c>
      <c r="AX9" s="308">
        <v>9</v>
      </c>
      <c r="AY9" s="289">
        <v>2492</v>
      </c>
      <c r="AZ9" s="289">
        <f t="shared" ref="AZ9:AZ14" si="15">AY9-AX9</f>
        <v>2483</v>
      </c>
      <c r="BA9" s="307">
        <f t="shared" ref="BA9:BA25" si="16">AZ9/$R9</f>
        <v>240.74596507290119</v>
      </c>
      <c r="BB9" s="308">
        <v>1.2</v>
      </c>
      <c r="BC9" s="289">
        <v>2.2999999999999998</v>
      </c>
      <c r="BD9" s="289">
        <f t="shared" ref="BD9:BD14" si="17">BC9-BB9</f>
        <v>1.0999999999999999</v>
      </c>
      <c r="BE9" s="307">
        <f t="shared" ref="BE9:BE25" si="18">BD9/$R9</f>
        <v>0.10665346821594493</v>
      </c>
      <c r="BF9" s="308">
        <v>0</v>
      </c>
      <c r="BG9" s="289">
        <v>0</v>
      </c>
      <c r="BH9" s="289">
        <f t="shared" ref="BH9:BH14" si="19">BG9-BF9</f>
        <v>0</v>
      </c>
      <c r="BI9" s="307">
        <f t="shared" ref="BI9:BI25" si="20">BH9/$R9</f>
        <v>0</v>
      </c>
      <c r="BJ9" s="281">
        <v>77.779701000000003</v>
      </c>
      <c r="BK9" s="281">
        <v>74.311329999999998</v>
      </c>
      <c r="BL9" s="281">
        <f t="shared" ref="BL9:BL14" si="21">BK9-BJ9</f>
        <v>-3.4683710000000048</v>
      </c>
      <c r="BM9" s="408">
        <v>0</v>
      </c>
      <c r="BN9" s="458">
        <v>0</v>
      </c>
      <c r="BO9" s="458">
        <f t="shared" ref="BO9:BO14" si="22">BN9-BM9</f>
        <v>0</v>
      </c>
      <c r="BP9" s="408">
        <v>1.2</v>
      </c>
      <c r="BQ9" s="458">
        <v>2.2999999999999998</v>
      </c>
      <c r="BR9" s="458">
        <f t="shared" ref="BR9:BR14" si="23">BQ9-BP9</f>
        <v>1.0999999999999999</v>
      </c>
      <c r="BS9" s="281"/>
      <c r="BT9" s="281"/>
      <c r="BU9" s="281"/>
      <c r="BV9" s="281"/>
      <c r="BW9" s="298" t="s">
        <v>713</v>
      </c>
      <c r="BX9" s="422">
        <v>1771.20459783</v>
      </c>
      <c r="BY9" s="422">
        <v>1.37651743</v>
      </c>
      <c r="BZ9" s="422">
        <v>1324.74153821</v>
      </c>
      <c r="CA9" s="422">
        <v>1306.75384375</v>
      </c>
      <c r="CB9" s="422">
        <v>7.3929508300000002</v>
      </c>
      <c r="CC9" s="422">
        <v>7.3154705499999997</v>
      </c>
      <c r="CD9" s="422">
        <v>0.55726134999999999</v>
      </c>
      <c r="CE9" s="422">
        <v>10.31383703</v>
      </c>
      <c r="CF9" s="422">
        <v>10.256680510000001</v>
      </c>
      <c r="CG9" s="422">
        <v>0.49660812999999998</v>
      </c>
      <c r="CH9" s="422">
        <v>1.0591292000000001</v>
      </c>
      <c r="CI9" s="422">
        <v>0.28265558000000002</v>
      </c>
    </row>
    <row r="10" spans="1:87" ht="15" customHeight="1" x14ac:dyDescent="0.2">
      <c r="A10" s="297">
        <v>62009001</v>
      </c>
      <c r="B10" s="297" t="s">
        <v>617</v>
      </c>
      <c r="C10" s="297" t="s">
        <v>627</v>
      </c>
      <c r="D10" s="326" t="s">
        <v>709</v>
      </c>
      <c r="E10" s="283" t="s">
        <v>710</v>
      </c>
      <c r="F10" s="310" t="str">
        <f t="shared" ref="F10:F25" si="24">LEFT(E10,8)</f>
        <v>09/09/20</v>
      </c>
      <c r="G10" s="298" t="s">
        <v>711</v>
      </c>
      <c r="H10" s="298" t="s">
        <v>712</v>
      </c>
      <c r="I10" s="306"/>
      <c r="J10" s="299">
        <v>24.787082000000002</v>
      </c>
      <c r="K10" s="299">
        <v>39.125779000000001</v>
      </c>
      <c r="L10" s="299">
        <v>29.507401000000002</v>
      </c>
      <c r="M10" s="299">
        <v>28.917781000000002</v>
      </c>
      <c r="N10" s="284">
        <v>3875</v>
      </c>
      <c r="O10" s="284">
        <v>28.39</v>
      </c>
      <c r="P10" s="284">
        <v>0.20169999999999999</v>
      </c>
      <c r="Q10" s="284">
        <v>1.932E-2</v>
      </c>
      <c r="R10" s="285">
        <v>10.31298778</v>
      </c>
      <c r="S10" s="285">
        <f t="shared" si="0"/>
        <v>20.626763959999998</v>
      </c>
      <c r="T10" s="314">
        <v>74.309804</v>
      </c>
      <c r="U10" s="314">
        <v>70.850588999999999</v>
      </c>
      <c r="V10" s="289">
        <v>2492</v>
      </c>
      <c r="W10" s="289">
        <v>4916</v>
      </c>
      <c r="X10" s="289">
        <f t="shared" si="1"/>
        <v>2424</v>
      </c>
      <c r="Y10" s="289">
        <f t="shared" si="2"/>
        <v>235.04342792889452</v>
      </c>
      <c r="Z10" s="308">
        <v>36.299999999999997</v>
      </c>
      <c r="AA10" s="289">
        <v>68.016084000000006</v>
      </c>
      <c r="AB10" s="289">
        <f t="shared" si="3"/>
        <v>31.716084000000009</v>
      </c>
      <c r="AC10" s="289">
        <f t="shared" si="4"/>
        <v>3.0753535906933855</v>
      </c>
      <c r="AD10" s="308">
        <v>31.89</v>
      </c>
      <c r="AE10" s="289">
        <v>59.89</v>
      </c>
      <c r="AF10" s="289">
        <f t="shared" si="5"/>
        <v>28</v>
      </c>
      <c r="AG10" s="289">
        <f t="shared" si="6"/>
        <v>2.7150230948882204</v>
      </c>
      <c r="AH10" s="308">
        <v>5.92</v>
      </c>
      <c r="AI10" s="289">
        <v>8.84</v>
      </c>
      <c r="AJ10" s="289">
        <f t="shared" si="7"/>
        <v>2.92</v>
      </c>
      <c r="AK10" s="307">
        <f t="shared" si="8"/>
        <v>0.28313812275262873</v>
      </c>
      <c r="AL10" s="308">
        <v>0</v>
      </c>
      <c r="AM10" s="289">
        <v>0</v>
      </c>
      <c r="AN10" s="289">
        <f t="shared" si="9"/>
        <v>0</v>
      </c>
      <c r="AO10" s="307">
        <f t="shared" si="10"/>
        <v>0</v>
      </c>
      <c r="AP10" s="308">
        <v>0.1</v>
      </c>
      <c r="AQ10" s="289">
        <v>0.1</v>
      </c>
      <c r="AR10" s="289">
        <f t="shared" si="11"/>
        <v>0</v>
      </c>
      <c r="AS10" s="307">
        <f t="shared" si="12"/>
        <v>0</v>
      </c>
      <c r="AT10" s="308">
        <v>-0.1</v>
      </c>
      <c r="AU10" s="289">
        <v>-0.1</v>
      </c>
      <c r="AV10" s="289">
        <f t="shared" si="13"/>
        <v>0</v>
      </c>
      <c r="AW10" s="307">
        <f t="shared" si="14"/>
        <v>0</v>
      </c>
      <c r="AX10" s="308">
        <v>2493</v>
      </c>
      <c r="AY10" s="289">
        <v>4919</v>
      </c>
      <c r="AZ10" s="289">
        <f t="shared" si="15"/>
        <v>2426</v>
      </c>
      <c r="BA10" s="307">
        <f t="shared" si="16"/>
        <v>235.23735814995797</v>
      </c>
      <c r="BB10" s="308">
        <v>2.2999999999999998</v>
      </c>
      <c r="BC10" s="289">
        <v>3.4</v>
      </c>
      <c r="BD10" s="289">
        <f t="shared" si="17"/>
        <v>1.1000000000000001</v>
      </c>
      <c r="BE10" s="307">
        <f t="shared" si="18"/>
        <v>0.10666162158489439</v>
      </c>
      <c r="BF10" s="308">
        <v>0</v>
      </c>
      <c r="BG10" s="289">
        <v>0</v>
      </c>
      <c r="BH10" s="289">
        <f t="shared" si="19"/>
        <v>0</v>
      </c>
      <c r="BI10" s="307">
        <f t="shared" si="20"/>
        <v>0</v>
      </c>
      <c r="BJ10" s="281">
        <v>74.309804</v>
      </c>
      <c r="BK10" s="281">
        <v>70.850588999999999</v>
      </c>
      <c r="BL10" s="281">
        <f t="shared" si="21"/>
        <v>-3.4592150000000004</v>
      </c>
      <c r="BM10" s="408">
        <v>0</v>
      </c>
      <c r="BN10" s="458">
        <v>0</v>
      </c>
      <c r="BO10" s="458">
        <f t="shared" si="22"/>
        <v>0</v>
      </c>
      <c r="BP10" s="408">
        <v>2.2999999999999998</v>
      </c>
      <c r="BQ10" s="458">
        <v>3.4</v>
      </c>
      <c r="BR10" s="458">
        <f t="shared" si="23"/>
        <v>1.1000000000000001</v>
      </c>
      <c r="BS10" s="281"/>
      <c r="BT10" s="281"/>
      <c r="BU10" s="281"/>
      <c r="BV10" s="281"/>
      <c r="BW10" s="298" t="s">
        <v>713</v>
      </c>
      <c r="BX10" s="422">
        <v>1769.09033292</v>
      </c>
      <c r="BY10" s="422">
        <v>1.34720101</v>
      </c>
      <c r="BZ10" s="422">
        <v>1324.32833435</v>
      </c>
      <c r="CA10" s="422">
        <v>1306.72413357</v>
      </c>
      <c r="CB10" s="422">
        <v>7.3957523800000002</v>
      </c>
      <c r="CC10" s="422">
        <v>7.3154053599999997</v>
      </c>
      <c r="CD10" s="422">
        <v>0.54980647000000005</v>
      </c>
      <c r="CE10" s="422">
        <v>10.31307232</v>
      </c>
      <c r="CF10" s="422">
        <v>10.256680429999999</v>
      </c>
      <c r="CG10" s="422">
        <v>0.54256070999999995</v>
      </c>
      <c r="CH10" s="422">
        <v>1.09832627</v>
      </c>
      <c r="CI10" s="422">
        <v>0.28265072000000002</v>
      </c>
    </row>
    <row r="11" spans="1:87" ht="15" customHeight="1" x14ac:dyDescent="0.2">
      <c r="A11" s="297">
        <v>62009001</v>
      </c>
      <c r="B11" s="297" t="s">
        <v>617</v>
      </c>
      <c r="C11" s="297" t="s">
        <v>629</v>
      </c>
      <c r="D11" s="326" t="s">
        <v>709</v>
      </c>
      <c r="E11" s="283" t="s">
        <v>710</v>
      </c>
      <c r="F11" s="310" t="str">
        <f t="shared" si="24"/>
        <v>09/09/20</v>
      </c>
      <c r="G11" s="298" t="s">
        <v>711</v>
      </c>
      <c r="H11" s="298" t="s">
        <v>712</v>
      </c>
      <c r="I11" s="306"/>
      <c r="J11" s="299">
        <v>24.46527</v>
      </c>
      <c r="K11" s="299">
        <v>39.881335999999997</v>
      </c>
      <c r="L11" s="299">
        <v>29.511058999999999</v>
      </c>
      <c r="M11" s="299">
        <v>28.869471999999998</v>
      </c>
      <c r="N11" s="284">
        <v>3875</v>
      </c>
      <c r="O11" s="284">
        <v>28.39</v>
      </c>
      <c r="P11" s="284">
        <v>0.20169999999999999</v>
      </c>
      <c r="Q11" s="284">
        <v>1.932E-2</v>
      </c>
      <c r="R11" s="285">
        <v>10.32498331</v>
      </c>
      <c r="S11" s="285">
        <f t="shared" si="0"/>
        <v>20.637971090000001</v>
      </c>
      <c r="T11" s="314">
        <v>70.849063000000001</v>
      </c>
      <c r="U11" s="314">
        <v>67.363906999999998</v>
      </c>
      <c r="V11" s="289">
        <v>4917</v>
      </c>
      <c r="W11" s="289">
        <v>7332</v>
      </c>
      <c r="X11" s="289">
        <f t="shared" si="1"/>
        <v>2415</v>
      </c>
      <c r="Y11" s="289">
        <f t="shared" si="2"/>
        <v>233.89868317375516</v>
      </c>
      <c r="Z11" s="308">
        <v>68.7</v>
      </c>
      <c r="AA11" s="289">
        <v>101.8</v>
      </c>
      <c r="AB11" s="289">
        <f t="shared" si="3"/>
        <v>33.099999999999994</v>
      </c>
      <c r="AC11" s="289">
        <f t="shared" si="4"/>
        <v>3.2058163201040557</v>
      </c>
      <c r="AD11" s="308">
        <v>60.421545999999999</v>
      </c>
      <c r="AE11" s="289">
        <v>89.66</v>
      </c>
      <c r="AF11" s="289">
        <f t="shared" si="5"/>
        <v>29.238453999999997</v>
      </c>
      <c r="AG11" s="289">
        <f t="shared" si="6"/>
        <v>2.8318161029550368</v>
      </c>
      <c r="AH11" s="308">
        <v>8.8800000000000008</v>
      </c>
      <c r="AI11" s="289">
        <v>10.75</v>
      </c>
      <c r="AJ11" s="289">
        <f t="shared" si="7"/>
        <v>1.8699999999999992</v>
      </c>
      <c r="AK11" s="307">
        <f t="shared" si="8"/>
        <v>0.181114094217359</v>
      </c>
      <c r="AL11" s="308">
        <v>0.1</v>
      </c>
      <c r="AM11" s="289">
        <v>0.1</v>
      </c>
      <c r="AN11" s="289">
        <f t="shared" si="9"/>
        <v>0</v>
      </c>
      <c r="AO11" s="307">
        <f t="shared" si="10"/>
        <v>0</v>
      </c>
      <c r="AP11" s="308">
        <v>0.1</v>
      </c>
      <c r="AQ11" s="289">
        <v>0</v>
      </c>
      <c r="AR11" s="289">
        <f t="shared" si="11"/>
        <v>-0.1</v>
      </c>
      <c r="AS11" s="307">
        <f t="shared" si="12"/>
        <v>-9.685245680072679E-3</v>
      </c>
      <c r="AT11" s="308">
        <v>-0.1</v>
      </c>
      <c r="AU11" s="289">
        <v>-0.1</v>
      </c>
      <c r="AV11" s="289">
        <f t="shared" si="13"/>
        <v>0</v>
      </c>
      <c r="AW11" s="307">
        <f t="shared" si="14"/>
        <v>0</v>
      </c>
      <c r="AX11" s="308">
        <v>4919</v>
      </c>
      <c r="AY11" s="289">
        <v>7335</v>
      </c>
      <c r="AZ11" s="289">
        <f t="shared" si="15"/>
        <v>2416</v>
      </c>
      <c r="BA11" s="307">
        <f t="shared" si="16"/>
        <v>233.99553563055591</v>
      </c>
      <c r="BB11" s="308">
        <v>3.4</v>
      </c>
      <c r="BC11" s="289">
        <v>4.4000000000000004</v>
      </c>
      <c r="BD11" s="289">
        <f t="shared" si="17"/>
        <v>1.0000000000000004</v>
      </c>
      <c r="BE11" s="307">
        <f t="shared" si="18"/>
        <v>9.6852456800726822E-2</v>
      </c>
      <c r="BF11" s="308">
        <v>0</v>
      </c>
      <c r="BG11" s="289">
        <v>0</v>
      </c>
      <c r="BH11" s="289">
        <f t="shared" si="19"/>
        <v>0</v>
      </c>
      <c r="BI11" s="307">
        <f t="shared" si="20"/>
        <v>0</v>
      </c>
      <c r="BJ11" s="281">
        <v>70.849063000000001</v>
      </c>
      <c r="BK11" s="281">
        <v>67.363906999999998</v>
      </c>
      <c r="BL11" s="281">
        <f t="shared" si="21"/>
        <v>-3.4851560000000035</v>
      </c>
      <c r="BM11" s="408">
        <v>0</v>
      </c>
      <c r="BN11" s="458">
        <v>0</v>
      </c>
      <c r="BO11" s="458">
        <f t="shared" si="22"/>
        <v>0</v>
      </c>
      <c r="BP11" s="408">
        <v>3.4</v>
      </c>
      <c r="BQ11" s="458">
        <v>4.4000000000000004</v>
      </c>
      <c r="BR11" s="458">
        <f t="shared" si="23"/>
        <v>1.0000000000000004</v>
      </c>
      <c r="BS11" s="281"/>
      <c r="BT11" s="281"/>
      <c r="BU11" s="281"/>
      <c r="BV11" s="281"/>
      <c r="BW11" s="298" t="s">
        <v>713</v>
      </c>
      <c r="BX11" s="422">
        <v>1800.6681957599999</v>
      </c>
      <c r="BY11" s="422">
        <v>1.71081273</v>
      </c>
      <c r="BZ11" s="422">
        <v>1329.0624375100001</v>
      </c>
      <c r="CA11" s="422">
        <v>1306.7071256900001</v>
      </c>
      <c r="CB11" s="422">
        <v>7.4008007400000002</v>
      </c>
      <c r="CC11" s="422">
        <v>7.31870318</v>
      </c>
      <c r="CD11" s="422">
        <v>0.55760264000000004</v>
      </c>
      <c r="CE11" s="422">
        <v>10.325064340000001</v>
      </c>
      <c r="CF11" s="422">
        <v>10.26781076</v>
      </c>
      <c r="CG11" s="422">
        <v>0.55788930000000003</v>
      </c>
      <c r="CH11" s="422">
        <v>1.1217500600000001</v>
      </c>
      <c r="CI11" s="422">
        <v>0.28251928999999998</v>
      </c>
    </row>
    <row r="12" spans="1:87" ht="15" customHeight="1" x14ac:dyDescent="0.2">
      <c r="A12" s="297">
        <v>62009002</v>
      </c>
      <c r="B12" s="297" t="s">
        <v>705</v>
      </c>
      <c r="C12" s="297" t="s">
        <v>626</v>
      </c>
      <c r="D12" s="326" t="s">
        <v>772</v>
      </c>
      <c r="E12" s="283" t="s">
        <v>773</v>
      </c>
      <c r="F12" s="310" t="str">
        <f t="shared" si="24"/>
        <v>09/09/20</v>
      </c>
      <c r="G12" s="298" t="s">
        <v>774</v>
      </c>
      <c r="H12" s="298" t="s">
        <v>775</v>
      </c>
      <c r="I12" s="306"/>
      <c r="J12" s="299">
        <v>21.197175999999999</v>
      </c>
      <c r="K12" s="299">
        <v>48.638801999999998</v>
      </c>
      <c r="L12" s="299">
        <v>29.510646000000001</v>
      </c>
      <c r="M12" s="299">
        <v>21.428045999999998</v>
      </c>
      <c r="N12" s="284">
        <v>3875</v>
      </c>
      <c r="O12" s="284">
        <v>28.39</v>
      </c>
      <c r="P12" s="284">
        <v>0.20169999999999999</v>
      </c>
      <c r="Q12" s="284">
        <v>1.932E-2</v>
      </c>
      <c r="R12" s="285">
        <v>5.5475000000000001E-4</v>
      </c>
      <c r="S12" s="285">
        <f t="shared" si="0"/>
        <v>10.32553806</v>
      </c>
      <c r="T12" s="314">
        <v>67.194531999999995</v>
      </c>
      <c r="U12" s="314">
        <v>66.414796999999993</v>
      </c>
      <c r="V12" s="289">
        <v>7445</v>
      </c>
      <c r="W12" s="289">
        <v>7992</v>
      </c>
      <c r="X12" s="289">
        <f t="shared" si="1"/>
        <v>547</v>
      </c>
      <c r="Y12" s="289">
        <f t="shared" si="2"/>
        <v>986029.74312753486</v>
      </c>
      <c r="Z12" s="308">
        <v>166.28023999999999</v>
      </c>
      <c r="AA12" s="289">
        <v>275</v>
      </c>
      <c r="AB12" s="289">
        <f t="shared" si="3"/>
        <v>108.71976000000001</v>
      </c>
      <c r="AC12" s="289">
        <f t="shared" si="4"/>
        <v>195979.73862100046</v>
      </c>
      <c r="AD12" s="308">
        <v>146.87802400000001</v>
      </c>
      <c r="AE12" s="289">
        <v>245.79</v>
      </c>
      <c r="AF12" s="289">
        <f t="shared" si="5"/>
        <v>98.911975999999981</v>
      </c>
      <c r="AG12" s="289">
        <f t="shared" si="6"/>
        <v>178300.09193330325</v>
      </c>
      <c r="AH12" s="308">
        <v>35.659999999999997</v>
      </c>
      <c r="AI12" s="289">
        <v>7.74</v>
      </c>
      <c r="AJ12" s="289">
        <f t="shared" si="7"/>
        <v>-27.919999999999995</v>
      </c>
      <c r="AK12" s="307">
        <f t="shared" si="8"/>
        <v>-50328.977016674165</v>
      </c>
      <c r="AL12" s="308">
        <v>0</v>
      </c>
      <c r="AM12" s="289">
        <v>127.6</v>
      </c>
      <c r="AN12" s="289">
        <f t="shared" si="9"/>
        <v>127.6</v>
      </c>
      <c r="AO12" s="307">
        <f t="shared" si="10"/>
        <v>230013.51960342494</v>
      </c>
      <c r="AP12" s="308">
        <v>0.2</v>
      </c>
      <c r="AQ12" s="289">
        <v>309.2</v>
      </c>
      <c r="AR12" s="289">
        <f t="shared" si="11"/>
        <v>309</v>
      </c>
      <c r="AS12" s="307">
        <f t="shared" si="12"/>
        <v>557007.66110860743</v>
      </c>
      <c r="AT12" s="308">
        <v>0</v>
      </c>
      <c r="AU12" s="289">
        <v>0</v>
      </c>
      <c r="AV12" s="289">
        <f t="shared" si="13"/>
        <v>0</v>
      </c>
      <c r="AW12" s="307">
        <f t="shared" si="14"/>
        <v>0</v>
      </c>
      <c r="AX12" s="308">
        <v>7450</v>
      </c>
      <c r="AY12" s="289">
        <v>7997</v>
      </c>
      <c r="AZ12" s="289">
        <f t="shared" si="15"/>
        <v>547</v>
      </c>
      <c r="BA12" s="307">
        <f t="shared" si="16"/>
        <v>986029.74312753486</v>
      </c>
      <c r="BB12" s="308">
        <v>13.7</v>
      </c>
      <c r="BC12" s="289">
        <v>14.5</v>
      </c>
      <c r="BD12" s="289">
        <f t="shared" si="17"/>
        <v>0.80000000000000071</v>
      </c>
      <c r="BE12" s="307">
        <f t="shared" si="18"/>
        <v>1442.0910319963959</v>
      </c>
      <c r="BF12" s="308">
        <v>0</v>
      </c>
      <c r="BG12" s="289">
        <v>0</v>
      </c>
      <c r="BH12" s="289">
        <f t="shared" si="19"/>
        <v>0</v>
      </c>
      <c r="BI12" s="307">
        <f t="shared" si="20"/>
        <v>0</v>
      </c>
      <c r="BJ12" s="281">
        <v>67.194531999999995</v>
      </c>
      <c r="BK12" s="281">
        <v>66.414796999999993</v>
      </c>
      <c r="BL12" s="281">
        <f t="shared" si="21"/>
        <v>-0.77973500000000229</v>
      </c>
      <c r="BM12" s="408">
        <v>0</v>
      </c>
      <c r="BN12" s="458">
        <v>0</v>
      </c>
      <c r="BO12" s="458">
        <f t="shared" si="22"/>
        <v>0</v>
      </c>
      <c r="BP12" s="408">
        <v>13.7</v>
      </c>
      <c r="BQ12" s="458">
        <v>14.5</v>
      </c>
      <c r="BR12" s="458">
        <f t="shared" si="23"/>
        <v>0.80000000000000071</v>
      </c>
      <c r="BS12" s="281"/>
      <c r="BT12" s="281"/>
      <c r="BU12" s="281"/>
      <c r="BV12" s="281"/>
      <c r="BW12" s="298" t="s">
        <v>776</v>
      </c>
      <c r="BX12" s="422">
        <v>0</v>
      </c>
      <c r="BY12" s="422" t="s">
        <v>777</v>
      </c>
      <c r="BZ12" s="422">
        <v>0</v>
      </c>
      <c r="CA12" s="422">
        <v>0</v>
      </c>
      <c r="CB12" s="422">
        <v>0</v>
      </c>
      <c r="CC12" s="422">
        <v>0</v>
      </c>
      <c r="CD12" s="422" t="s">
        <v>777</v>
      </c>
      <c r="CE12" s="422">
        <v>0</v>
      </c>
      <c r="CF12" s="422">
        <v>0</v>
      </c>
      <c r="CG12" s="422" t="s">
        <v>777</v>
      </c>
      <c r="CH12" s="422" t="s">
        <v>777</v>
      </c>
      <c r="CI12" s="422" t="s">
        <v>777</v>
      </c>
    </row>
    <row r="13" spans="1:87" ht="15" customHeight="1" x14ac:dyDescent="0.2">
      <c r="A13" s="297">
        <v>62009003</v>
      </c>
      <c r="B13" s="297" t="s">
        <v>607</v>
      </c>
      <c r="C13" s="297" t="s">
        <v>626</v>
      </c>
      <c r="D13" s="326" t="s">
        <v>778</v>
      </c>
      <c r="E13" s="283" t="s">
        <v>779</v>
      </c>
      <c r="F13" s="310" t="str">
        <f t="shared" si="24"/>
        <v>09/09/20</v>
      </c>
      <c r="G13" s="298" t="s">
        <v>780</v>
      </c>
      <c r="H13" s="298" t="s">
        <v>775</v>
      </c>
      <c r="I13" s="306"/>
      <c r="J13" s="299">
        <v>22.829782999999999</v>
      </c>
      <c r="K13" s="299">
        <v>44.525191999999997</v>
      </c>
      <c r="L13" s="299">
        <v>29.510238999999999</v>
      </c>
      <c r="M13" s="299">
        <v>25.61619</v>
      </c>
      <c r="N13" s="284">
        <v>3875</v>
      </c>
      <c r="O13" s="284">
        <v>28.39</v>
      </c>
      <c r="P13" s="284">
        <v>0.20169999999999999</v>
      </c>
      <c r="Q13" s="284">
        <v>1.932E-2</v>
      </c>
      <c r="R13" s="285">
        <v>3.61094369</v>
      </c>
      <c r="S13" s="285">
        <f t="shared" si="0"/>
        <v>3.6114984400000001</v>
      </c>
      <c r="T13" s="314">
        <v>66.402590000000004</v>
      </c>
      <c r="U13" s="314">
        <v>65.418385000000001</v>
      </c>
      <c r="V13" s="289">
        <v>8001</v>
      </c>
      <c r="W13" s="289">
        <v>8677</v>
      </c>
      <c r="X13" s="289">
        <f t="shared" si="1"/>
        <v>676</v>
      </c>
      <c r="Y13" s="289">
        <f t="shared" si="2"/>
        <v>187.20867951280624</v>
      </c>
      <c r="Z13" s="308">
        <v>280.10000000000002</v>
      </c>
      <c r="AA13" s="289">
        <v>300.39999999999998</v>
      </c>
      <c r="AB13" s="289">
        <f t="shared" si="3"/>
        <v>20.299999999999955</v>
      </c>
      <c r="AC13" s="289">
        <f t="shared" si="4"/>
        <v>5.6217991037129558</v>
      </c>
      <c r="AD13" s="308">
        <v>250.42</v>
      </c>
      <c r="AE13" s="289">
        <v>268.28626000000003</v>
      </c>
      <c r="AF13" s="289">
        <f t="shared" si="5"/>
        <v>17.86626000000004</v>
      </c>
      <c r="AG13" s="289">
        <f t="shared" si="6"/>
        <v>4.9478090864385758</v>
      </c>
      <c r="AH13" s="308">
        <v>12.66</v>
      </c>
      <c r="AI13" s="289">
        <v>14.72</v>
      </c>
      <c r="AJ13" s="289">
        <f t="shared" si="7"/>
        <v>2.0600000000000005</v>
      </c>
      <c r="AK13" s="307">
        <f t="shared" si="8"/>
        <v>0.57048798786446886</v>
      </c>
      <c r="AL13" s="308">
        <v>127.6</v>
      </c>
      <c r="AM13" s="289">
        <v>127.6</v>
      </c>
      <c r="AN13" s="289">
        <f t="shared" si="9"/>
        <v>0</v>
      </c>
      <c r="AO13" s="307">
        <f t="shared" si="10"/>
        <v>0</v>
      </c>
      <c r="AP13" s="308">
        <v>309.39999999999998</v>
      </c>
      <c r="AQ13" s="289">
        <v>309.39999999999998</v>
      </c>
      <c r="AR13" s="289">
        <f t="shared" si="11"/>
        <v>0</v>
      </c>
      <c r="AS13" s="307">
        <f t="shared" si="12"/>
        <v>0</v>
      </c>
      <c r="AT13" s="308">
        <v>0</v>
      </c>
      <c r="AU13" s="289">
        <v>0.1</v>
      </c>
      <c r="AV13" s="289">
        <f t="shared" si="13"/>
        <v>0.1</v>
      </c>
      <c r="AW13" s="307">
        <f t="shared" si="14"/>
        <v>2.7693591643906251E-2</v>
      </c>
      <c r="AX13" s="308">
        <v>8006</v>
      </c>
      <c r="AY13" s="289">
        <v>8683</v>
      </c>
      <c r="AZ13" s="289">
        <f t="shared" si="15"/>
        <v>677</v>
      </c>
      <c r="BA13" s="307">
        <f t="shared" si="16"/>
        <v>187.48561542924531</v>
      </c>
      <c r="BB13" s="308">
        <v>18.3</v>
      </c>
      <c r="BC13" s="289">
        <v>19</v>
      </c>
      <c r="BD13" s="289">
        <f t="shared" si="17"/>
        <v>0.69999999999999929</v>
      </c>
      <c r="BE13" s="307">
        <f t="shared" si="18"/>
        <v>0.19385514150734354</v>
      </c>
      <c r="BF13" s="308">
        <v>0</v>
      </c>
      <c r="BG13" s="289">
        <v>0</v>
      </c>
      <c r="BH13" s="289">
        <f t="shared" si="19"/>
        <v>0</v>
      </c>
      <c r="BI13" s="307">
        <f t="shared" si="20"/>
        <v>0</v>
      </c>
      <c r="BJ13" s="281">
        <v>66.402590000000004</v>
      </c>
      <c r="BK13" s="281">
        <v>65.418385000000001</v>
      </c>
      <c r="BL13" s="281">
        <f t="shared" si="21"/>
        <v>-0.98420500000000288</v>
      </c>
      <c r="BM13" s="408">
        <v>0</v>
      </c>
      <c r="BN13" s="458">
        <v>0</v>
      </c>
      <c r="BO13" s="458">
        <f t="shared" si="22"/>
        <v>0</v>
      </c>
      <c r="BP13" s="408">
        <v>18.3</v>
      </c>
      <c r="BQ13" s="458">
        <v>19</v>
      </c>
      <c r="BR13" s="458">
        <f t="shared" si="23"/>
        <v>0.69999999999999929</v>
      </c>
      <c r="BS13" s="281"/>
      <c r="BT13" s="281"/>
      <c r="BU13" s="281"/>
      <c r="BV13" s="281"/>
      <c r="BW13" s="298" t="s">
        <v>713</v>
      </c>
      <c r="BX13" s="422">
        <v>2202.9881278500002</v>
      </c>
      <c r="BY13" s="422">
        <v>-0.83984437000000001</v>
      </c>
      <c r="BZ13" s="422">
        <v>2031.6025713399999</v>
      </c>
      <c r="CA13" s="422">
        <v>2048.8093816400001</v>
      </c>
      <c r="CB13" s="422">
        <v>2.96618768</v>
      </c>
      <c r="CC13" s="422">
        <v>2.9658655299999999</v>
      </c>
      <c r="CD13" s="422">
        <v>0.55406849000000002</v>
      </c>
      <c r="CE13" s="422">
        <v>3.6108770300000002</v>
      </c>
      <c r="CF13" s="422">
        <v>3.5909805399999999</v>
      </c>
      <c r="CG13" s="422">
        <v>-0.54314779999999996</v>
      </c>
      <c r="CH13" s="422">
        <v>1.08617E-2</v>
      </c>
      <c r="CI13" s="422">
        <v>0.59140932000000002</v>
      </c>
    </row>
    <row r="14" spans="1:87" ht="15" customHeight="1" x14ac:dyDescent="0.2">
      <c r="A14" s="297">
        <v>62009003</v>
      </c>
      <c r="B14" s="297" t="s">
        <v>608</v>
      </c>
      <c r="C14" s="297" t="s">
        <v>627</v>
      </c>
      <c r="D14" s="326" t="s">
        <v>778</v>
      </c>
      <c r="E14" s="283" t="s">
        <v>779</v>
      </c>
      <c r="F14" s="310" t="str">
        <f t="shared" si="24"/>
        <v>09/09/20</v>
      </c>
      <c r="G14" s="298" t="s">
        <v>780</v>
      </c>
      <c r="H14" s="298" t="s">
        <v>775</v>
      </c>
      <c r="I14" s="306"/>
      <c r="J14" s="299">
        <v>20.807516</v>
      </c>
      <c r="K14" s="299">
        <v>50.062151999999998</v>
      </c>
      <c r="L14" s="299">
        <v>29.509243000000001</v>
      </c>
      <c r="M14" s="299">
        <v>26.990438999999999</v>
      </c>
      <c r="N14" s="284">
        <v>3875</v>
      </c>
      <c r="O14" s="284">
        <v>28.39</v>
      </c>
      <c r="P14" s="284">
        <v>0.20169999999999999</v>
      </c>
      <c r="Q14" s="284">
        <v>1.932E-2</v>
      </c>
      <c r="R14" s="285">
        <v>3.8850716699999999</v>
      </c>
      <c r="S14" s="285">
        <f t="shared" si="0"/>
        <v>7.4960153599999995</v>
      </c>
      <c r="T14" s="314">
        <v>65.418385000000001</v>
      </c>
      <c r="U14" s="314">
        <v>64.600502000000006</v>
      </c>
      <c r="V14" s="289">
        <v>8677</v>
      </c>
      <c r="W14" s="289">
        <v>9239</v>
      </c>
      <c r="X14" s="289">
        <f t="shared" si="1"/>
        <v>562</v>
      </c>
      <c r="Y14" s="289">
        <f t="shared" si="2"/>
        <v>144.65627605783655</v>
      </c>
      <c r="Z14" s="308">
        <v>300.39999999999998</v>
      </c>
      <c r="AA14" s="289">
        <v>336.1</v>
      </c>
      <c r="AB14" s="289">
        <f t="shared" si="3"/>
        <v>35.700000000000045</v>
      </c>
      <c r="AC14" s="289">
        <f t="shared" si="4"/>
        <v>9.1890196712896284</v>
      </c>
      <c r="AD14" s="308">
        <v>268.29000000000002</v>
      </c>
      <c r="AE14" s="289">
        <v>299.77999999999997</v>
      </c>
      <c r="AF14" s="289">
        <f t="shared" si="5"/>
        <v>31.489999999999952</v>
      </c>
      <c r="AG14" s="289">
        <f t="shared" si="6"/>
        <v>8.1053845784008285</v>
      </c>
      <c r="AH14" s="308">
        <v>14.72</v>
      </c>
      <c r="AI14" s="289">
        <v>16.579999999999998</v>
      </c>
      <c r="AJ14" s="289">
        <f t="shared" si="7"/>
        <v>1.8599999999999977</v>
      </c>
      <c r="AK14" s="307">
        <f t="shared" si="8"/>
        <v>0.47875564673945842</v>
      </c>
      <c r="AL14" s="308">
        <v>127.6</v>
      </c>
      <c r="AM14" s="289">
        <v>127.6</v>
      </c>
      <c r="AN14" s="289">
        <f t="shared" si="9"/>
        <v>0</v>
      </c>
      <c r="AO14" s="307">
        <f t="shared" si="10"/>
        <v>0</v>
      </c>
      <c r="AP14" s="308">
        <v>309.39999999999998</v>
      </c>
      <c r="AQ14" s="289">
        <v>309.3</v>
      </c>
      <c r="AR14" s="289">
        <f t="shared" si="11"/>
        <v>-9.9999999999965894E-2</v>
      </c>
      <c r="AS14" s="307">
        <f t="shared" si="12"/>
        <v>-2.5739550899962136E-2</v>
      </c>
      <c r="AT14" s="308">
        <v>0.1</v>
      </c>
      <c r="AU14" s="289">
        <v>0.1</v>
      </c>
      <c r="AV14" s="289">
        <f t="shared" si="13"/>
        <v>0</v>
      </c>
      <c r="AW14" s="307">
        <f t="shared" si="14"/>
        <v>0</v>
      </c>
      <c r="AX14" s="308">
        <v>8683</v>
      </c>
      <c r="AY14" s="289">
        <v>9245</v>
      </c>
      <c r="AZ14" s="289">
        <f t="shared" si="15"/>
        <v>562</v>
      </c>
      <c r="BA14" s="307">
        <f t="shared" si="16"/>
        <v>144.65627605783655</v>
      </c>
      <c r="BB14" s="308">
        <v>19</v>
      </c>
      <c r="BC14" s="289">
        <v>20.2</v>
      </c>
      <c r="BD14" s="289">
        <f t="shared" si="17"/>
        <v>1.1999999999999993</v>
      </c>
      <c r="BE14" s="307">
        <f t="shared" si="18"/>
        <v>0.30887461079965078</v>
      </c>
      <c r="BF14" s="308">
        <v>0</v>
      </c>
      <c r="BG14" s="289">
        <v>0</v>
      </c>
      <c r="BH14" s="289">
        <f t="shared" si="19"/>
        <v>0</v>
      </c>
      <c r="BI14" s="307">
        <f t="shared" si="20"/>
        <v>0</v>
      </c>
      <c r="BJ14" s="281">
        <v>65.418385000000001</v>
      </c>
      <c r="BK14" s="281">
        <v>64.600502000000006</v>
      </c>
      <c r="BL14" s="281">
        <f t="shared" si="21"/>
        <v>-0.81788299999999481</v>
      </c>
      <c r="BM14" s="408">
        <v>0</v>
      </c>
      <c r="BN14" s="458">
        <v>0</v>
      </c>
      <c r="BO14" s="458">
        <f t="shared" si="22"/>
        <v>0</v>
      </c>
      <c r="BP14" s="408">
        <v>19</v>
      </c>
      <c r="BQ14" s="458">
        <v>20.2</v>
      </c>
      <c r="BR14" s="458">
        <f t="shared" si="23"/>
        <v>1.1999999999999993</v>
      </c>
      <c r="BS14" s="281"/>
      <c r="BT14" s="281"/>
      <c r="BU14" s="281"/>
      <c r="BV14" s="281"/>
      <c r="BW14" s="298" t="s">
        <v>713</v>
      </c>
      <c r="BX14" s="422">
        <v>1349.06133931</v>
      </c>
      <c r="BY14" s="422">
        <v>-0.78013341000000003</v>
      </c>
      <c r="BZ14" s="422">
        <v>3389.47345253</v>
      </c>
      <c r="CA14" s="422">
        <v>3416.1237752900001</v>
      </c>
      <c r="CB14" s="422">
        <v>2.7381725800000001</v>
      </c>
      <c r="CC14" s="422">
        <v>2.7416710499999999</v>
      </c>
      <c r="CD14" s="422">
        <v>0.65169779999999999</v>
      </c>
      <c r="CE14" s="422">
        <v>3.8849844899999999</v>
      </c>
      <c r="CF14" s="422">
        <v>3.8598300600000002</v>
      </c>
      <c r="CG14" s="422">
        <v>-0.78029713000000001</v>
      </c>
      <c r="CH14" s="422">
        <v>-0.12760363999999999</v>
      </c>
      <c r="CI14" s="422">
        <v>0.71727030000000003</v>
      </c>
    </row>
    <row r="15" spans="1:87" ht="15" customHeight="1" x14ac:dyDescent="0.2">
      <c r="A15" s="297">
        <v>62009003</v>
      </c>
      <c r="B15" s="297" t="s">
        <v>609</v>
      </c>
      <c r="C15" s="297" t="s">
        <v>628</v>
      </c>
      <c r="D15" s="326" t="s">
        <v>778</v>
      </c>
      <c r="E15" s="283" t="s">
        <v>779</v>
      </c>
      <c r="F15" s="310" t="str">
        <f t="shared" si="24"/>
        <v>09/09/20</v>
      </c>
      <c r="G15" s="298" t="s">
        <v>780</v>
      </c>
      <c r="H15" s="298" t="s">
        <v>775</v>
      </c>
      <c r="I15" s="306"/>
      <c r="J15" s="300">
        <f>AVERAGE(J13:J14)</f>
        <v>21.818649499999999</v>
      </c>
      <c r="K15" s="300">
        <f>AVERAGE(K13:K14)</f>
        <v>47.293672000000001</v>
      </c>
      <c r="L15" s="300">
        <f>AVERAGE(L13:L14)</f>
        <v>29.509740999999998</v>
      </c>
      <c r="M15" s="300">
        <f>AVERAGE(M13:M14)</f>
        <v>26.303314499999999</v>
      </c>
      <c r="N15" s="286"/>
      <c r="O15" s="284"/>
      <c r="P15" s="302"/>
      <c r="Q15" s="301"/>
      <c r="R15" s="287">
        <f>R14+R13</f>
        <v>7.4960153599999995</v>
      </c>
      <c r="S15" s="287">
        <f>S14</f>
        <v>7.4960153599999995</v>
      </c>
      <c r="T15" s="315">
        <f>T13</f>
        <v>66.402590000000004</v>
      </c>
      <c r="U15" s="315">
        <f>U14</f>
        <v>64.600502000000006</v>
      </c>
      <c r="V15" s="290">
        <f>V13</f>
        <v>8001</v>
      </c>
      <c r="W15" s="290">
        <f>W14</f>
        <v>9239</v>
      </c>
      <c r="X15" s="290">
        <f>SUM(X13:X14)</f>
        <v>1238</v>
      </c>
      <c r="Y15" s="290">
        <f t="shared" si="2"/>
        <v>165.1544107828509</v>
      </c>
      <c r="Z15" s="290">
        <f>Z13</f>
        <v>280.10000000000002</v>
      </c>
      <c r="AA15" s="290">
        <f>AA14</f>
        <v>336.1</v>
      </c>
      <c r="AB15" s="290">
        <f>SUM(AB13:AB14)</f>
        <v>56</v>
      </c>
      <c r="AC15" s="290">
        <f t="shared" si="4"/>
        <v>7.4706357058478607</v>
      </c>
      <c r="AD15" s="290">
        <f>AD13</f>
        <v>250.42</v>
      </c>
      <c r="AE15" s="290">
        <f>AE14</f>
        <v>299.77999999999997</v>
      </c>
      <c r="AF15" s="290">
        <f>SUM(AF13:AF14)</f>
        <v>49.356259999999992</v>
      </c>
      <c r="AG15" s="290">
        <f t="shared" si="6"/>
        <v>6.5843328261269729</v>
      </c>
      <c r="AH15" s="290">
        <f>AH13</f>
        <v>12.66</v>
      </c>
      <c r="AI15" s="290">
        <f>AI14</f>
        <v>16.579999999999998</v>
      </c>
      <c r="AJ15" s="290">
        <f>SUM(AJ13:AJ14)</f>
        <v>3.9199999999999982</v>
      </c>
      <c r="AK15" s="288">
        <f t="shared" si="8"/>
        <v>0.52294449940934995</v>
      </c>
      <c r="AL15" s="290">
        <f>AL13</f>
        <v>127.6</v>
      </c>
      <c r="AM15" s="290">
        <f>AM14</f>
        <v>127.6</v>
      </c>
      <c r="AN15" s="290">
        <f>SUM(AN13:AN14)</f>
        <v>0</v>
      </c>
      <c r="AO15" s="288">
        <f t="shared" si="10"/>
        <v>0</v>
      </c>
      <c r="AP15" s="290">
        <f>AP13</f>
        <v>309.39999999999998</v>
      </c>
      <c r="AQ15" s="290">
        <f>AQ14</f>
        <v>309.3</v>
      </c>
      <c r="AR15" s="290">
        <f>SUM(AR13:AR14)</f>
        <v>-9.9999999999965894E-2</v>
      </c>
      <c r="AS15" s="288">
        <f t="shared" si="12"/>
        <v>-1.3340420903295201E-2</v>
      </c>
      <c r="AT15" s="290">
        <f>AT13</f>
        <v>0</v>
      </c>
      <c r="AU15" s="290">
        <f>AU14</f>
        <v>0.1</v>
      </c>
      <c r="AV15" s="290">
        <f>SUM(AV13:AV14)</f>
        <v>0.1</v>
      </c>
      <c r="AW15" s="288">
        <f t="shared" si="14"/>
        <v>1.3340420903299751E-2</v>
      </c>
      <c r="AX15" s="290">
        <f>AX13</f>
        <v>8006</v>
      </c>
      <c r="AY15" s="290">
        <f>AY14</f>
        <v>9245</v>
      </c>
      <c r="AZ15" s="290">
        <f>SUM(AZ13:AZ14)</f>
        <v>1239</v>
      </c>
      <c r="BA15" s="288">
        <f t="shared" si="16"/>
        <v>165.28781499188392</v>
      </c>
      <c r="BB15" s="290">
        <f>BB13</f>
        <v>18.3</v>
      </c>
      <c r="BC15" s="290">
        <f>BC14</f>
        <v>20.2</v>
      </c>
      <c r="BD15" s="290">
        <f>SUM(BD13:BD14)</f>
        <v>1.8999999999999986</v>
      </c>
      <c r="BE15" s="288">
        <f t="shared" si="18"/>
        <v>0.25346799716269508</v>
      </c>
      <c r="BF15" s="290">
        <f>BF13</f>
        <v>0</v>
      </c>
      <c r="BG15" s="290">
        <f>BG14</f>
        <v>0</v>
      </c>
      <c r="BH15" s="290">
        <f>SUM(BH13:BH14)</f>
        <v>0</v>
      </c>
      <c r="BI15" s="288">
        <f t="shared" si="20"/>
        <v>0</v>
      </c>
      <c r="BJ15" s="282"/>
      <c r="BK15" s="282"/>
      <c r="BL15" s="282">
        <f>SUM(BL13:BL14)</f>
        <v>-1.8020879999999977</v>
      </c>
      <c r="BM15" s="459">
        <f>BM13</f>
        <v>0</v>
      </c>
      <c r="BN15" s="459">
        <f>BN14</f>
        <v>0</v>
      </c>
      <c r="BO15" s="459">
        <f>SUM(BO13:BO14)</f>
        <v>0</v>
      </c>
      <c r="BP15" s="459">
        <f>BP13</f>
        <v>18.3</v>
      </c>
      <c r="BQ15" s="459">
        <f>BQ14</f>
        <v>20.2</v>
      </c>
      <c r="BR15" s="459">
        <f>SUM(BR13:BR14)</f>
        <v>1.8999999999999986</v>
      </c>
      <c r="BS15" s="282"/>
      <c r="BT15" s="282"/>
      <c r="BU15" s="282"/>
      <c r="BV15" s="282"/>
      <c r="BW15" s="298" t="s">
        <v>713</v>
      </c>
    </row>
    <row r="16" spans="1:87" ht="15" customHeight="1" x14ac:dyDescent="0.2">
      <c r="A16" s="297">
        <v>62009003</v>
      </c>
      <c r="B16" s="297" t="s">
        <v>610</v>
      </c>
      <c r="C16" s="297" t="s">
        <v>629</v>
      </c>
      <c r="D16" s="326" t="s">
        <v>778</v>
      </c>
      <c r="E16" s="283" t="s">
        <v>779</v>
      </c>
      <c r="F16" s="310" t="str">
        <f t="shared" si="24"/>
        <v>09/09/20</v>
      </c>
      <c r="G16" s="298" t="s">
        <v>780</v>
      </c>
      <c r="H16" s="298" t="s">
        <v>775</v>
      </c>
      <c r="I16" s="306"/>
      <c r="J16" s="299">
        <v>25.139011</v>
      </c>
      <c r="K16" s="299">
        <v>38.991883999999999</v>
      </c>
      <c r="L16" s="299">
        <v>29.511351000000001</v>
      </c>
      <c r="M16" s="299">
        <v>28.598151000000001</v>
      </c>
      <c r="N16" s="284">
        <v>3875</v>
      </c>
      <c r="O16" s="284">
        <v>28.39</v>
      </c>
      <c r="P16" s="284">
        <v>0.20169999999999999</v>
      </c>
      <c r="Q16" s="284">
        <v>1.932E-2</v>
      </c>
      <c r="R16" s="285">
        <v>10.31371628</v>
      </c>
      <c r="S16" s="285">
        <f>R16+R15</f>
        <v>17.809731639999999</v>
      </c>
      <c r="T16" s="314">
        <v>64.598975999999993</v>
      </c>
      <c r="U16" s="314">
        <v>61.609738</v>
      </c>
      <c r="V16" s="289">
        <v>9240</v>
      </c>
      <c r="W16" s="289">
        <v>11281</v>
      </c>
      <c r="X16" s="289">
        <f>W16-V16</f>
        <v>2041</v>
      </c>
      <c r="Y16" s="289">
        <f t="shared" si="2"/>
        <v>197.89181169912888</v>
      </c>
      <c r="Z16" s="308">
        <v>336.8</v>
      </c>
      <c r="AA16" s="289">
        <v>370.2</v>
      </c>
      <c r="AB16" s="289">
        <f>AA16-Z16</f>
        <v>33.399999999999977</v>
      </c>
      <c r="AC16" s="289">
        <f t="shared" si="4"/>
        <v>3.2384059337339051</v>
      </c>
      <c r="AD16" s="308">
        <v>300.42</v>
      </c>
      <c r="AE16" s="289">
        <v>329.95522499999998</v>
      </c>
      <c r="AF16" s="289">
        <f>AE16-AD16</f>
        <v>29.535224999999969</v>
      </c>
      <c r="AG16" s="289">
        <f t="shared" si="6"/>
        <v>2.8636840686876033</v>
      </c>
      <c r="AH16" s="308">
        <v>16.600000000000001</v>
      </c>
      <c r="AI16" s="289">
        <v>17.73</v>
      </c>
      <c r="AJ16" s="289">
        <f>AI16-AH16</f>
        <v>1.129999999999999</v>
      </c>
      <c r="AK16" s="307">
        <f t="shared" si="8"/>
        <v>0.10956283548261414</v>
      </c>
      <c r="AL16" s="308">
        <v>127.6</v>
      </c>
      <c r="AM16" s="289">
        <v>127.5</v>
      </c>
      <c r="AN16" s="289">
        <f>AM16-AL16</f>
        <v>-9.9999999999994316E-2</v>
      </c>
      <c r="AO16" s="307">
        <f t="shared" si="10"/>
        <v>-9.695826148903363E-3</v>
      </c>
      <c r="AP16" s="308">
        <v>309.3</v>
      </c>
      <c r="AQ16" s="289">
        <v>309.3</v>
      </c>
      <c r="AR16" s="289">
        <f>AQ16-AP16</f>
        <v>0</v>
      </c>
      <c r="AS16" s="307">
        <f t="shared" si="12"/>
        <v>0</v>
      </c>
      <c r="AT16" s="308">
        <v>0.1</v>
      </c>
      <c r="AU16" s="289">
        <v>0</v>
      </c>
      <c r="AV16" s="289">
        <f>AU16-AT16</f>
        <v>-0.1</v>
      </c>
      <c r="AW16" s="307">
        <f t="shared" si="14"/>
        <v>-9.6958261489039146E-3</v>
      </c>
      <c r="AX16" s="308">
        <v>9245</v>
      </c>
      <c r="AY16" s="289">
        <v>11288</v>
      </c>
      <c r="AZ16" s="289">
        <f>AY16-AX16</f>
        <v>2043</v>
      </c>
      <c r="BA16" s="307">
        <f t="shared" si="16"/>
        <v>198.08572822210698</v>
      </c>
      <c r="BB16" s="308">
        <v>20.2</v>
      </c>
      <c r="BC16" s="289">
        <v>21.3</v>
      </c>
      <c r="BD16" s="289">
        <f>BC16-BB16</f>
        <v>1.1000000000000014</v>
      </c>
      <c r="BE16" s="307">
        <f t="shared" si="18"/>
        <v>0.10665408763794319</v>
      </c>
      <c r="BF16" s="308">
        <v>0</v>
      </c>
      <c r="BG16" s="289">
        <v>0</v>
      </c>
      <c r="BH16" s="289">
        <f>BG16-BF16</f>
        <v>0</v>
      </c>
      <c r="BI16" s="307">
        <f t="shared" si="20"/>
        <v>0</v>
      </c>
      <c r="BJ16" s="281">
        <v>64.598975999999993</v>
      </c>
      <c r="BK16" s="281">
        <v>61.609738</v>
      </c>
      <c r="BL16" s="281">
        <f>BK16-BJ16</f>
        <v>-2.9892379999999932</v>
      </c>
      <c r="BM16" s="408">
        <v>0</v>
      </c>
      <c r="BN16" s="458">
        <v>0</v>
      </c>
      <c r="BO16" s="458">
        <f>BN16-BM16</f>
        <v>0</v>
      </c>
      <c r="BP16" s="408">
        <v>20.2</v>
      </c>
      <c r="BQ16" s="458">
        <v>21.3</v>
      </c>
      <c r="BR16" s="458">
        <f>BQ16-BP16</f>
        <v>1.1000000000000014</v>
      </c>
      <c r="BS16" s="281"/>
      <c r="BT16" s="281"/>
      <c r="BU16" s="281"/>
      <c r="BV16" s="281"/>
      <c r="BW16" s="298" t="s">
        <v>713</v>
      </c>
      <c r="BX16" s="422">
        <v>1772.9531508299999</v>
      </c>
      <c r="BY16" s="422">
        <v>1.9799438</v>
      </c>
      <c r="BZ16" s="422">
        <v>1332.5873895499999</v>
      </c>
      <c r="CA16" s="422">
        <v>1306.7151636599999</v>
      </c>
      <c r="CB16" s="422">
        <v>7.3982251899999998</v>
      </c>
      <c r="CC16" s="422">
        <v>7.3153866299999999</v>
      </c>
      <c r="CD16" s="422">
        <v>0.55679659999999997</v>
      </c>
      <c r="CE16" s="422">
        <v>10.3137892</v>
      </c>
      <c r="CF16" s="422">
        <v>10.25668035</v>
      </c>
      <c r="CG16" s="422">
        <v>0.56914642000000004</v>
      </c>
      <c r="CH16" s="422">
        <v>1.13238796</v>
      </c>
      <c r="CI16" s="422">
        <v>0.28264929999999999</v>
      </c>
    </row>
    <row r="17" spans="1:87" ht="15" customHeight="1" x14ac:dyDescent="0.2">
      <c r="A17" s="297">
        <v>62009003</v>
      </c>
      <c r="B17" s="297" t="s">
        <v>611</v>
      </c>
      <c r="C17" s="297" t="s">
        <v>630</v>
      </c>
      <c r="D17" s="326" t="s">
        <v>778</v>
      </c>
      <c r="E17" s="283" t="s">
        <v>779</v>
      </c>
      <c r="F17" s="310" t="str">
        <f t="shared" si="24"/>
        <v>09/09/20</v>
      </c>
      <c r="G17" s="298" t="s">
        <v>780</v>
      </c>
      <c r="H17" s="298" t="s">
        <v>775</v>
      </c>
      <c r="I17" s="306"/>
      <c r="J17" s="299">
        <v>20.648167000000001</v>
      </c>
      <c r="K17" s="299">
        <v>50.928899999999999</v>
      </c>
      <c r="L17" s="299">
        <v>29.497665999999999</v>
      </c>
      <c r="M17" s="299">
        <v>28.179908000000001</v>
      </c>
      <c r="N17" s="284">
        <v>3875</v>
      </c>
      <c r="O17" s="284">
        <v>28.39</v>
      </c>
      <c r="P17" s="284">
        <v>0.20169999999999999</v>
      </c>
      <c r="Q17" s="284">
        <v>1.932E-2</v>
      </c>
      <c r="R17" s="285">
        <v>3.6115552000000002</v>
      </c>
      <c r="S17" s="285">
        <f>R17+R16</f>
        <v>13.925271479999999</v>
      </c>
      <c r="T17" s="314">
        <v>61.602108999999999</v>
      </c>
      <c r="U17" s="314">
        <v>60.584333999999998</v>
      </c>
      <c r="V17" s="289">
        <v>11287</v>
      </c>
      <c r="W17" s="289">
        <v>11972</v>
      </c>
      <c r="X17" s="289">
        <f>W17-V17</f>
        <v>685</v>
      </c>
      <c r="Y17" s="289">
        <f t="shared" si="2"/>
        <v>189.66898249263917</v>
      </c>
      <c r="Z17" s="308">
        <v>375.7</v>
      </c>
      <c r="AA17" s="289">
        <v>436.8</v>
      </c>
      <c r="AB17" s="289">
        <f>AA17-Z17</f>
        <v>61.100000000000023</v>
      </c>
      <c r="AC17" s="289">
        <f t="shared" si="4"/>
        <v>16.917919460292346</v>
      </c>
      <c r="AD17" s="308">
        <v>334.88488100000001</v>
      </c>
      <c r="AE17" s="289">
        <v>390.51</v>
      </c>
      <c r="AF17" s="289">
        <f>AE17-AD17</f>
        <v>55.625118999999984</v>
      </c>
      <c r="AG17" s="289">
        <f t="shared" si="6"/>
        <v>15.401984995272946</v>
      </c>
      <c r="AH17" s="308">
        <v>20.255119000000001</v>
      </c>
      <c r="AI17" s="289">
        <v>1.81</v>
      </c>
      <c r="AJ17" s="289">
        <f>AI17-AH17</f>
        <v>-18.445119000000002</v>
      </c>
      <c r="AK17" s="307">
        <f t="shared" si="8"/>
        <v>-5.1072510258184618</v>
      </c>
      <c r="AL17" s="308">
        <v>127.5</v>
      </c>
      <c r="AM17" s="289">
        <v>127.5</v>
      </c>
      <c r="AN17" s="289">
        <f>AM17-AL17</f>
        <v>0</v>
      </c>
      <c r="AO17" s="307">
        <f t="shared" si="10"/>
        <v>0</v>
      </c>
      <c r="AP17" s="308">
        <v>309.5</v>
      </c>
      <c r="AQ17" s="289">
        <v>309.5</v>
      </c>
      <c r="AR17" s="289">
        <f>AQ17-AP17</f>
        <v>0</v>
      </c>
      <c r="AS17" s="307">
        <f t="shared" si="12"/>
        <v>0</v>
      </c>
      <c r="AT17" s="308">
        <v>0.1</v>
      </c>
      <c r="AU17" s="289">
        <v>0.1</v>
      </c>
      <c r="AV17" s="289">
        <f>AU17-AT17</f>
        <v>0</v>
      </c>
      <c r="AW17" s="307">
        <f t="shared" si="14"/>
        <v>0</v>
      </c>
      <c r="AX17" s="308">
        <v>11294</v>
      </c>
      <c r="AY17" s="289">
        <v>11978</v>
      </c>
      <c r="AZ17" s="289">
        <f>AY17-AX17</f>
        <v>684</v>
      </c>
      <c r="BA17" s="307">
        <f t="shared" si="16"/>
        <v>189.39209346710248</v>
      </c>
      <c r="BB17" s="308">
        <v>22.1</v>
      </c>
      <c r="BC17" s="289">
        <v>22.8</v>
      </c>
      <c r="BD17" s="289">
        <f>BC17-BB17</f>
        <v>0.69999999999999929</v>
      </c>
      <c r="BE17" s="307">
        <f t="shared" si="18"/>
        <v>0.19382231787568946</v>
      </c>
      <c r="BF17" s="308">
        <v>0</v>
      </c>
      <c r="BG17" s="289">
        <v>0</v>
      </c>
      <c r="BH17" s="289">
        <f>BG17-BF17</f>
        <v>0</v>
      </c>
      <c r="BI17" s="307">
        <f t="shared" si="20"/>
        <v>0</v>
      </c>
      <c r="BJ17" s="281">
        <v>61.602108999999999</v>
      </c>
      <c r="BK17" s="281">
        <v>60.584333999999998</v>
      </c>
      <c r="BL17" s="281">
        <f>BK17-BJ17</f>
        <v>-1.0177750000000003</v>
      </c>
      <c r="BM17" s="408">
        <v>0</v>
      </c>
      <c r="BN17" s="458">
        <v>0</v>
      </c>
      <c r="BO17" s="458">
        <f>BN17-BM17</f>
        <v>0</v>
      </c>
      <c r="BP17" s="408">
        <v>22.1</v>
      </c>
      <c r="BQ17" s="458">
        <v>22.8</v>
      </c>
      <c r="BR17" s="458">
        <f>BQ17-BP17</f>
        <v>0.69999999999999929</v>
      </c>
      <c r="BS17" s="281"/>
      <c r="BT17" s="281"/>
      <c r="BU17" s="281"/>
      <c r="BV17" s="281"/>
      <c r="BW17" s="298" t="s">
        <v>713</v>
      </c>
      <c r="BX17" s="422">
        <v>2196.1828887299998</v>
      </c>
      <c r="BY17" s="422">
        <v>-0.67067012000000004</v>
      </c>
      <c r="BZ17" s="422">
        <v>2034.90878344</v>
      </c>
      <c r="CA17" s="422">
        <v>2048.6484564500001</v>
      </c>
      <c r="CB17" s="422">
        <v>2.9679521599999998</v>
      </c>
      <c r="CC17" s="422">
        <v>2.9656571899999999</v>
      </c>
      <c r="CD17" s="422">
        <v>0.57178777999999997</v>
      </c>
      <c r="CE17" s="422">
        <v>3.6115125899999998</v>
      </c>
      <c r="CF17" s="422">
        <v>3.5909798099999999</v>
      </c>
      <c r="CG17" s="422">
        <v>-0.49402028999999997</v>
      </c>
      <c r="CH17" s="422">
        <v>7.7385200000000001E-2</v>
      </c>
      <c r="CI17" s="422">
        <v>0.59138133999999998</v>
      </c>
    </row>
    <row r="18" spans="1:87" ht="15" customHeight="1" x14ac:dyDescent="0.2">
      <c r="A18" s="297">
        <v>62009003</v>
      </c>
      <c r="B18" s="297" t="s">
        <v>224</v>
      </c>
      <c r="C18" s="297" t="s">
        <v>631</v>
      </c>
      <c r="D18" s="326" t="s">
        <v>778</v>
      </c>
      <c r="E18" s="283" t="s">
        <v>779</v>
      </c>
      <c r="F18" s="310" t="str">
        <f t="shared" si="24"/>
        <v>09/09/20</v>
      </c>
      <c r="G18" s="298" t="s">
        <v>780</v>
      </c>
      <c r="H18" s="298" t="s">
        <v>775</v>
      </c>
      <c r="I18" s="306"/>
      <c r="J18" s="299">
        <v>19.556645</v>
      </c>
      <c r="K18" s="299">
        <v>54.396419000000002</v>
      </c>
      <c r="L18" s="299">
        <v>29.498249999999999</v>
      </c>
      <c r="M18" s="299">
        <v>27.452849000000001</v>
      </c>
      <c r="N18" s="284">
        <v>3875</v>
      </c>
      <c r="O18" s="284">
        <v>28.39</v>
      </c>
      <c r="P18" s="284">
        <v>0.20169999999999999</v>
      </c>
      <c r="Q18" s="284">
        <v>1.932E-2</v>
      </c>
      <c r="R18" s="285">
        <v>3.8848195599999999</v>
      </c>
      <c r="S18" s="285">
        <f>R18+R17</f>
        <v>7.4963747600000001</v>
      </c>
      <c r="T18" s="314">
        <v>60.584333999999998</v>
      </c>
      <c r="U18" s="314">
        <v>59.690156000000002</v>
      </c>
      <c r="V18" s="289">
        <v>11972</v>
      </c>
      <c r="W18" s="289">
        <v>12570</v>
      </c>
      <c r="X18" s="289">
        <f>W18-V18</f>
        <v>598</v>
      </c>
      <c r="Y18" s="289">
        <f t="shared" si="2"/>
        <v>153.93250336702897</v>
      </c>
      <c r="Z18" s="308">
        <v>436.84804000000003</v>
      </c>
      <c r="AA18" s="289">
        <v>519.79999999999995</v>
      </c>
      <c r="AB18" s="289">
        <f>AA18-Z18</f>
        <v>82.951959999999929</v>
      </c>
      <c r="AC18" s="289">
        <f t="shared" si="4"/>
        <v>21.352847595320473</v>
      </c>
      <c r="AD18" s="308">
        <v>390.52441199999998</v>
      </c>
      <c r="AE18" s="289">
        <v>465.91409299999998</v>
      </c>
      <c r="AF18" s="289">
        <f>AE18-AD18</f>
        <v>75.389680999999996</v>
      </c>
      <c r="AG18" s="289">
        <f t="shared" si="6"/>
        <v>19.406224622695216</v>
      </c>
      <c r="AH18" s="308">
        <v>1.805196</v>
      </c>
      <c r="AI18" s="289">
        <v>-11.3</v>
      </c>
      <c r="AJ18" s="289">
        <f>AI18-AH18</f>
        <v>-13.105196000000001</v>
      </c>
      <c r="AK18" s="307">
        <f t="shared" si="8"/>
        <v>-3.3734375040059779</v>
      </c>
      <c r="AL18" s="308">
        <v>127.5</v>
      </c>
      <c r="AM18" s="289">
        <v>127.5</v>
      </c>
      <c r="AN18" s="289">
        <f>AM18-AL18</f>
        <v>0</v>
      </c>
      <c r="AO18" s="307">
        <f t="shared" si="10"/>
        <v>0</v>
      </c>
      <c r="AP18" s="308">
        <v>309.5</v>
      </c>
      <c r="AQ18" s="289">
        <v>309.5</v>
      </c>
      <c r="AR18" s="289">
        <f>AQ18-AP18</f>
        <v>0</v>
      </c>
      <c r="AS18" s="307">
        <f t="shared" si="12"/>
        <v>0</v>
      </c>
      <c r="AT18" s="308">
        <v>0.1</v>
      </c>
      <c r="AU18" s="289">
        <v>0.1</v>
      </c>
      <c r="AV18" s="289">
        <f>AU18-AT18</f>
        <v>0</v>
      </c>
      <c r="AW18" s="307">
        <f t="shared" si="14"/>
        <v>0</v>
      </c>
      <c r="AX18" s="308">
        <v>11978</v>
      </c>
      <c r="AY18" s="289">
        <v>12577</v>
      </c>
      <c r="AZ18" s="289">
        <f>AY18-AX18</f>
        <v>599</v>
      </c>
      <c r="BA18" s="307">
        <f t="shared" si="16"/>
        <v>154.18991558001733</v>
      </c>
      <c r="BB18" s="308">
        <v>22.8</v>
      </c>
      <c r="BC18" s="289">
        <v>24</v>
      </c>
      <c r="BD18" s="289">
        <f>BC18-BB18</f>
        <v>1.1999999999999993</v>
      </c>
      <c r="BE18" s="307">
        <f t="shared" si="18"/>
        <v>0.30889465558601115</v>
      </c>
      <c r="BF18" s="308">
        <v>0</v>
      </c>
      <c r="BG18" s="289">
        <v>0</v>
      </c>
      <c r="BH18" s="289">
        <f>BG18-BF18</f>
        <v>0</v>
      </c>
      <c r="BI18" s="307">
        <f t="shared" si="20"/>
        <v>0</v>
      </c>
      <c r="BJ18" s="281">
        <v>60.584333999999998</v>
      </c>
      <c r="BK18" s="281">
        <v>59.690156000000002</v>
      </c>
      <c r="BL18" s="281">
        <f>BK18-BJ18</f>
        <v>-0.89417799999999659</v>
      </c>
      <c r="BM18" s="408">
        <v>0</v>
      </c>
      <c r="BN18" s="458">
        <v>0</v>
      </c>
      <c r="BO18" s="458">
        <f>BN18-BM18</f>
        <v>0</v>
      </c>
      <c r="BP18" s="408">
        <v>22.8</v>
      </c>
      <c r="BQ18" s="458">
        <v>24</v>
      </c>
      <c r="BR18" s="458">
        <f>BQ18-BP18</f>
        <v>1.1999999999999993</v>
      </c>
      <c r="BS18" s="281"/>
      <c r="BT18" s="281"/>
      <c r="BU18" s="281"/>
      <c r="BV18" s="281"/>
      <c r="BW18" s="298" t="s">
        <v>713</v>
      </c>
      <c r="BX18" s="422">
        <v>1348.21905455</v>
      </c>
      <c r="BY18" s="422">
        <v>-0.68417623000000005</v>
      </c>
      <c r="BZ18" s="422">
        <v>3392.62240019</v>
      </c>
      <c r="CA18" s="422">
        <v>3415.9938180099998</v>
      </c>
      <c r="CB18" s="422">
        <v>2.74128762</v>
      </c>
      <c r="CC18" s="422">
        <v>2.7414875400000001</v>
      </c>
      <c r="CD18" s="422">
        <v>0.64382444000000005</v>
      </c>
      <c r="CE18" s="422">
        <v>3.8846800500000001</v>
      </c>
      <c r="CF18" s="422">
        <v>3.8598295299999998</v>
      </c>
      <c r="CG18" s="422">
        <v>-0.65116408000000003</v>
      </c>
      <c r="CH18" s="422">
        <v>-7.2921499999999998E-3</v>
      </c>
      <c r="CI18" s="422">
        <v>0.71728046999999995</v>
      </c>
    </row>
    <row r="19" spans="1:87" ht="15" customHeight="1" x14ac:dyDescent="0.2">
      <c r="A19" s="297">
        <v>62009003</v>
      </c>
      <c r="B19" s="297" t="s">
        <v>612</v>
      </c>
      <c r="C19" s="297" t="s">
        <v>632</v>
      </c>
      <c r="D19" s="326" t="s">
        <v>778</v>
      </c>
      <c r="E19" s="283" t="s">
        <v>779</v>
      </c>
      <c r="F19" s="310" t="str">
        <f t="shared" si="24"/>
        <v>09/09/20</v>
      </c>
      <c r="G19" s="298" t="s">
        <v>780</v>
      </c>
      <c r="H19" s="298" t="s">
        <v>775</v>
      </c>
      <c r="I19" s="306"/>
      <c r="J19" s="300">
        <f>AVERAGE(J17:J18)</f>
        <v>20.102406000000002</v>
      </c>
      <c r="K19" s="300">
        <f>AVERAGE(K17:K18)</f>
        <v>52.662659500000004</v>
      </c>
      <c r="L19" s="300">
        <f>AVERAGE(L17:L18)</f>
        <v>29.497957999999997</v>
      </c>
      <c r="M19" s="300">
        <f>AVERAGE(M17:M18)</f>
        <v>27.816378499999999</v>
      </c>
      <c r="N19" s="286"/>
      <c r="O19" s="284"/>
      <c r="P19" s="302"/>
      <c r="Q19" s="301"/>
      <c r="R19" s="287">
        <f>R18+R17</f>
        <v>7.4963747600000001</v>
      </c>
      <c r="S19" s="287">
        <f>S18</f>
        <v>7.4963747600000001</v>
      </c>
      <c r="T19" s="315">
        <f>T17</f>
        <v>61.602108999999999</v>
      </c>
      <c r="U19" s="315">
        <f>U18</f>
        <v>59.690156000000002</v>
      </c>
      <c r="V19" s="290">
        <f>V17</f>
        <v>11287</v>
      </c>
      <c r="W19" s="290">
        <f>W18</f>
        <v>12570</v>
      </c>
      <c r="X19" s="290">
        <f>SUM(X17:X18)</f>
        <v>1283</v>
      </c>
      <c r="Y19" s="290">
        <f t="shared" si="2"/>
        <v>171.14939435071679</v>
      </c>
      <c r="Z19" s="290">
        <f>Z17</f>
        <v>375.7</v>
      </c>
      <c r="AA19" s="290">
        <f>AA18</f>
        <v>519.79999999999995</v>
      </c>
      <c r="AB19" s="290">
        <f>SUM(AB17:AB18)</f>
        <v>144.05195999999995</v>
      </c>
      <c r="AC19" s="290">
        <f t="shared" si="4"/>
        <v>19.216216452871141</v>
      </c>
      <c r="AD19" s="290">
        <f>AD17</f>
        <v>334.88488100000001</v>
      </c>
      <c r="AE19" s="290">
        <f>AE18</f>
        <v>465.91409299999998</v>
      </c>
      <c r="AF19" s="290">
        <f>SUM(AF17:AF18)</f>
        <v>131.01479999999998</v>
      </c>
      <c r="AG19" s="290">
        <f t="shared" si="6"/>
        <v>17.477087818379022</v>
      </c>
      <c r="AH19" s="290">
        <f>AH17</f>
        <v>20.255119000000001</v>
      </c>
      <c r="AI19" s="290">
        <f>AI18</f>
        <v>-11.3</v>
      </c>
      <c r="AJ19" s="290">
        <f>SUM(AJ17:AJ18)</f>
        <v>-31.550315000000005</v>
      </c>
      <c r="AK19" s="288">
        <f t="shared" si="8"/>
        <v>-4.2087430271428961</v>
      </c>
      <c r="AL19" s="290">
        <f>AL17</f>
        <v>127.5</v>
      </c>
      <c r="AM19" s="290">
        <f>AM18</f>
        <v>127.5</v>
      </c>
      <c r="AN19" s="290">
        <f>SUM(AN17:AN18)</f>
        <v>0</v>
      </c>
      <c r="AO19" s="288">
        <f t="shared" si="10"/>
        <v>0</v>
      </c>
      <c r="AP19" s="290">
        <f>AP17</f>
        <v>309.5</v>
      </c>
      <c r="AQ19" s="290">
        <f>AQ18</f>
        <v>309.5</v>
      </c>
      <c r="AR19" s="290">
        <f>SUM(AR17:AR18)</f>
        <v>0</v>
      </c>
      <c r="AS19" s="288">
        <f t="shared" si="12"/>
        <v>0</v>
      </c>
      <c r="AT19" s="290">
        <f>AT17</f>
        <v>0.1</v>
      </c>
      <c r="AU19" s="290">
        <f>AU18</f>
        <v>0.1</v>
      </c>
      <c r="AV19" s="290">
        <f>SUM(AV17:AV18)</f>
        <v>0</v>
      </c>
      <c r="AW19" s="288">
        <f t="shared" si="14"/>
        <v>0</v>
      </c>
      <c r="AX19" s="290">
        <f>AX17</f>
        <v>11294</v>
      </c>
      <c r="AY19" s="290">
        <f>AY18</f>
        <v>12577</v>
      </c>
      <c r="AZ19" s="290">
        <f>SUM(AZ17:AZ18)</f>
        <v>1283</v>
      </c>
      <c r="BA19" s="288">
        <f t="shared" si="16"/>
        <v>171.14939435071679</v>
      </c>
      <c r="BB19" s="290">
        <f>BB17</f>
        <v>22.1</v>
      </c>
      <c r="BC19" s="290">
        <f>BC18</f>
        <v>24</v>
      </c>
      <c r="BD19" s="290">
        <f>SUM(BD17:BD18)</f>
        <v>1.8999999999999986</v>
      </c>
      <c r="BE19" s="288">
        <f t="shared" si="18"/>
        <v>0.25345584510238633</v>
      </c>
      <c r="BF19" s="290">
        <f>BF17</f>
        <v>0</v>
      </c>
      <c r="BG19" s="290">
        <f>BG18</f>
        <v>0</v>
      </c>
      <c r="BH19" s="290">
        <f>SUM(BH17:BH18)</f>
        <v>0</v>
      </c>
      <c r="BI19" s="288">
        <f t="shared" si="20"/>
        <v>0</v>
      </c>
      <c r="BJ19" s="282"/>
      <c r="BK19" s="282"/>
      <c r="BL19" s="282">
        <f>SUM(BL17:BL18)</f>
        <v>-1.9119529999999969</v>
      </c>
      <c r="BM19" s="459">
        <f>BM17</f>
        <v>0</v>
      </c>
      <c r="BN19" s="459">
        <f>BN18</f>
        <v>0</v>
      </c>
      <c r="BO19" s="459">
        <f>SUM(BO17:BO18)</f>
        <v>0</v>
      </c>
      <c r="BP19" s="459">
        <f>BP17</f>
        <v>22.1</v>
      </c>
      <c r="BQ19" s="459">
        <f>BQ18</f>
        <v>24</v>
      </c>
      <c r="BR19" s="459">
        <f>SUM(BR17:BR18)</f>
        <v>1.8999999999999986</v>
      </c>
      <c r="BS19" s="282"/>
      <c r="BT19" s="282"/>
      <c r="BU19" s="282"/>
      <c r="BV19" s="282"/>
      <c r="BW19" s="298" t="s">
        <v>713</v>
      </c>
    </row>
    <row r="20" spans="1:87" ht="15" customHeight="1" x14ac:dyDescent="0.2">
      <c r="A20" s="297">
        <v>62009003</v>
      </c>
      <c r="B20" s="297" t="s">
        <v>613</v>
      </c>
      <c r="C20" s="297" t="s">
        <v>633</v>
      </c>
      <c r="D20" s="326" t="s">
        <v>778</v>
      </c>
      <c r="E20" s="283" t="s">
        <v>779</v>
      </c>
      <c r="F20" s="310" t="str">
        <f t="shared" si="24"/>
        <v>09/09/20</v>
      </c>
      <c r="G20" s="298" t="s">
        <v>780</v>
      </c>
      <c r="H20" s="298" t="s">
        <v>775</v>
      </c>
      <c r="I20" s="306"/>
      <c r="J20" s="299">
        <v>22.959333000000001</v>
      </c>
      <c r="K20" s="299">
        <v>44.149405000000002</v>
      </c>
      <c r="L20" s="299">
        <v>29.498956</v>
      </c>
      <c r="M20" s="299">
        <v>29.720614999999999</v>
      </c>
      <c r="N20" s="284">
        <v>3875</v>
      </c>
      <c r="O20" s="284">
        <v>28.39</v>
      </c>
      <c r="P20" s="284">
        <v>0.20169999999999999</v>
      </c>
      <c r="Q20" s="284">
        <v>1.932E-2</v>
      </c>
      <c r="R20" s="285">
        <v>1.7783290899999999</v>
      </c>
      <c r="S20" s="285">
        <f>R20+R19</f>
        <v>9.2747038499999999</v>
      </c>
      <c r="T20" s="314">
        <v>59.676423</v>
      </c>
      <c r="U20" s="314">
        <v>56.328598</v>
      </c>
      <c r="V20" s="289">
        <v>12579</v>
      </c>
      <c r="W20" s="289">
        <v>14803</v>
      </c>
      <c r="X20" s="289">
        <f>W20-V20-X21</f>
        <v>485</v>
      </c>
      <c r="Y20" s="289">
        <f t="shared" si="2"/>
        <v>272.72792349137131</v>
      </c>
      <c r="Z20" s="308">
        <v>528.29999999999995</v>
      </c>
      <c r="AA20" s="289">
        <v>582.29999999999995</v>
      </c>
      <c r="AB20" s="289">
        <f>AA20-Z20-AB21</f>
        <v>21</v>
      </c>
      <c r="AC20" s="289">
        <f t="shared" si="4"/>
        <v>11.808837924368657</v>
      </c>
      <c r="AD20" s="308">
        <v>473.67272000000003</v>
      </c>
      <c r="AE20" s="289">
        <v>522.80368299999998</v>
      </c>
      <c r="AF20" s="289">
        <f>AE20-AD20-AF21</f>
        <v>19.151206000000002</v>
      </c>
      <c r="AG20" s="289">
        <f t="shared" si="6"/>
        <v>10.769213700485551</v>
      </c>
      <c r="AH20" s="308">
        <v>-12.21</v>
      </c>
      <c r="AI20" s="289">
        <v>-17.14</v>
      </c>
      <c r="AJ20" s="289">
        <f>AI20-AH20-AJ21</f>
        <v>-1.9600000000000009</v>
      </c>
      <c r="AK20" s="307">
        <f t="shared" si="8"/>
        <v>-1.1021582062744084</v>
      </c>
      <c r="AL20" s="308">
        <v>127.5</v>
      </c>
      <c r="AM20" s="289">
        <v>127.4</v>
      </c>
      <c r="AN20" s="289">
        <f>AM20-AL20-AN21</f>
        <v>-9.9999999999994316E-2</v>
      </c>
      <c r="AO20" s="307">
        <f t="shared" si="10"/>
        <v>-5.6232561544609448E-2</v>
      </c>
      <c r="AP20" s="308">
        <v>309.5</v>
      </c>
      <c r="AQ20" s="289">
        <v>309.5</v>
      </c>
      <c r="AR20" s="289">
        <f>AQ20-AP20-AR21</f>
        <v>0</v>
      </c>
      <c r="AS20" s="307">
        <f t="shared" si="12"/>
        <v>0</v>
      </c>
      <c r="AT20" s="308">
        <v>0.1</v>
      </c>
      <c r="AU20" s="289">
        <v>0.1</v>
      </c>
      <c r="AV20" s="289">
        <f>AU20-AT20-AV21</f>
        <v>0</v>
      </c>
      <c r="AW20" s="307">
        <f t="shared" si="14"/>
        <v>0</v>
      </c>
      <c r="AX20" s="308">
        <v>12586</v>
      </c>
      <c r="AY20" s="289">
        <v>14812</v>
      </c>
      <c r="AZ20" s="289">
        <f>AY20-AX20-AZ21</f>
        <v>486</v>
      </c>
      <c r="BA20" s="307">
        <f t="shared" si="16"/>
        <v>273.29024910681744</v>
      </c>
      <c r="BB20" s="308">
        <v>24.1</v>
      </c>
      <c r="BC20" s="289">
        <v>24.9</v>
      </c>
      <c r="BD20" s="289">
        <f>BC20-BB20-BD21</f>
        <v>0.29999999999999716</v>
      </c>
      <c r="BE20" s="307">
        <f t="shared" si="18"/>
        <v>0.16869768463383633</v>
      </c>
      <c r="BF20" s="308">
        <v>0</v>
      </c>
      <c r="BG20" s="289">
        <v>0</v>
      </c>
      <c r="BH20" s="289">
        <f>BG20-BF20-BH21</f>
        <v>0</v>
      </c>
      <c r="BI20" s="307">
        <f t="shared" si="20"/>
        <v>0</v>
      </c>
      <c r="BJ20" s="281">
        <v>59.676423</v>
      </c>
      <c r="BK20" s="281">
        <v>56.328598</v>
      </c>
      <c r="BL20" s="281">
        <f>BK20-BJ20-BL21</f>
        <v>-0.74463900000000649</v>
      </c>
      <c r="BM20" s="408">
        <v>0</v>
      </c>
      <c r="BN20" s="458">
        <v>0</v>
      </c>
      <c r="BO20" s="458">
        <f>BN20-BM20-BO21</f>
        <v>0</v>
      </c>
      <c r="BP20" s="408">
        <v>24.1</v>
      </c>
      <c r="BQ20" s="458">
        <v>24.9</v>
      </c>
      <c r="BR20" s="458">
        <f>BQ20-BP20-BR21</f>
        <v>0.29999999999999716</v>
      </c>
      <c r="BS20" s="281"/>
      <c r="BT20" s="281"/>
      <c r="BU20" s="281"/>
      <c r="BV20" s="281"/>
      <c r="BW20" s="298" t="s">
        <v>713</v>
      </c>
      <c r="BX20" s="422">
        <v>5069.2220005199997</v>
      </c>
      <c r="BY20" s="422">
        <v>-2.5145608899999998</v>
      </c>
      <c r="BZ20" s="422">
        <v>2397.4452387000001</v>
      </c>
      <c r="CA20" s="422">
        <v>2459.2854693899999</v>
      </c>
      <c r="CB20" s="422">
        <v>2.8909802899999999</v>
      </c>
      <c r="CC20" s="422">
        <v>2.9252128900000001</v>
      </c>
      <c r="CD20" s="422">
        <v>0.35010986999999999</v>
      </c>
      <c r="CE20" s="422">
        <v>1.7783086400000001</v>
      </c>
      <c r="CF20" s="422">
        <v>1.77210432</v>
      </c>
      <c r="CG20" s="422">
        <v>-1.5383731300000001</v>
      </c>
      <c r="CH20" s="422">
        <v>-1.1702602900000001</v>
      </c>
      <c r="CI20" s="422">
        <v>0.81463571000000001</v>
      </c>
    </row>
    <row r="21" spans="1:87" ht="15" customHeight="1" x14ac:dyDescent="0.2">
      <c r="A21" s="297">
        <v>62009003</v>
      </c>
      <c r="B21" s="297" t="s">
        <v>614</v>
      </c>
      <c r="C21" s="297" t="s">
        <v>634</v>
      </c>
      <c r="D21" s="326" t="s">
        <v>778</v>
      </c>
      <c r="E21" s="283" t="s">
        <v>779</v>
      </c>
      <c r="F21" s="310" t="str">
        <f t="shared" si="24"/>
        <v>09/09/20</v>
      </c>
      <c r="G21" s="298" t="s">
        <v>780</v>
      </c>
      <c r="H21" s="298" t="s">
        <v>775</v>
      </c>
      <c r="I21" s="306"/>
      <c r="J21" s="299">
        <v>26.913636</v>
      </c>
      <c r="K21" s="299">
        <v>35.359532000000002</v>
      </c>
      <c r="L21" s="299">
        <v>29.524996000000002</v>
      </c>
      <c r="M21" s="299">
        <v>30.000025000000001</v>
      </c>
      <c r="N21" s="284">
        <v>3875</v>
      </c>
      <c r="O21" s="284">
        <v>28.39</v>
      </c>
      <c r="P21" s="284">
        <v>0.20169999999999999</v>
      </c>
      <c r="Q21" s="284">
        <v>1.932E-2</v>
      </c>
      <c r="R21" s="285">
        <v>6.2636495800000001</v>
      </c>
      <c r="S21" s="285">
        <f>R21+R20</f>
        <v>8.0419786700000007</v>
      </c>
      <c r="T21" s="314">
        <v>59.162194999999997</v>
      </c>
      <c r="U21" s="314">
        <v>56.559009000000003</v>
      </c>
      <c r="V21" s="289">
        <v>12918</v>
      </c>
      <c r="W21" s="289">
        <v>14657</v>
      </c>
      <c r="X21" s="289">
        <f>W21-V21</f>
        <v>1739</v>
      </c>
      <c r="Y21" s="289">
        <f t="shared" si="2"/>
        <v>277.63366672884661</v>
      </c>
      <c r="Z21" s="308">
        <v>540.1</v>
      </c>
      <c r="AA21" s="289">
        <v>573.1</v>
      </c>
      <c r="AB21" s="289">
        <f>AA21-Z21</f>
        <v>33</v>
      </c>
      <c r="AC21" s="289">
        <f t="shared" si="4"/>
        <v>5.2684939632271064</v>
      </c>
      <c r="AD21" s="308">
        <v>484.40408100000002</v>
      </c>
      <c r="AE21" s="289">
        <v>514.38383799999997</v>
      </c>
      <c r="AF21" s="289">
        <f>AE21-AD21</f>
        <v>29.97975699999995</v>
      </c>
      <c r="AG21" s="289">
        <f t="shared" si="6"/>
        <v>4.7863081446519793</v>
      </c>
      <c r="AH21" s="308">
        <v>-13.41</v>
      </c>
      <c r="AI21" s="289">
        <v>-16.38</v>
      </c>
      <c r="AJ21" s="289">
        <f>AI21-AH21</f>
        <v>-2.9699999999999989</v>
      </c>
      <c r="AK21" s="307">
        <f t="shared" si="8"/>
        <v>-0.47416445669043938</v>
      </c>
      <c r="AL21" s="308">
        <v>127.5</v>
      </c>
      <c r="AM21" s="289">
        <v>127.5</v>
      </c>
      <c r="AN21" s="289">
        <f>AM21-AL21</f>
        <v>0</v>
      </c>
      <c r="AO21" s="307">
        <f t="shared" si="10"/>
        <v>0</v>
      </c>
      <c r="AP21" s="308">
        <v>309.5</v>
      </c>
      <c r="AQ21" s="289">
        <v>309.5</v>
      </c>
      <c r="AR21" s="289">
        <f>AQ21-AP21</f>
        <v>0</v>
      </c>
      <c r="AS21" s="307">
        <f t="shared" si="12"/>
        <v>0</v>
      </c>
      <c r="AT21" s="308">
        <v>0.1</v>
      </c>
      <c r="AU21" s="289">
        <v>0.1</v>
      </c>
      <c r="AV21" s="289">
        <f>AU21-AT21</f>
        <v>0</v>
      </c>
      <c r="AW21" s="307">
        <f t="shared" si="14"/>
        <v>0</v>
      </c>
      <c r="AX21" s="308">
        <v>12925</v>
      </c>
      <c r="AY21" s="289">
        <v>14665</v>
      </c>
      <c r="AZ21" s="289">
        <f>AY21-AX21</f>
        <v>1740</v>
      </c>
      <c r="BA21" s="307">
        <f t="shared" si="16"/>
        <v>277.79331806106558</v>
      </c>
      <c r="BB21" s="308">
        <v>24.3</v>
      </c>
      <c r="BC21" s="289">
        <v>24.8</v>
      </c>
      <c r="BD21" s="289">
        <f>BC21-BB21</f>
        <v>0.5</v>
      </c>
      <c r="BE21" s="307">
        <f t="shared" si="18"/>
        <v>7.9825666109501606E-2</v>
      </c>
      <c r="BF21" s="308">
        <v>0</v>
      </c>
      <c r="BG21" s="289">
        <v>0</v>
      </c>
      <c r="BH21" s="289">
        <f>BG21-BF21</f>
        <v>0</v>
      </c>
      <c r="BI21" s="307">
        <f t="shared" si="20"/>
        <v>0</v>
      </c>
      <c r="BJ21" s="281">
        <v>59.162194999999997</v>
      </c>
      <c r="BK21" s="281">
        <v>56.559009000000003</v>
      </c>
      <c r="BL21" s="281">
        <f>BK21-BJ21</f>
        <v>-2.6031859999999938</v>
      </c>
      <c r="BM21" s="408">
        <v>0</v>
      </c>
      <c r="BN21" s="458">
        <v>0</v>
      </c>
      <c r="BO21" s="458">
        <f>BN21-BM21</f>
        <v>0</v>
      </c>
      <c r="BP21" s="408">
        <v>24.3</v>
      </c>
      <c r="BQ21" s="458">
        <v>24.8</v>
      </c>
      <c r="BR21" s="458">
        <f>BQ21-BP21</f>
        <v>0.5</v>
      </c>
      <c r="BS21" s="281"/>
      <c r="BT21" s="281"/>
      <c r="BU21" s="281"/>
      <c r="BV21" s="281"/>
      <c r="BW21" s="298" t="s">
        <v>713</v>
      </c>
      <c r="BX21" s="422">
        <v>10790.45557097</v>
      </c>
      <c r="BY21" s="422">
        <v>-7.1808163800000004</v>
      </c>
      <c r="BZ21" s="422">
        <v>1056.5770635700001</v>
      </c>
      <c r="CA21" s="422">
        <v>1138.3175571199999</v>
      </c>
      <c r="CB21" s="422">
        <v>6.4648682900000001</v>
      </c>
      <c r="CC21" s="422">
        <v>6.5095373500000004</v>
      </c>
      <c r="CD21" s="422">
        <v>0.46222896000000002</v>
      </c>
      <c r="CE21" s="422">
        <v>6.2636775099999999</v>
      </c>
      <c r="CF21" s="422">
        <v>6.2348581899999997</v>
      </c>
      <c r="CG21" s="422">
        <v>-1.1563736200000001</v>
      </c>
      <c r="CH21" s="422">
        <v>-0.68620950999999997</v>
      </c>
      <c r="CI21" s="422">
        <v>0.34622444000000002</v>
      </c>
    </row>
    <row r="22" spans="1:87" ht="15" customHeight="1" x14ac:dyDescent="0.2">
      <c r="A22" s="297">
        <v>62009003</v>
      </c>
      <c r="B22" s="297" t="s">
        <v>615</v>
      </c>
      <c r="C22" s="297" t="s">
        <v>635</v>
      </c>
      <c r="D22" s="326" t="s">
        <v>778</v>
      </c>
      <c r="E22" s="283" t="s">
        <v>779</v>
      </c>
      <c r="F22" s="310" t="str">
        <f t="shared" si="24"/>
        <v>09/09/20</v>
      </c>
      <c r="G22" s="298" t="s">
        <v>780</v>
      </c>
      <c r="H22" s="298" t="s">
        <v>775</v>
      </c>
      <c r="I22" s="306"/>
      <c r="J22" s="300">
        <f>AVERAGE(J20:J21)</f>
        <v>24.936484499999999</v>
      </c>
      <c r="K22" s="300">
        <f>AVERAGE(K20:K21)</f>
        <v>39.754468500000002</v>
      </c>
      <c r="L22" s="300">
        <f>AVERAGE(L20:L21)</f>
        <v>29.511976000000001</v>
      </c>
      <c r="M22" s="300">
        <f>AVERAGE(M20:M21)</f>
        <v>29.860320000000002</v>
      </c>
      <c r="N22" s="286"/>
      <c r="O22" s="284"/>
      <c r="P22" s="302"/>
      <c r="Q22" s="301"/>
      <c r="R22" s="287">
        <f>R21+R20</f>
        <v>8.0419786700000007</v>
      </c>
      <c r="S22" s="287">
        <f>S21</f>
        <v>8.0419786700000007</v>
      </c>
      <c r="T22" s="315">
        <f>T20</f>
        <v>59.676423</v>
      </c>
      <c r="U22" s="315">
        <f>U21</f>
        <v>56.559009000000003</v>
      </c>
      <c r="V22" s="290">
        <f>V20</f>
        <v>12579</v>
      </c>
      <c r="W22" s="290">
        <f>W21</f>
        <v>14657</v>
      </c>
      <c r="X22" s="290">
        <f>SUM(X20:X21)</f>
        <v>2224</v>
      </c>
      <c r="Y22" s="290">
        <f t="shared" si="2"/>
        <v>276.54885585514739</v>
      </c>
      <c r="Z22" s="290">
        <f>Z20</f>
        <v>528.29999999999995</v>
      </c>
      <c r="AA22" s="290">
        <f>AA21</f>
        <v>573.1</v>
      </c>
      <c r="AB22" s="290">
        <f>SUM(AB20:AB21)</f>
        <v>54</v>
      </c>
      <c r="AC22" s="290">
        <f t="shared" si="4"/>
        <v>6.7147653849721038</v>
      </c>
      <c r="AD22" s="290">
        <f>AD20</f>
        <v>473.67272000000003</v>
      </c>
      <c r="AE22" s="290">
        <f>AE21</f>
        <v>514.38383799999997</v>
      </c>
      <c r="AF22" s="290">
        <f>SUM(AF20:AF21)</f>
        <v>49.130962999999952</v>
      </c>
      <c r="AG22" s="290">
        <f t="shared" si="6"/>
        <v>6.1093127719026823</v>
      </c>
      <c r="AH22" s="290">
        <f>AH20</f>
        <v>-12.21</v>
      </c>
      <c r="AI22" s="290">
        <f>AI21</f>
        <v>-16.38</v>
      </c>
      <c r="AJ22" s="290">
        <f>SUM(AJ20:AJ21)</f>
        <v>-4.93</v>
      </c>
      <c r="AK22" s="288">
        <f t="shared" si="8"/>
        <v>-0.61303321014652723</v>
      </c>
      <c r="AL22" s="290">
        <f>AL20</f>
        <v>127.5</v>
      </c>
      <c r="AM22" s="290">
        <f>AM21</f>
        <v>127.5</v>
      </c>
      <c r="AN22" s="290">
        <f>SUM(AN20:AN21)</f>
        <v>-9.9999999999994316E-2</v>
      </c>
      <c r="AO22" s="288">
        <f t="shared" si="10"/>
        <v>-1.2434750712910596E-2</v>
      </c>
      <c r="AP22" s="290">
        <f>AP20</f>
        <v>309.5</v>
      </c>
      <c r="AQ22" s="290">
        <f>AQ21</f>
        <v>309.5</v>
      </c>
      <c r="AR22" s="290">
        <f>SUM(AR20:AR21)</f>
        <v>0</v>
      </c>
      <c r="AS22" s="288">
        <f t="shared" si="12"/>
        <v>0</v>
      </c>
      <c r="AT22" s="290">
        <f>AT20</f>
        <v>0.1</v>
      </c>
      <c r="AU22" s="290">
        <f>AU21</f>
        <v>0.1</v>
      </c>
      <c r="AV22" s="290">
        <f>SUM(AV20:AV21)</f>
        <v>0</v>
      </c>
      <c r="AW22" s="288">
        <f t="shared" si="14"/>
        <v>0</v>
      </c>
      <c r="AX22" s="290">
        <f>AX20</f>
        <v>12586</v>
      </c>
      <c r="AY22" s="290">
        <f>AY21</f>
        <v>14665</v>
      </c>
      <c r="AZ22" s="290">
        <f>SUM(AZ20:AZ21)</f>
        <v>2226</v>
      </c>
      <c r="BA22" s="288">
        <f t="shared" si="16"/>
        <v>276.7975508694056</v>
      </c>
      <c r="BB22" s="290">
        <f>BB20</f>
        <v>24.1</v>
      </c>
      <c r="BC22" s="290">
        <f>BC21</f>
        <v>24.8</v>
      </c>
      <c r="BD22" s="290">
        <f>SUM(BD20:BD21)</f>
        <v>0.79999999999999716</v>
      </c>
      <c r="BE22" s="288">
        <f t="shared" si="18"/>
        <v>9.9478005703290073E-2</v>
      </c>
      <c r="BF22" s="290">
        <f>BF20</f>
        <v>0</v>
      </c>
      <c r="BG22" s="290">
        <f>BG21</f>
        <v>0</v>
      </c>
      <c r="BH22" s="290">
        <f>SUM(BH20:BH21)</f>
        <v>0</v>
      </c>
      <c r="BI22" s="288">
        <f t="shared" si="20"/>
        <v>0</v>
      </c>
      <c r="BJ22" s="282"/>
      <c r="BK22" s="282"/>
      <c r="BL22" s="282">
        <f>SUM(BL20:BL21)</f>
        <v>-3.3478250000000003</v>
      </c>
      <c r="BM22" s="459">
        <f>BM20</f>
        <v>0</v>
      </c>
      <c r="BN22" s="459">
        <f>BN21</f>
        <v>0</v>
      </c>
      <c r="BO22" s="459">
        <f>SUM(BO20:BO21)</f>
        <v>0</v>
      </c>
      <c r="BP22" s="459">
        <f>BP20</f>
        <v>24.1</v>
      </c>
      <c r="BQ22" s="459">
        <f>BQ21</f>
        <v>24.8</v>
      </c>
      <c r="BR22" s="459">
        <f>SUM(BR20:BR21)</f>
        <v>0.79999999999999716</v>
      </c>
      <c r="BS22" s="282"/>
      <c r="BT22" s="282"/>
      <c r="BU22" s="282"/>
      <c r="BV22" s="282"/>
      <c r="BW22" s="298" t="s">
        <v>713</v>
      </c>
    </row>
    <row r="23" spans="1:87" ht="15" customHeight="1" x14ac:dyDescent="0.2">
      <c r="A23" s="297">
        <v>62009004</v>
      </c>
      <c r="B23" s="297" t="s">
        <v>706</v>
      </c>
      <c r="C23" s="297" t="s">
        <v>626</v>
      </c>
      <c r="D23" s="326" t="s">
        <v>781</v>
      </c>
      <c r="E23" s="283" t="s">
        <v>782</v>
      </c>
      <c r="F23" s="310" t="str">
        <f t="shared" si="24"/>
        <v>09/09/20</v>
      </c>
      <c r="G23" s="298" t="s">
        <v>783</v>
      </c>
      <c r="H23" s="298" t="s">
        <v>775</v>
      </c>
      <c r="I23" s="306"/>
      <c r="J23" s="299">
        <v>-32.214115</v>
      </c>
      <c r="K23" s="299">
        <v>-43.644125000000003</v>
      </c>
      <c r="L23" s="299">
        <v>-35.944986999999998</v>
      </c>
      <c r="M23" s="299">
        <v>-37.636133999999998</v>
      </c>
      <c r="N23" s="284">
        <v>3875</v>
      </c>
      <c r="O23" s="284">
        <v>28.39</v>
      </c>
      <c r="P23" s="284">
        <v>0.20169999999999999</v>
      </c>
      <c r="Q23" s="284">
        <v>1.932E-2</v>
      </c>
      <c r="R23" s="285">
        <v>64.468508380000003</v>
      </c>
      <c r="S23" s="285">
        <f>R23+R22</f>
        <v>72.510487050000009</v>
      </c>
      <c r="T23" s="314">
        <v>56.319443</v>
      </c>
      <c r="U23" s="314">
        <v>30.960511</v>
      </c>
      <c r="V23" s="289">
        <v>14810</v>
      </c>
      <c r="W23" s="289">
        <v>31414</v>
      </c>
      <c r="X23" s="289">
        <f>W23-V23</f>
        <v>16604</v>
      </c>
      <c r="Y23" s="289">
        <f t="shared" si="2"/>
        <v>257.55210438762128</v>
      </c>
      <c r="Z23" s="308">
        <v>588.11284499999999</v>
      </c>
      <c r="AA23" s="289">
        <v>901.4</v>
      </c>
      <c r="AB23" s="289">
        <f>AA23-Z23</f>
        <v>313.28715499999998</v>
      </c>
      <c r="AC23" s="289">
        <f t="shared" si="4"/>
        <v>4.8595378250940069</v>
      </c>
      <c r="AD23" s="308">
        <v>528.06256900000005</v>
      </c>
      <c r="AE23" s="289">
        <v>813.53</v>
      </c>
      <c r="AF23" s="289">
        <f>AE23-AD23</f>
        <v>285.46743099999992</v>
      </c>
      <c r="AG23" s="289">
        <f t="shared" si="6"/>
        <v>4.4280135863754557</v>
      </c>
      <c r="AH23" s="308">
        <v>-14.031283999999999</v>
      </c>
      <c r="AI23" s="289">
        <v>-32.78</v>
      </c>
      <c r="AJ23" s="289">
        <f>AI23-AH23</f>
        <v>-18.748716000000002</v>
      </c>
      <c r="AK23" s="307">
        <f t="shared" si="8"/>
        <v>-0.29081975791169995</v>
      </c>
      <c r="AL23" s="308">
        <v>127.4</v>
      </c>
      <c r="AM23" s="289">
        <v>127.4</v>
      </c>
      <c r="AN23" s="289">
        <f>AM23-AL23</f>
        <v>0</v>
      </c>
      <c r="AO23" s="307">
        <f t="shared" si="10"/>
        <v>0</v>
      </c>
      <c r="AP23" s="308">
        <v>309.7</v>
      </c>
      <c r="AQ23" s="289">
        <v>310.10000000000002</v>
      </c>
      <c r="AR23" s="289">
        <f>AQ23-AP23</f>
        <v>0.40000000000003411</v>
      </c>
      <c r="AS23" s="307">
        <f t="shared" si="12"/>
        <v>6.2045797250697005E-3</v>
      </c>
      <c r="AT23" s="308">
        <v>0.1</v>
      </c>
      <c r="AU23" s="289">
        <v>0.3</v>
      </c>
      <c r="AV23" s="289">
        <f>AU23-AT23</f>
        <v>0.19999999999999998</v>
      </c>
      <c r="AW23" s="307">
        <f t="shared" si="14"/>
        <v>3.1022898625345857E-3</v>
      </c>
      <c r="AX23" s="308">
        <v>14819</v>
      </c>
      <c r="AY23" s="289">
        <v>31431</v>
      </c>
      <c r="AZ23" s="289">
        <f>AY23-AX23</f>
        <v>16612</v>
      </c>
      <c r="BA23" s="307">
        <f t="shared" si="16"/>
        <v>257.67619598212269</v>
      </c>
      <c r="BB23" s="308">
        <v>25.8</v>
      </c>
      <c r="BC23" s="289">
        <v>30.7</v>
      </c>
      <c r="BD23" s="289">
        <f>BC23-BB23</f>
        <v>4.8999999999999986</v>
      </c>
      <c r="BE23" s="307">
        <f t="shared" si="18"/>
        <v>7.6006101632097325E-2</v>
      </c>
      <c r="BF23" s="308">
        <v>0</v>
      </c>
      <c r="BG23" s="289">
        <v>0</v>
      </c>
      <c r="BH23" s="289">
        <f>BG23-BF23</f>
        <v>0</v>
      </c>
      <c r="BI23" s="307">
        <f t="shared" si="20"/>
        <v>0</v>
      </c>
      <c r="BJ23" s="281">
        <v>56.319443</v>
      </c>
      <c r="BK23" s="281">
        <v>30.960511</v>
      </c>
      <c r="BL23" s="281">
        <f>BK23-BJ23</f>
        <v>-25.358931999999999</v>
      </c>
      <c r="BM23" s="408">
        <v>0</v>
      </c>
      <c r="BN23" s="458">
        <v>0</v>
      </c>
      <c r="BO23" s="458">
        <f>BN23-BM23</f>
        <v>0</v>
      </c>
      <c r="BP23" s="408">
        <v>25.8</v>
      </c>
      <c r="BQ23" s="458">
        <v>30.7</v>
      </c>
      <c r="BR23" s="458">
        <f>BQ23-BP23</f>
        <v>4.8999999999999986</v>
      </c>
      <c r="BS23" s="281"/>
      <c r="BT23" s="281"/>
      <c r="BU23" s="281"/>
      <c r="BV23" s="281"/>
      <c r="BW23" s="298" t="s">
        <v>713</v>
      </c>
      <c r="BX23" s="422">
        <v>34.137151850000002</v>
      </c>
      <c r="BY23" s="422">
        <v>97.193748749999997</v>
      </c>
      <c r="BZ23" s="422">
        <v>1145.99541475</v>
      </c>
      <c r="CA23" s="422">
        <v>581.15200000000004</v>
      </c>
      <c r="CB23" s="422">
        <v>57.633622320000001</v>
      </c>
      <c r="CC23" s="422">
        <v>56.951788270000002</v>
      </c>
      <c r="CD23" s="422">
        <v>0.49508860999999998</v>
      </c>
      <c r="CE23" s="422">
        <v>64.469053669999994</v>
      </c>
      <c r="CF23" s="422">
        <v>64.151447160000004</v>
      </c>
      <c r="CG23" s="422">
        <v>0.69381762999999996</v>
      </c>
      <c r="CH23" s="422">
        <v>1.19721272</v>
      </c>
      <c r="CI23" s="422">
        <v>1.3224919999999999E-2</v>
      </c>
    </row>
    <row r="24" spans="1:87" ht="15" customHeight="1" x14ac:dyDescent="0.2">
      <c r="A24" s="297">
        <v>62009005</v>
      </c>
      <c r="B24" s="297" t="s">
        <v>707</v>
      </c>
      <c r="C24" s="297" t="s">
        <v>626</v>
      </c>
      <c r="D24" s="326" t="s">
        <v>784</v>
      </c>
      <c r="E24" s="283" t="s">
        <v>785</v>
      </c>
      <c r="F24" s="310" t="str">
        <f t="shared" si="24"/>
        <v>09/10/20</v>
      </c>
      <c r="G24" s="298" t="s">
        <v>786</v>
      </c>
      <c r="H24" s="298" t="s">
        <v>775</v>
      </c>
      <c r="I24" s="306"/>
      <c r="J24" s="299"/>
      <c r="K24" s="299"/>
      <c r="L24" s="299"/>
      <c r="M24" s="299"/>
      <c r="N24" s="284">
        <v>3875</v>
      </c>
      <c r="O24" s="284">
        <v>28.39</v>
      </c>
      <c r="P24" s="284">
        <v>0.20169999999999999</v>
      </c>
      <c r="Q24" s="284">
        <v>1.932E-2</v>
      </c>
      <c r="R24" s="285">
        <v>58.612516880000001</v>
      </c>
      <c r="S24" s="285">
        <f>R24+R23</f>
        <v>123.08102526</v>
      </c>
      <c r="T24" s="314">
        <v>25.085795999999998</v>
      </c>
      <c r="U24" s="314">
        <v>0.49286600000000003</v>
      </c>
      <c r="V24" s="289">
        <v>36460</v>
      </c>
      <c r="W24" s="289">
        <v>51518</v>
      </c>
      <c r="X24" s="289">
        <f>W24-V24</f>
        <v>15058</v>
      </c>
      <c r="Y24" s="289">
        <f t="shared" si="2"/>
        <v>256.90758222904691</v>
      </c>
      <c r="Z24" s="308">
        <v>1506.1</v>
      </c>
      <c r="AA24" s="289">
        <v>1788.1</v>
      </c>
      <c r="AB24" s="289">
        <f>AA24-Z24</f>
        <v>282</v>
      </c>
      <c r="AC24" s="289">
        <f t="shared" si="4"/>
        <v>4.8112590110633038</v>
      </c>
      <c r="AD24" s="308">
        <v>1365.2871090000001</v>
      </c>
      <c r="AE24" s="289">
        <v>1622.6</v>
      </c>
      <c r="AF24" s="289">
        <f>AE24-AD24</f>
        <v>257.31289099999981</v>
      </c>
      <c r="AG24" s="289">
        <f t="shared" si="6"/>
        <v>4.3900672534982226</v>
      </c>
      <c r="AH24" s="308">
        <v>-28.82</v>
      </c>
      <c r="AI24" s="289">
        <v>-43.69</v>
      </c>
      <c r="AJ24" s="289">
        <f>AI24-AH24</f>
        <v>-14.869999999999997</v>
      </c>
      <c r="AK24" s="307">
        <f t="shared" si="8"/>
        <v>-0.25370007622167134</v>
      </c>
      <c r="AL24" s="308">
        <v>966.2</v>
      </c>
      <c r="AM24" s="289">
        <v>966.1</v>
      </c>
      <c r="AN24" s="289">
        <f>AM24-AL24</f>
        <v>-0.10000000000002274</v>
      </c>
      <c r="AO24" s="307">
        <f t="shared" si="10"/>
        <v>-1.7061202166895027E-3</v>
      </c>
      <c r="AP24" s="308">
        <v>3893.3</v>
      </c>
      <c r="AQ24" s="289">
        <v>3893.4</v>
      </c>
      <c r="AR24" s="289">
        <f>AQ24-AP24</f>
        <v>9.9999999999909051E-2</v>
      </c>
      <c r="AS24" s="307">
        <f t="shared" si="12"/>
        <v>1.7061202166875631E-3</v>
      </c>
      <c r="AT24" s="308">
        <v>2.2999999999999998</v>
      </c>
      <c r="AU24" s="289">
        <v>2.8</v>
      </c>
      <c r="AV24" s="289">
        <f>AU24-AT24</f>
        <v>0.5</v>
      </c>
      <c r="AW24" s="307">
        <f t="shared" si="14"/>
        <v>8.5306010834455739E-3</v>
      </c>
      <c r="AX24" s="308">
        <v>35269</v>
      </c>
      <c r="AY24" s="289">
        <v>50333</v>
      </c>
      <c r="AZ24" s="289">
        <f>AY24-AX24</f>
        <v>15064</v>
      </c>
      <c r="BA24" s="307">
        <f t="shared" si="16"/>
        <v>257.00994944204825</v>
      </c>
      <c r="BB24" s="308">
        <v>1455</v>
      </c>
      <c r="BC24" s="289">
        <v>1459.4</v>
      </c>
      <c r="BD24" s="289">
        <f>BC24-BB24</f>
        <v>4.4000000000000909</v>
      </c>
      <c r="BE24" s="307">
        <f t="shared" si="18"/>
        <v>7.5069289534322597E-2</v>
      </c>
      <c r="BF24" s="308">
        <v>-1318.5</v>
      </c>
      <c r="BG24" s="289">
        <v>-1318.5</v>
      </c>
      <c r="BH24" s="289">
        <f>BG24-BF24</f>
        <v>0</v>
      </c>
      <c r="BI24" s="307">
        <f t="shared" si="20"/>
        <v>0</v>
      </c>
      <c r="BJ24" s="281">
        <v>25.085795999999998</v>
      </c>
      <c r="BK24" s="281">
        <v>0.49286600000000003</v>
      </c>
      <c r="BL24" s="281">
        <f>BK24-BJ24</f>
        <v>-24.592929999999999</v>
      </c>
      <c r="BM24" s="408">
        <v>-1318.5</v>
      </c>
      <c r="BN24" s="458">
        <v>-1318.5</v>
      </c>
      <c r="BO24" s="458">
        <f>BN24-BM24</f>
        <v>0</v>
      </c>
      <c r="BP24" s="408">
        <v>1455</v>
      </c>
      <c r="BQ24" s="458">
        <v>1459.4</v>
      </c>
      <c r="BR24" s="458">
        <f>BQ24-BP24</f>
        <v>4.4000000000000909</v>
      </c>
      <c r="BS24" s="281"/>
      <c r="BT24" s="281"/>
      <c r="BU24" s="281"/>
      <c r="BV24" s="281"/>
      <c r="BW24" s="298" t="s">
        <v>713</v>
      </c>
    </row>
    <row r="25" spans="1:87" ht="15" customHeight="1" x14ac:dyDescent="0.2">
      <c r="A25" s="297">
        <v>62009006</v>
      </c>
      <c r="B25" s="339" t="s">
        <v>616</v>
      </c>
      <c r="C25" s="297" t="s">
        <v>626</v>
      </c>
      <c r="D25" s="326" t="s">
        <v>787</v>
      </c>
      <c r="E25" s="283" t="s">
        <v>788</v>
      </c>
      <c r="F25" s="310" t="str">
        <f t="shared" si="24"/>
        <v>09/10/20</v>
      </c>
      <c r="G25" s="298" t="s">
        <v>789</v>
      </c>
      <c r="H25" s="298" t="s">
        <v>775</v>
      </c>
      <c r="I25" s="306"/>
      <c r="J25" s="299"/>
      <c r="K25" s="299"/>
      <c r="L25" s="299"/>
      <c r="M25" s="299"/>
      <c r="N25" s="284">
        <v>3875</v>
      </c>
      <c r="O25" s="284">
        <v>28.39</v>
      </c>
      <c r="P25" s="284">
        <v>0.20169999999999999</v>
      </c>
      <c r="Q25" s="284">
        <v>1.932E-2</v>
      </c>
      <c r="R25" s="285">
        <v>3.2018150000000002E-2</v>
      </c>
      <c r="S25" s="285">
        <f>R25+R24</f>
        <v>58.64453503</v>
      </c>
      <c r="T25" s="314" t="s">
        <v>1147</v>
      </c>
      <c r="U25" s="314" t="s">
        <v>1148</v>
      </c>
      <c r="V25" s="289">
        <v>51519</v>
      </c>
      <c r="W25" s="289">
        <v>51375</v>
      </c>
      <c r="X25" s="289">
        <f>W25-V25</f>
        <v>-144</v>
      </c>
      <c r="Y25" s="289">
        <f t="shared" si="2"/>
        <v>-4497.449103086843</v>
      </c>
      <c r="Z25" s="308">
        <v>1789.5</v>
      </c>
      <c r="AA25" s="289">
        <v>2286.1</v>
      </c>
      <c r="AB25" s="289">
        <f>AA25-Z25</f>
        <v>496.59999999999991</v>
      </c>
      <c r="AC25" s="289">
        <f t="shared" si="4"/>
        <v>15509.952948561984</v>
      </c>
      <c r="AD25" s="308">
        <v>1623.92</v>
      </c>
      <c r="AE25" s="289">
        <v>1996.18</v>
      </c>
      <c r="AF25" s="289">
        <f>AE25-AD25</f>
        <v>372.26</v>
      </c>
      <c r="AG25" s="289">
        <f t="shared" si="6"/>
        <v>11626.53057718825</v>
      </c>
      <c r="AH25" s="308">
        <v>-40.299999999999997</v>
      </c>
      <c r="AI25" s="289">
        <v>-72.209999999999994</v>
      </c>
      <c r="AJ25" s="289">
        <f>AI25-AH25</f>
        <v>-31.909999999999997</v>
      </c>
      <c r="AK25" s="307">
        <f t="shared" si="8"/>
        <v>-996.62222832986902</v>
      </c>
      <c r="AL25" s="308">
        <v>966.1</v>
      </c>
      <c r="AM25" s="289">
        <v>966.1</v>
      </c>
      <c r="AN25" s="289">
        <f>AM25-AL25</f>
        <v>0</v>
      </c>
      <c r="AO25" s="307">
        <f t="shared" si="10"/>
        <v>0</v>
      </c>
      <c r="AP25" s="308">
        <v>3893.4</v>
      </c>
      <c r="AQ25" s="289">
        <v>3893.4</v>
      </c>
      <c r="AR25" s="289">
        <f>AQ25-AP25</f>
        <v>0</v>
      </c>
      <c r="AS25" s="307">
        <f t="shared" si="12"/>
        <v>0</v>
      </c>
      <c r="AT25" s="308">
        <v>2.8</v>
      </c>
      <c r="AU25" s="289">
        <v>50</v>
      </c>
      <c r="AV25" s="289">
        <f>AU25-AT25</f>
        <v>47.2</v>
      </c>
      <c r="AW25" s="307">
        <f t="shared" si="14"/>
        <v>1474.1638726784652</v>
      </c>
      <c r="AX25" s="308">
        <v>50334</v>
      </c>
      <c r="AY25" s="289">
        <v>-15914</v>
      </c>
      <c r="AZ25" s="289">
        <f>AY25-AX25</f>
        <v>-66248</v>
      </c>
      <c r="BA25" s="307">
        <f t="shared" si="16"/>
        <v>-2069076.4457034525</v>
      </c>
      <c r="BB25" s="308">
        <v>1460.3</v>
      </c>
      <c r="BC25" s="289">
        <v>72599.8</v>
      </c>
      <c r="BD25" s="289">
        <f>BC25-BB25</f>
        <v>71139.5</v>
      </c>
      <c r="BE25" s="307">
        <f t="shared" si="18"/>
        <v>2221849.1699239337</v>
      </c>
      <c r="BF25" s="308">
        <v>-1318.5</v>
      </c>
      <c r="BG25" s="289">
        <v>-72346</v>
      </c>
      <c r="BH25" s="289">
        <f>BG25-BF25</f>
        <v>-71027.5</v>
      </c>
      <c r="BI25" s="307">
        <f t="shared" si="20"/>
        <v>-2218351.1539548659</v>
      </c>
      <c r="BJ25" s="281" t="s">
        <v>1149</v>
      </c>
      <c r="BK25" s="281" t="s">
        <v>1150</v>
      </c>
      <c r="BL25" s="281" t="e">
        <f>BK25-BJ25</f>
        <v>#VALUE!</v>
      </c>
      <c r="BM25" s="408">
        <v>-1318.5</v>
      </c>
      <c r="BN25" s="458">
        <v>-72346</v>
      </c>
      <c r="BO25" s="458">
        <f>BN25-BM25</f>
        <v>-71027.5</v>
      </c>
      <c r="BP25" s="408">
        <v>1460.3</v>
      </c>
      <c r="BQ25" s="458">
        <v>72599.8</v>
      </c>
      <c r="BR25" s="458">
        <f>BQ25-BP25</f>
        <v>71139.5</v>
      </c>
      <c r="BS25" s="281"/>
      <c r="BT25" s="281"/>
      <c r="BU25" s="281"/>
      <c r="BV25" s="281"/>
      <c r="BW25" s="298" t="s">
        <v>796</v>
      </c>
      <c r="BX25" s="422">
        <v>0</v>
      </c>
      <c r="BY25" s="422" t="s">
        <v>777</v>
      </c>
      <c r="BZ25" s="422">
        <v>0</v>
      </c>
      <c r="CA25" s="422">
        <v>0</v>
      </c>
      <c r="CB25" s="422">
        <v>0</v>
      </c>
      <c r="CC25" s="422">
        <v>0</v>
      </c>
      <c r="CD25" s="422" t="s">
        <v>777</v>
      </c>
      <c r="CE25" s="422">
        <v>0</v>
      </c>
      <c r="CF25" s="422">
        <v>0</v>
      </c>
      <c r="CG25" s="422" t="s">
        <v>777</v>
      </c>
      <c r="CH25" s="422" t="s">
        <v>777</v>
      </c>
      <c r="CI25" s="422" t="s">
        <v>777</v>
      </c>
    </row>
    <row r="26" spans="1:87" ht="15" customHeight="1" x14ac:dyDescent="0.2">
      <c r="A26" s="457" t="s">
        <v>670</v>
      </c>
      <c r="B26" s="334"/>
      <c r="C26" s="334"/>
      <c r="D26" s="335"/>
      <c r="E26" s="334"/>
      <c r="F26" s="334"/>
      <c r="G26" s="335"/>
      <c r="H26" s="335"/>
      <c r="I26" s="335"/>
      <c r="J26" s="335"/>
      <c r="K26" s="335"/>
      <c r="L26" s="335"/>
      <c r="M26" s="335"/>
      <c r="N26" s="335"/>
      <c r="O26" s="335"/>
      <c r="P26" s="336"/>
      <c r="Q26" s="337"/>
      <c r="R26" s="334"/>
      <c r="S26" s="334"/>
      <c r="T26" s="334"/>
      <c r="U26" s="334"/>
      <c r="V26" s="341"/>
      <c r="W26" s="341"/>
      <c r="X26" s="334"/>
      <c r="Y26" s="334"/>
      <c r="Z26" s="334"/>
      <c r="AA26" s="334"/>
      <c r="AB26" s="334"/>
      <c r="AC26" s="334"/>
      <c r="AD26" s="334"/>
      <c r="AE26" s="341"/>
      <c r="AF26" s="341"/>
      <c r="AG26" s="341"/>
      <c r="AH26" s="341"/>
      <c r="AI26" s="341"/>
      <c r="AJ26" s="334"/>
      <c r="AK26" s="334"/>
      <c r="AL26" s="334"/>
      <c r="AM26" s="334"/>
      <c r="AN26" s="334"/>
      <c r="AO26" s="334"/>
      <c r="AP26" s="341"/>
      <c r="AQ26" s="341"/>
      <c r="AR26" s="334"/>
      <c r="AS26" s="334"/>
      <c r="AT26" s="341"/>
      <c r="AU26" s="341"/>
      <c r="AV26" s="334"/>
      <c r="AW26" s="334"/>
      <c r="AX26" s="341"/>
      <c r="AY26" s="341"/>
      <c r="AZ26" s="334"/>
      <c r="BA26" s="334"/>
      <c r="BB26" s="341"/>
      <c r="BC26" s="341"/>
      <c r="BD26" s="334"/>
      <c r="BE26" s="334"/>
      <c r="BF26" s="341"/>
      <c r="BG26" s="341"/>
      <c r="BH26" s="334"/>
      <c r="BI26" s="334"/>
      <c r="BJ26" s="334"/>
      <c r="BK26" s="334"/>
      <c r="BL26" s="334"/>
      <c r="BM26" s="334"/>
      <c r="BN26" s="334"/>
      <c r="BO26" s="334"/>
      <c r="BP26" s="334"/>
      <c r="BQ26" s="334"/>
      <c r="BR26" s="334"/>
      <c r="BS26" s="334"/>
      <c r="BT26" s="334"/>
      <c r="BU26" s="334"/>
      <c r="BV26" s="334"/>
      <c r="BW26" s="334"/>
      <c r="BX26" s="334"/>
      <c r="BY26" s="334"/>
      <c r="BZ26" s="334"/>
      <c r="CA26" s="334"/>
      <c r="CB26" s="334"/>
      <c r="CC26" s="334"/>
      <c r="CD26" s="334"/>
      <c r="CE26" s="334"/>
      <c r="CF26" s="334"/>
      <c r="CG26" s="334"/>
      <c r="CH26" s="334"/>
      <c r="CI26" s="338"/>
    </row>
    <row r="27" spans="1:87" ht="15" customHeight="1" x14ac:dyDescent="0.2">
      <c r="A27" s="297">
        <v>62009007</v>
      </c>
      <c r="B27" s="297" t="s">
        <v>516</v>
      </c>
      <c r="C27" s="297" t="s">
        <v>626</v>
      </c>
      <c r="D27" s="326" t="s">
        <v>790</v>
      </c>
      <c r="E27" s="283" t="s">
        <v>791</v>
      </c>
      <c r="F27" s="310" t="str">
        <f>LEFT(E27,8)</f>
        <v>09/11/20</v>
      </c>
      <c r="G27" s="298" t="s">
        <v>792</v>
      </c>
      <c r="H27" s="298" t="s">
        <v>775</v>
      </c>
      <c r="I27" s="306"/>
      <c r="J27" s="299">
        <v>-25.949380999999999</v>
      </c>
      <c r="K27" s="299">
        <v>-54.713763</v>
      </c>
      <c r="L27" s="299">
        <v>-34.947901000000002</v>
      </c>
      <c r="M27" s="299">
        <v>-29.974933</v>
      </c>
      <c r="N27" s="284">
        <v>3875</v>
      </c>
      <c r="O27" s="284">
        <v>28.39</v>
      </c>
      <c r="P27" s="284">
        <v>0.20169999999999999</v>
      </c>
      <c r="Q27" s="284">
        <v>1.932E-2</v>
      </c>
      <c r="R27" s="285">
        <v>13.94582746</v>
      </c>
      <c r="S27" s="285">
        <f t="shared" ref="S27:S38" si="25">R27+R26</f>
        <v>13.94582746</v>
      </c>
      <c r="T27" s="314">
        <v>96.806147999999993</v>
      </c>
      <c r="U27" s="314">
        <v>98.502949000000001</v>
      </c>
      <c r="V27" s="289">
        <v>2</v>
      </c>
      <c r="W27" s="289">
        <v>-1303</v>
      </c>
      <c r="X27" s="289">
        <f t="shared" ref="X27:X38" si="26">W27-V27</f>
        <v>-1305</v>
      </c>
      <c r="Y27" s="289">
        <f t="shared" ref="Y27:Y38" si="27">X27/$R27</f>
        <v>-93.576376428222346</v>
      </c>
      <c r="Z27" s="308">
        <v>1.8</v>
      </c>
      <c r="AA27" s="289">
        <v>321.10000000000002</v>
      </c>
      <c r="AB27" s="289">
        <f t="shared" ref="AB27:AB38" si="28">AA27-Z27</f>
        <v>319.3</v>
      </c>
      <c r="AC27" s="289">
        <f t="shared" ref="AC27:AC38" si="29">AB27/$R27</f>
        <v>22.895737159794173</v>
      </c>
      <c r="AD27" s="308">
        <v>1.5873090000000001</v>
      </c>
      <c r="AE27" s="289">
        <v>289.63</v>
      </c>
      <c r="AF27" s="289">
        <f t="shared" ref="AF27:AF38" si="30">AE27-AD27</f>
        <v>288.04269099999999</v>
      </c>
      <c r="AG27" s="289">
        <f t="shared" ref="AG27:AG38" si="31">AF27/$R27</f>
        <v>20.654399448593207</v>
      </c>
      <c r="AH27" s="308">
        <v>0.84634500000000001</v>
      </c>
      <c r="AI27" s="289">
        <v>-16.440000000000001</v>
      </c>
      <c r="AJ27" s="289">
        <f t="shared" ref="AJ27:AJ38" si="32">AI27-AH27</f>
        <v>-17.286345000000001</v>
      </c>
      <c r="AK27" s="307">
        <f t="shared" ref="AK27:AK38" si="33">AJ27/$R27</f>
        <v>-1.2395352695694402</v>
      </c>
      <c r="AL27" s="308">
        <v>0</v>
      </c>
      <c r="AM27" s="289">
        <v>-0.6</v>
      </c>
      <c r="AN27" s="289">
        <f t="shared" ref="AN27:AN38" si="34">AM27-AL27</f>
        <v>-0.6</v>
      </c>
      <c r="AO27" s="307">
        <f t="shared" ref="AO27:AO38" si="35">AN27/$R27</f>
        <v>-4.3023621346309125E-2</v>
      </c>
      <c r="AP27" s="308">
        <v>0.2</v>
      </c>
      <c r="AQ27" s="289">
        <v>0.2</v>
      </c>
      <c r="AR27" s="289">
        <f t="shared" ref="AR27:AR38" si="36">AQ27-AP27</f>
        <v>0</v>
      </c>
      <c r="AS27" s="307">
        <f t="shared" ref="AS27:AS38" si="37">AR27/$R27</f>
        <v>0</v>
      </c>
      <c r="AT27" s="308">
        <v>0</v>
      </c>
      <c r="AU27" s="289">
        <v>0.7</v>
      </c>
      <c r="AV27" s="289">
        <f t="shared" ref="AV27:AV38" si="38">AU27-AT27</f>
        <v>0.7</v>
      </c>
      <c r="AW27" s="307">
        <f t="shared" ref="AW27:AW38" si="39">AV27/$R27</f>
        <v>5.0194224904027314E-2</v>
      </c>
      <c r="AX27" s="308">
        <v>2</v>
      </c>
      <c r="AY27" s="289">
        <v>-1300</v>
      </c>
      <c r="AZ27" s="289">
        <f t="shared" ref="AZ27:AZ38" si="40">AY27-AX27</f>
        <v>-1302</v>
      </c>
      <c r="BA27" s="307">
        <f t="shared" ref="BA27:BA38" si="41">AZ27/$R27</f>
        <v>-93.361258321490808</v>
      </c>
      <c r="BB27" s="308">
        <v>0.2</v>
      </c>
      <c r="BC27" s="289">
        <v>5</v>
      </c>
      <c r="BD27" s="289">
        <f t="shared" ref="BD27:BD38" si="42">BC27-BB27</f>
        <v>4.8</v>
      </c>
      <c r="BE27" s="307">
        <f t="shared" ref="BE27:BE38" si="43">BD27/$R27</f>
        <v>0.344188970770473</v>
      </c>
      <c r="BF27" s="308">
        <v>0</v>
      </c>
      <c r="BG27" s="289">
        <v>0</v>
      </c>
      <c r="BH27" s="289">
        <f t="shared" ref="BH27:BH38" si="44">BG27-BF27</f>
        <v>0</v>
      </c>
      <c r="BI27" s="307">
        <f t="shared" ref="BI27:BI38" si="45">BH27/$R27</f>
        <v>0</v>
      </c>
      <c r="BJ27" s="281">
        <v>96.806147999999993</v>
      </c>
      <c r="BK27" s="281">
        <v>98.502949000000001</v>
      </c>
      <c r="BL27" s="281">
        <f t="shared" ref="BL27:BL38" si="46">BK27-BJ27</f>
        <v>1.6968010000000078</v>
      </c>
      <c r="BM27" s="408">
        <v>0</v>
      </c>
      <c r="BN27" s="458">
        <v>0</v>
      </c>
      <c r="BO27" s="458">
        <f t="shared" ref="BO27:BO38" si="47">BN27-BM27</f>
        <v>0</v>
      </c>
      <c r="BP27" s="408">
        <v>0.2</v>
      </c>
      <c r="BQ27" s="458">
        <v>5</v>
      </c>
      <c r="BR27" s="458">
        <f t="shared" ref="BR27:BR38" si="48">BQ27-BP27</f>
        <v>4.8</v>
      </c>
      <c r="BS27" s="281"/>
      <c r="BT27" s="281"/>
      <c r="BU27" s="281"/>
      <c r="BV27" s="281"/>
      <c r="BW27" s="298" t="s">
        <v>713</v>
      </c>
      <c r="BX27" s="422">
        <v>0</v>
      </c>
      <c r="BY27" s="422" t="s">
        <v>797</v>
      </c>
      <c r="BZ27" s="422">
        <v>143.30493791000001</v>
      </c>
      <c r="CA27" s="422">
        <v>0</v>
      </c>
      <c r="CB27" s="422">
        <v>3.5988594900000002</v>
      </c>
      <c r="CC27" s="422">
        <v>0</v>
      </c>
      <c r="CD27" s="422" t="s">
        <v>797</v>
      </c>
      <c r="CE27" s="422">
        <v>13.945856879999999</v>
      </c>
      <c r="CF27" s="422">
        <v>0</v>
      </c>
      <c r="CG27" s="422" t="s">
        <v>777</v>
      </c>
      <c r="CH27" s="422" t="s">
        <v>797</v>
      </c>
      <c r="CI27" s="422" t="s">
        <v>777</v>
      </c>
    </row>
    <row r="28" spans="1:87" ht="15" customHeight="1" x14ac:dyDescent="0.2">
      <c r="A28" s="297">
        <v>62009008</v>
      </c>
      <c r="B28" s="297" t="s">
        <v>621</v>
      </c>
      <c r="C28" s="297" t="s">
        <v>626</v>
      </c>
      <c r="D28" s="326" t="s">
        <v>793</v>
      </c>
      <c r="E28" s="283" t="s">
        <v>794</v>
      </c>
      <c r="F28" s="310" t="str">
        <f>LEFT(E28,8)</f>
        <v>09/11/20</v>
      </c>
      <c r="G28" s="298" t="s">
        <v>795</v>
      </c>
      <c r="H28" s="298" t="s">
        <v>775</v>
      </c>
      <c r="I28" s="306"/>
      <c r="J28" s="299">
        <v>26.212457000000001</v>
      </c>
      <c r="K28" s="299">
        <v>36.053305999999999</v>
      </c>
      <c r="L28" s="299">
        <v>29.586095</v>
      </c>
      <c r="M28" s="299">
        <v>28.831163</v>
      </c>
      <c r="N28" s="284">
        <v>3875</v>
      </c>
      <c r="O28" s="284">
        <v>28.39</v>
      </c>
      <c r="P28" s="284">
        <v>0.20169999999999999</v>
      </c>
      <c r="Q28" s="284">
        <v>1.932E-2</v>
      </c>
      <c r="R28" s="285">
        <v>9.5863757799999991</v>
      </c>
      <c r="S28" s="285">
        <f t="shared" si="25"/>
        <v>23.532203240000001</v>
      </c>
      <c r="T28" s="314">
        <v>98.493792999999997</v>
      </c>
      <c r="U28" s="314">
        <v>95.788371999999995</v>
      </c>
      <c r="V28" s="289">
        <v>-1294</v>
      </c>
      <c r="W28" s="289">
        <v>761</v>
      </c>
      <c r="X28" s="289">
        <f t="shared" si="26"/>
        <v>2055</v>
      </c>
      <c r="Y28" s="289">
        <f t="shared" si="27"/>
        <v>214.36672702600859</v>
      </c>
      <c r="Z28" s="308">
        <v>329.3</v>
      </c>
      <c r="AA28" s="289">
        <v>390.004636</v>
      </c>
      <c r="AB28" s="289">
        <f t="shared" si="28"/>
        <v>60.704635999999994</v>
      </c>
      <c r="AC28" s="289">
        <f t="shared" si="29"/>
        <v>6.3323864402069159</v>
      </c>
      <c r="AD28" s="308">
        <v>296.98</v>
      </c>
      <c r="AE28" s="289">
        <v>351.81092699999999</v>
      </c>
      <c r="AF28" s="289">
        <f t="shared" si="30"/>
        <v>54.830926999999974</v>
      </c>
      <c r="AG28" s="289">
        <f t="shared" si="31"/>
        <v>5.7196721950326026</v>
      </c>
      <c r="AH28" s="308">
        <v>-10.931895000000001</v>
      </c>
      <c r="AI28" s="289">
        <v>-17.11</v>
      </c>
      <c r="AJ28" s="289">
        <f t="shared" si="32"/>
        <v>-6.1781049999999986</v>
      </c>
      <c r="AK28" s="307">
        <f t="shared" si="33"/>
        <v>-0.64446722533966838</v>
      </c>
      <c r="AL28" s="308">
        <v>-0.6</v>
      </c>
      <c r="AM28" s="289">
        <v>-0.7</v>
      </c>
      <c r="AN28" s="289">
        <f t="shared" si="34"/>
        <v>-9.9999999999999978E-2</v>
      </c>
      <c r="AO28" s="307">
        <f t="shared" si="35"/>
        <v>-1.0431470901508932E-2</v>
      </c>
      <c r="AP28" s="308">
        <v>0.4</v>
      </c>
      <c r="AQ28" s="289">
        <v>0.5</v>
      </c>
      <c r="AR28" s="289">
        <f t="shared" si="36"/>
        <v>9.9999999999999978E-2</v>
      </c>
      <c r="AS28" s="307">
        <f t="shared" si="37"/>
        <v>1.0431470901508932E-2</v>
      </c>
      <c r="AT28" s="308">
        <v>0.7</v>
      </c>
      <c r="AU28" s="289">
        <v>0.8</v>
      </c>
      <c r="AV28" s="289">
        <f t="shared" si="38"/>
        <v>0.10000000000000009</v>
      </c>
      <c r="AW28" s="307">
        <f t="shared" si="39"/>
        <v>1.0431470901508944E-2</v>
      </c>
      <c r="AX28" s="308">
        <v>-1291</v>
      </c>
      <c r="AY28" s="289">
        <v>763</v>
      </c>
      <c r="AZ28" s="289">
        <f t="shared" si="40"/>
        <v>2054</v>
      </c>
      <c r="BA28" s="307">
        <f t="shared" si="41"/>
        <v>214.2624123169935</v>
      </c>
      <c r="BB28" s="308">
        <v>5.5</v>
      </c>
      <c r="BC28" s="289">
        <v>6.4</v>
      </c>
      <c r="BD28" s="289">
        <f t="shared" si="42"/>
        <v>0.90000000000000036</v>
      </c>
      <c r="BE28" s="307">
        <f t="shared" si="43"/>
        <v>9.3883238113580444E-2</v>
      </c>
      <c r="BF28" s="308">
        <v>0</v>
      </c>
      <c r="BG28" s="289">
        <v>0</v>
      </c>
      <c r="BH28" s="289">
        <f t="shared" si="44"/>
        <v>0</v>
      </c>
      <c r="BI28" s="307">
        <f t="shared" si="45"/>
        <v>0</v>
      </c>
      <c r="BJ28" s="281">
        <v>98.493792999999997</v>
      </c>
      <c r="BK28" s="281">
        <v>95.788371999999995</v>
      </c>
      <c r="BL28" s="281">
        <f t="shared" si="46"/>
        <v>-2.7054210000000012</v>
      </c>
      <c r="BM28" s="408">
        <v>0</v>
      </c>
      <c r="BN28" s="458">
        <v>0</v>
      </c>
      <c r="BO28" s="458">
        <f t="shared" si="47"/>
        <v>0</v>
      </c>
      <c r="BP28" s="408">
        <v>5.5</v>
      </c>
      <c r="BQ28" s="458">
        <v>6.4</v>
      </c>
      <c r="BR28" s="458">
        <f t="shared" si="48"/>
        <v>0.90000000000000036</v>
      </c>
      <c r="BS28" s="281"/>
      <c r="BT28" s="281"/>
      <c r="BU28" s="281"/>
      <c r="BV28" s="281"/>
      <c r="BW28" s="298" t="s">
        <v>713</v>
      </c>
      <c r="BX28" s="422">
        <v>149.72856580000001</v>
      </c>
      <c r="BY28" s="422">
        <v>8.5328798799999994</v>
      </c>
      <c r="BZ28" s="422">
        <v>534.44244734999995</v>
      </c>
      <c r="CA28" s="422">
        <v>492.42445971000001</v>
      </c>
      <c r="CB28" s="422">
        <v>7.0952507200000001</v>
      </c>
      <c r="CC28" s="422">
        <v>7.0591588400000003</v>
      </c>
      <c r="CD28" s="422">
        <v>0.23614183999999999</v>
      </c>
      <c r="CE28" s="422">
        <v>9.5864863499999995</v>
      </c>
      <c r="CF28" s="422">
        <v>9.5639019699999999</v>
      </c>
      <c r="CG28" s="422">
        <v>0.27373588999999998</v>
      </c>
      <c r="CH28" s="422">
        <v>0.51127727999999995</v>
      </c>
      <c r="CI28" s="422">
        <v>7.6391810000000004E-2</v>
      </c>
    </row>
    <row r="29" spans="1:87" ht="15" customHeight="1" x14ac:dyDescent="0.2">
      <c r="A29" s="297">
        <v>62009008</v>
      </c>
      <c r="B29" s="297" t="s">
        <v>621</v>
      </c>
      <c r="C29" s="297" t="s">
        <v>627</v>
      </c>
      <c r="D29" s="326" t="s">
        <v>793</v>
      </c>
      <c r="E29" s="283" t="s">
        <v>794</v>
      </c>
      <c r="F29" s="310" t="str">
        <f>LEFT(E29,8)</f>
        <v>09/11/20</v>
      </c>
      <c r="G29" s="298" t="s">
        <v>795</v>
      </c>
      <c r="H29" s="298" t="s">
        <v>775</v>
      </c>
      <c r="I29" s="306"/>
      <c r="J29" s="299">
        <v>23.456871</v>
      </c>
      <c r="K29" s="299">
        <v>42.155014999999999</v>
      </c>
      <c r="L29" s="299">
        <v>29.564150999999999</v>
      </c>
      <c r="M29" s="299">
        <v>29.724744000000001</v>
      </c>
      <c r="N29" s="284">
        <v>3875</v>
      </c>
      <c r="O29" s="284">
        <v>28.39</v>
      </c>
      <c r="P29" s="284">
        <v>0.20169999999999999</v>
      </c>
      <c r="Q29" s="284">
        <v>1.932E-2</v>
      </c>
      <c r="R29" s="285">
        <v>11.49926988</v>
      </c>
      <c r="S29" s="285">
        <f t="shared" si="25"/>
        <v>21.085645659999997</v>
      </c>
      <c r="T29" s="314">
        <v>95.786846999999995</v>
      </c>
      <c r="U29" s="314">
        <v>92.487851000000006</v>
      </c>
      <c r="V29" s="289">
        <v>762</v>
      </c>
      <c r="W29" s="289">
        <v>3260</v>
      </c>
      <c r="X29" s="289">
        <f t="shared" si="26"/>
        <v>2498</v>
      </c>
      <c r="Y29" s="289">
        <f t="shared" si="27"/>
        <v>217.23118302881329</v>
      </c>
      <c r="Z29" s="308">
        <v>390.8</v>
      </c>
      <c r="AA29" s="289">
        <v>471.2</v>
      </c>
      <c r="AB29" s="289">
        <f t="shared" si="28"/>
        <v>80.399999999999977</v>
      </c>
      <c r="AC29" s="289">
        <f t="shared" si="29"/>
        <v>6.9917482448024755</v>
      </c>
      <c r="AD29" s="308">
        <v>352.501439</v>
      </c>
      <c r="AE29" s="289">
        <v>424.95</v>
      </c>
      <c r="AF29" s="289">
        <f t="shared" si="30"/>
        <v>72.448560999999984</v>
      </c>
      <c r="AG29" s="289">
        <f t="shared" si="31"/>
        <v>6.3002748657986958</v>
      </c>
      <c r="AH29" s="308">
        <v>-17.12</v>
      </c>
      <c r="AI29" s="289">
        <v>-18.170000000000002</v>
      </c>
      <c r="AJ29" s="289">
        <f t="shared" si="32"/>
        <v>-1.0500000000000007</v>
      </c>
      <c r="AK29" s="307">
        <f t="shared" si="33"/>
        <v>-9.1310144988092118E-2</v>
      </c>
      <c r="AL29" s="308">
        <v>-0.7</v>
      </c>
      <c r="AM29" s="289">
        <v>-0.8</v>
      </c>
      <c r="AN29" s="289">
        <f t="shared" si="34"/>
        <v>-0.10000000000000009</v>
      </c>
      <c r="AO29" s="307">
        <f t="shared" si="35"/>
        <v>-8.6962042845802039E-3</v>
      </c>
      <c r="AP29" s="308">
        <v>0.5</v>
      </c>
      <c r="AQ29" s="289">
        <v>0.5</v>
      </c>
      <c r="AR29" s="289">
        <f t="shared" si="36"/>
        <v>0</v>
      </c>
      <c r="AS29" s="307">
        <f t="shared" si="37"/>
        <v>0</v>
      </c>
      <c r="AT29" s="308">
        <v>0.8</v>
      </c>
      <c r="AU29" s="289">
        <v>1</v>
      </c>
      <c r="AV29" s="289">
        <f t="shared" si="38"/>
        <v>0.19999999999999996</v>
      </c>
      <c r="AW29" s="307">
        <f t="shared" si="39"/>
        <v>1.7392408569160391E-2</v>
      </c>
      <c r="AX29" s="308">
        <v>763</v>
      </c>
      <c r="AY29" s="289">
        <v>3262</v>
      </c>
      <c r="AZ29" s="289">
        <f t="shared" si="40"/>
        <v>2499</v>
      </c>
      <c r="BA29" s="307">
        <f t="shared" si="41"/>
        <v>217.3181450716591</v>
      </c>
      <c r="BB29" s="308">
        <v>6.4</v>
      </c>
      <c r="BC29" s="289">
        <v>7.7</v>
      </c>
      <c r="BD29" s="289">
        <f t="shared" si="42"/>
        <v>1.2999999999999998</v>
      </c>
      <c r="BE29" s="307">
        <f t="shared" si="43"/>
        <v>0.11305065569954253</v>
      </c>
      <c r="BF29" s="308">
        <v>0</v>
      </c>
      <c r="BG29" s="289">
        <v>0</v>
      </c>
      <c r="BH29" s="289">
        <f t="shared" si="44"/>
        <v>0</v>
      </c>
      <c r="BI29" s="307">
        <f t="shared" si="45"/>
        <v>0</v>
      </c>
      <c r="BJ29" s="281">
        <v>95.786846999999995</v>
      </c>
      <c r="BK29" s="281">
        <v>92.487851000000006</v>
      </c>
      <c r="BL29" s="281">
        <f t="shared" si="46"/>
        <v>-3.2989959999999883</v>
      </c>
      <c r="BM29" s="408">
        <v>0</v>
      </c>
      <c r="BN29" s="458">
        <v>0</v>
      </c>
      <c r="BO29" s="458">
        <f t="shared" si="47"/>
        <v>0</v>
      </c>
      <c r="BP29" s="408">
        <v>6.4</v>
      </c>
      <c r="BQ29" s="458">
        <v>7.7</v>
      </c>
      <c r="BR29" s="458">
        <f t="shared" si="48"/>
        <v>1.2999999999999998</v>
      </c>
      <c r="BS29" s="281"/>
      <c r="BT29" s="281"/>
      <c r="BU29" s="281"/>
      <c r="BV29" s="281"/>
      <c r="BW29" s="298" t="s">
        <v>713</v>
      </c>
      <c r="BX29" s="422">
        <v>661.65814232000002</v>
      </c>
      <c r="BY29" s="422">
        <v>21.845714560000001</v>
      </c>
      <c r="BZ29" s="422">
        <v>871.51853179</v>
      </c>
      <c r="CA29" s="422">
        <v>715.26400000000001</v>
      </c>
      <c r="CB29" s="422">
        <v>9.1165665800000006</v>
      </c>
      <c r="CC29" s="422">
        <v>9.2216153399999996</v>
      </c>
      <c r="CD29" s="422">
        <v>-0.48611302000000001</v>
      </c>
      <c r="CE29" s="422">
        <v>11.499357850000001</v>
      </c>
      <c r="CF29" s="422">
        <v>11.555530790000001</v>
      </c>
      <c r="CG29" s="422">
        <v>-0.66056983999999996</v>
      </c>
      <c r="CH29" s="422">
        <v>-1.1391579300000001</v>
      </c>
      <c r="CI29" s="422">
        <v>0.12372189</v>
      </c>
    </row>
    <row r="30" spans="1:87" ht="15" customHeight="1" x14ac:dyDescent="0.2">
      <c r="A30" s="297">
        <v>62009008</v>
      </c>
      <c r="B30" s="297" t="s">
        <v>621</v>
      </c>
      <c r="C30" s="297" t="s">
        <v>629</v>
      </c>
      <c r="D30" s="326" t="s">
        <v>793</v>
      </c>
      <c r="E30" s="283" t="s">
        <v>794</v>
      </c>
      <c r="F30" s="310" t="str">
        <f t="shared" ref="F30:F74" si="49">LEFT(E30,8)</f>
        <v>09/11/20</v>
      </c>
      <c r="G30" s="298" t="s">
        <v>795</v>
      </c>
      <c r="H30" s="298" t="s">
        <v>775</v>
      </c>
      <c r="I30" s="306"/>
      <c r="J30" s="299">
        <v>22.535126999999999</v>
      </c>
      <c r="K30" s="299">
        <v>45.137690999999997</v>
      </c>
      <c r="L30" s="299">
        <v>29.565819999999999</v>
      </c>
      <c r="M30" s="299">
        <v>29.307614999999998</v>
      </c>
      <c r="N30" s="284">
        <v>3875</v>
      </c>
      <c r="O30" s="284">
        <v>28.39</v>
      </c>
      <c r="P30" s="284">
        <v>0.20169999999999999</v>
      </c>
      <c r="Q30" s="284">
        <v>1.932E-2</v>
      </c>
      <c r="R30" s="285">
        <v>11.58613003</v>
      </c>
      <c r="S30" s="285">
        <f t="shared" si="25"/>
        <v>23.08539991</v>
      </c>
      <c r="T30" s="314">
        <v>92.484798999999995</v>
      </c>
      <c r="U30" s="314">
        <v>85.187944999999999</v>
      </c>
      <c r="V30" s="289">
        <v>3262</v>
      </c>
      <c r="W30" s="289">
        <v>8610</v>
      </c>
      <c r="X30" s="289">
        <f t="shared" si="26"/>
        <v>5348</v>
      </c>
      <c r="Y30" s="289">
        <f t="shared" si="27"/>
        <v>461.58639564310158</v>
      </c>
      <c r="Z30" s="308">
        <v>472.8</v>
      </c>
      <c r="AA30" s="289">
        <v>552.6</v>
      </c>
      <c r="AB30" s="289">
        <f t="shared" si="28"/>
        <v>79.800000000000011</v>
      </c>
      <c r="AC30" s="289">
        <f t="shared" si="29"/>
        <v>6.8875456941509929</v>
      </c>
      <c r="AD30" s="308">
        <v>426.39087599999999</v>
      </c>
      <c r="AE30" s="289">
        <v>498.38</v>
      </c>
      <c r="AF30" s="289">
        <f t="shared" si="30"/>
        <v>71.989124000000004</v>
      </c>
      <c r="AG30" s="289">
        <f t="shared" si="31"/>
        <v>6.2133882334824797</v>
      </c>
      <c r="AH30" s="308">
        <v>-18.190000000000001</v>
      </c>
      <c r="AI30" s="289">
        <v>-18.989999999999998</v>
      </c>
      <c r="AJ30" s="289">
        <f t="shared" si="32"/>
        <v>-0.79999999999999716</v>
      </c>
      <c r="AK30" s="307">
        <f t="shared" si="33"/>
        <v>-6.9048077134345534E-2</v>
      </c>
      <c r="AL30" s="308">
        <v>-0.8</v>
      </c>
      <c r="AM30" s="289">
        <v>-1</v>
      </c>
      <c r="AN30" s="289">
        <f t="shared" si="34"/>
        <v>-0.19999999999999996</v>
      </c>
      <c r="AO30" s="307">
        <f t="shared" si="35"/>
        <v>-1.7262019283586442E-2</v>
      </c>
      <c r="AP30" s="308">
        <v>0.5</v>
      </c>
      <c r="AQ30" s="289">
        <v>0.6</v>
      </c>
      <c r="AR30" s="289">
        <f t="shared" si="36"/>
        <v>9.9999999999999978E-2</v>
      </c>
      <c r="AS30" s="307">
        <f t="shared" si="37"/>
        <v>8.6310096417932212E-3</v>
      </c>
      <c r="AT30" s="308">
        <v>1</v>
      </c>
      <c r="AU30" s="289">
        <v>1.2</v>
      </c>
      <c r="AV30" s="289">
        <f t="shared" si="38"/>
        <v>0.19999999999999996</v>
      </c>
      <c r="AW30" s="307">
        <f t="shared" si="39"/>
        <v>1.7262019283586442E-2</v>
      </c>
      <c r="AX30" s="308">
        <v>3263</v>
      </c>
      <c r="AY30" s="289">
        <v>8614</v>
      </c>
      <c r="AZ30" s="289">
        <f t="shared" si="40"/>
        <v>5351</v>
      </c>
      <c r="BA30" s="307">
        <f t="shared" si="41"/>
        <v>461.84532593235537</v>
      </c>
      <c r="BB30" s="308">
        <v>7.7</v>
      </c>
      <c r="BC30" s="289">
        <v>9</v>
      </c>
      <c r="BD30" s="289">
        <f t="shared" si="42"/>
        <v>1.2999999999999998</v>
      </c>
      <c r="BE30" s="307">
        <f t="shared" si="43"/>
        <v>0.11220312534331188</v>
      </c>
      <c r="BF30" s="308">
        <v>0</v>
      </c>
      <c r="BG30" s="289">
        <v>0</v>
      </c>
      <c r="BH30" s="289">
        <f t="shared" si="44"/>
        <v>0</v>
      </c>
      <c r="BI30" s="307">
        <f t="shared" si="45"/>
        <v>0</v>
      </c>
      <c r="BJ30" s="281">
        <v>92.484798999999995</v>
      </c>
      <c r="BK30" s="281">
        <v>85.187944999999999</v>
      </c>
      <c r="BL30" s="281">
        <f t="shared" si="46"/>
        <v>-7.2968539999999962</v>
      </c>
      <c r="BM30" s="408">
        <v>0</v>
      </c>
      <c r="BN30" s="458">
        <v>0</v>
      </c>
      <c r="BO30" s="458">
        <f t="shared" si="47"/>
        <v>0</v>
      </c>
      <c r="BP30" s="408">
        <v>7.7</v>
      </c>
      <c r="BQ30" s="458">
        <v>9</v>
      </c>
      <c r="BR30" s="458">
        <f t="shared" si="48"/>
        <v>1.2999999999999998</v>
      </c>
      <c r="BS30" s="281"/>
      <c r="BT30" s="281"/>
      <c r="BU30" s="281"/>
      <c r="BV30" s="281"/>
      <c r="BW30" s="298" t="s">
        <v>713</v>
      </c>
      <c r="BX30" s="422">
        <v>661.76055498000005</v>
      </c>
      <c r="BY30" s="422">
        <v>33.042784930000003</v>
      </c>
      <c r="BZ30" s="422">
        <v>951.60714519999999</v>
      </c>
      <c r="CA30" s="422">
        <v>715.26400000000001</v>
      </c>
      <c r="CB30" s="422">
        <v>9.3331201499999992</v>
      </c>
      <c r="CC30" s="422">
        <v>9.2214536599999999</v>
      </c>
      <c r="CD30" s="422">
        <v>0.26525438000000001</v>
      </c>
      <c r="CE30" s="422">
        <v>11.586182320000001</v>
      </c>
      <c r="CF30" s="422">
        <v>11.55553076</v>
      </c>
      <c r="CG30" s="422">
        <v>0.93437334999999999</v>
      </c>
      <c r="CH30" s="422">
        <v>1.2109424499999999</v>
      </c>
      <c r="CI30" s="422">
        <v>0.12372406</v>
      </c>
    </row>
    <row r="31" spans="1:87" ht="15" customHeight="1" x14ac:dyDescent="0.2">
      <c r="A31" s="297">
        <v>62009008</v>
      </c>
      <c r="B31" s="297" t="s">
        <v>621</v>
      </c>
      <c r="C31" s="297" t="s">
        <v>630</v>
      </c>
      <c r="D31" s="326" t="s">
        <v>793</v>
      </c>
      <c r="E31" s="283" t="s">
        <v>794</v>
      </c>
      <c r="F31" s="310" t="str">
        <f t="shared" si="49"/>
        <v>09/11/20</v>
      </c>
      <c r="G31" s="298" t="s">
        <v>795</v>
      </c>
      <c r="H31" s="298" t="s">
        <v>775</v>
      </c>
      <c r="I31" s="306"/>
      <c r="J31" s="299">
        <v>22.468707999999999</v>
      </c>
      <c r="K31" s="299">
        <v>45.420738</v>
      </c>
      <c r="L31" s="299">
        <v>29.567964</v>
      </c>
      <c r="M31" s="299">
        <v>29.585695000000001</v>
      </c>
      <c r="N31" s="284">
        <v>3875</v>
      </c>
      <c r="O31" s="284">
        <v>28.39</v>
      </c>
      <c r="P31" s="284">
        <v>0.20169999999999999</v>
      </c>
      <c r="Q31" s="284">
        <v>1.932E-2</v>
      </c>
      <c r="R31" s="285">
        <v>11.589792989999999</v>
      </c>
      <c r="S31" s="285">
        <f t="shared" si="25"/>
        <v>23.175923019999999</v>
      </c>
      <c r="T31" s="314">
        <v>85.184893000000002</v>
      </c>
      <c r="U31" s="314">
        <v>73.606363999999999</v>
      </c>
      <c r="V31" s="289">
        <v>8612</v>
      </c>
      <c r="W31" s="289">
        <v>16804</v>
      </c>
      <c r="X31" s="289">
        <f t="shared" si="26"/>
        <v>8192</v>
      </c>
      <c r="Y31" s="289">
        <f t="shared" si="27"/>
        <v>706.82884561167646</v>
      </c>
      <c r="Z31" s="308">
        <v>554.20000000000005</v>
      </c>
      <c r="AA31" s="289">
        <v>633.6</v>
      </c>
      <c r="AB31" s="289">
        <f t="shared" si="28"/>
        <v>79.399999999999977</v>
      </c>
      <c r="AC31" s="289">
        <f t="shared" si="29"/>
        <v>6.8508557545858269</v>
      </c>
      <c r="AD31" s="308">
        <v>499.81031000000002</v>
      </c>
      <c r="AE31" s="289">
        <v>571.64978900000006</v>
      </c>
      <c r="AF31" s="289">
        <f t="shared" si="30"/>
        <v>71.83947900000004</v>
      </c>
      <c r="AG31" s="289">
        <f t="shared" si="31"/>
        <v>6.1985126966448121</v>
      </c>
      <c r="AH31" s="308">
        <v>-19</v>
      </c>
      <c r="AI31" s="289">
        <v>-19.57</v>
      </c>
      <c r="AJ31" s="289">
        <f t="shared" si="32"/>
        <v>-0.57000000000000028</v>
      </c>
      <c r="AK31" s="307">
        <f t="shared" si="33"/>
        <v>-4.9181206298664036E-2</v>
      </c>
      <c r="AL31" s="308">
        <v>-1</v>
      </c>
      <c r="AM31" s="289">
        <v>-1.2</v>
      </c>
      <c r="AN31" s="289">
        <f t="shared" si="34"/>
        <v>-0.19999999999999996</v>
      </c>
      <c r="AO31" s="307">
        <f t="shared" si="35"/>
        <v>-1.7256563613566318E-2</v>
      </c>
      <c r="AP31" s="308">
        <v>0.6</v>
      </c>
      <c r="AQ31" s="289">
        <v>0.7</v>
      </c>
      <c r="AR31" s="289">
        <f t="shared" si="36"/>
        <v>9.9999999999999978E-2</v>
      </c>
      <c r="AS31" s="307">
        <f t="shared" si="37"/>
        <v>8.6282818067831592E-3</v>
      </c>
      <c r="AT31" s="308">
        <v>1.2</v>
      </c>
      <c r="AU31" s="289">
        <v>1.5</v>
      </c>
      <c r="AV31" s="289">
        <f t="shared" si="38"/>
        <v>0.30000000000000004</v>
      </c>
      <c r="AW31" s="307">
        <f t="shared" si="39"/>
        <v>2.5884845420349484E-2</v>
      </c>
      <c r="AX31" s="308">
        <v>8616</v>
      </c>
      <c r="AY31" s="289">
        <v>16816</v>
      </c>
      <c r="AZ31" s="289">
        <f t="shared" si="40"/>
        <v>8200</v>
      </c>
      <c r="BA31" s="307">
        <f t="shared" si="41"/>
        <v>707.51910815621909</v>
      </c>
      <c r="BB31" s="308">
        <v>9.1</v>
      </c>
      <c r="BC31" s="289">
        <v>10.4</v>
      </c>
      <c r="BD31" s="289">
        <f t="shared" si="42"/>
        <v>1.3000000000000007</v>
      </c>
      <c r="BE31" s="307">
        <f t="shared" si="43"/>
        <v>0.11216766348818115</v>
      </c>
      <c r="BF31" s="308">
        <v>0</v>
      </c>
      <c r="BG31" s="289">
        <v>0</v>
      </c>
      <c r="BH31" s="289">
        <f t="shared" si="44"/>
        <v>0</v>
      </c>
      <c r="BI31" s="307">
        <f t="shared" si="45"/>
        <v>0</v>
      </c>
      <c r="BJ31" s="281">
        <v>85.184893000000002</v>
      </c>
      <c r="BK31" s="281">
        <v>73.606363999999999</v>
      </c>
      <c r="BL31" s="281">
        <f t="shared" si="46"/>
        <v>-11.578529000000003</v>
      </c>
      <c r="BM31" s="408">
        <v>0</v>
      </c>
      <c r="BN31" s="458">
        <v>0</v>
      </c>
      <c r="BO31" s="458">
        <f t="shared" si="47"/>
        <v>0</v>
      </c>
      <c r="BP31" s="408">
        <v>9.1</v>
      </c>
      <c r="BQ31" s="458">
        <v>10.4</v>
      </c>
      <c r="BR31" s="458">
        <f t="shared" si="48"/>
        <v>1.3000000000000007</v>
      </c>
      <c r="BS31" s="281"/>
      <c r="BT31" s="281"/>
      <c r="BU31" s="281"/>
      <c r="BV31" s="281"/>
      <c r="BW31" s="298" t="s">
        <v>713</v>
      </c>
      <c r="BX31" s="422">
        <v>661.68560682999998</v>
      </c>
      <c r="BY31" s="422">
        <v>26.841120060000002</v>
      </c>
      <c r="BZ31" s="422">
        <v>907.24886896999999</v>
      </c>
      <c r="CA31" s="422">
        <v>715.26400000000001</v>
      </c>
      <c r="CB31" s="422">
        <v>9.2633700399999999</v>
      </c>
      <c r="CC31" s="422">
        <v>9.2214018499999995</v>
      </c>
      <c r="CD31" s="422">
        <v>0.29711275999999998</v>
      </c>
      <c r="CE31" s="422">
        <v>11.58986391</v>
      </c>
      <c r="CF31" s="422">
        <v>11.55553095</v>
      </c>
      <c r="CG31" s="422">
        <v>0.1572886</v>
      </c>
      <c r="CH31" s="422">
        <v>0.45511720999999999</v>
      </c>
      <c r="CI31" s="422">
        <v>0.12372474999999999</v>
      </c>
    </row>
    <row r="32" spans="1:87" ht="15" customHeight="1" x14ac:dyDescent="0.2">
      <c r="A32" s="297">
        <v>62009009</v>
      </c>
      <c r="B32" s="297" t="s">
        <v>622</v>
      </c>
      <c r="C32" s="297" t="s">
        <v>626</v>
      </c>
      <c r="D32" s="326" t="s">
        <v>798</v>
      </c>
      <c r="E32" s="283" t="s">
        <v>799</v>
      </c>
      <c r="F32" s="310" t="str">
        <f t="shared" si="49"/>
        <v>09/11/20</v>
      </c>
      <c r="G32" s="298" t="s">
        <v>800</v>
      </c>
      <c r="H32" s="298" t="s">
        <v>775</v>
      </c>
      <c r="I32" s="306"/>
      <c r="J32" s="299">
        <v>25.344201999999999</v>
      </c>
      <c r="K32" s="299">
        <v>38.158783</v>
      </c>
      <c r="L32" s="299">
        <v>29.535696999999999</v>
      </c>
      <c r="M32" s="299">
        <v>26.640846</v>
      </c>
      <c r="N32" s="284">
        <v>3875</v>
      </c>
      <c r="O32" s="284">
        <v>28.39</v>
      </c>
      <c r="P32" s="284">
        <v>0.20169999999999999</v>
      </c>
      <c r="Q32" s="284">
        <v>1.932E-2</v>
      </c>
      <c r="R32" s="285">
        <v>5.0173268799999997</v>
      </c>
      <c r="S32" s="285">
        <f t="shared" si="25"/>
        <v>16.607119869999998</v>
      </c>
      <c r="T32" s="314">
        <v>73.685710999999998</v>
      </c>
      <c r="U32" s="314">
        <v>72.185750999999996</v>
      </c>
      <c r="V32" s="289">
        <v>16810</v>
      </c>
      <c r="W32" s="289">
        <v>17869</v>
      </c>
      <c r="X32" s="289">
        <f t="shared" si="26"/>
        <v>1059</v>
      </c>
      <c r="Y32" s="289">
        <f t="shared" si="27"/>
        <v>211.06856804992543</v>
      </c>
      <c r="Z32" s="308">
        <v>637.79999999999995</v>
      </c>
      <c r="AA32" s="289">
        <v>652.4</v>
      </c>
      <c r="AB32" s="289">
        <f t="shared" si="28"/>
        <v>14.600000000000023</v>
      </c>
      <c r="AC32" s="289">
        <f t="shared" si="29"/>
        <v>2.9099160467695149</v>
      </c>
      <c r="AD32" s="308">
        <v>575.38</v>
      </c>
      <c r="AE32" s="289">
        <v>588.22511199999997</v>
      </c>
      <c r="AF32" s="289">
        <f t="shared" si="30"/>
        <v>12.845111999999972</v>
      </c>
      <c r="AG32" s="289">
        <f t="shared" si="31"/>
        <v>2.5601505158459941</v>
      </c>
      <c r="AH32" s="308">
        <v>-16.053806999999999</v>
      </c>
      <c r="AI32" s="289">
        <v>-14.52</v>
      </c>
      <c r="AJ32" s="289">
        <f t="shared" si="32"/>
        <v>1.5338069999999995</v>
      </c>
      <c r="AK32" s="307">
        <f t="shared" si="33"/>
        <v>0.3057020275306439</v>
      </c>
      <c r="AL32" s="308">
        <v>-1.2</v>
      </c>
      <c r="AM32" s="289">
        <v>-1.3</v>
      </c>
      <c r="AN32" s="289">
        <f t="shared" si="34"/>
        <v>-0.10000000000000009</v>
      </c>
      <c r="AO32" s="307">
        <f t="shared" si="35"/>
        <v>-1.9930931827188445E-2</v>
      </c>
      <c r="AP32" s="308">
        <v>0.9</v>
      </c>
      <c r="AQ32" s="289">
        <v>0.9</v>
      </c>
      <c r="AR32" s="289">
        <f t="shared" si="36"/>
        <v>0</v>
      </c>
      <c r="AS32" s="307">
        <f t="shared" si="37"/>
        <v>0</v>
      </c>
      <c r="AT32" s="308">
        <v>1.5</v>
      </c>
      <c r="AU32" s="289">
        <v>1.5</v>
      </c>
      <c r="AV32" s="289">
        <f t="shared" si="38"/>
        <v>0</v>
      </c>
      <c r="AW32" s="307">
        <f t="shared" si="39"/>
        <v>0</v>
      </c>
      <c r="AX32" s="308">
        <v>16822</v>
      </c>
      <c r="AY32" s="289">
        <v>17880</v>
      </c>
      <c r="AZ32" s="289">
        <f t="shared" si="40"/>
        <v>1058</v>
      </c>
      <c r="BA32" s="307">
        <f t="shared" si="41"/>
        <v>210.86925873165356</v>
      </c>
      <c r="BB32" s="308">
        <v>22.9</v>
      </c>
      <c r="BC32" s="289">
        <v>23.4</v>
      </c>
      <c r="BD32" s="289">
        <f t="shared" si="42"/>
        <v>0.5</v>
      </c>
      <c r="BE32" s="307">
        <f t="shared" si="43"/>
        <v>9.9654659135942125E-2</v>
      </c>
      <c r="BF32" s="308">
        <v>0</v>
      </c>
      <c r="BG32" s="289">
        <v>0</v>
      </c>
      <c r="BH32" s="289">
        <f t="shared" si="44"/>
        <v>0</v>
      </c>
      <c r="BI32" s="307">
        <f t="shared" si="45"/>
        <v>0</v>
      </c>
      <c r="BJ32" s="281">
        <v>73.685710999999998</v>
      </c>
      <c r="BK32" s="281">
        <v>72.185750999999996</v>
      </c>
      <c r="BL32" s="281">
        <f t="shared" si="46"/>
        <v>-1.4999600000000015</v>
      </c>
      <c r="BM32" s="408">
        <v>0</v>
      </c>
      <c r="BN32" s="458">
        <v>0</v>
      </c>
      <c r="BO32" s="458">
        <f t="shared" si="47"/>
        <v>0</v>
      </c>
      <c r="BP32" s="408">
        <v>22.9</v>
      </c>
      <c r="BQ32" s="458">
        <v>23.4</v>
      </c>
      <c r="BR32" s="458">
        <f t="shared" si="48"/>
        <v>0.5</v>
      </c>
      <c r="BS32" s="281"/>
      <c r="BT32" s="281"/>
      <c r="BU32" s="281"/>
      <c r="BV32" s="281"/>
      <c r="BW32" s="298" t="s">
        <v>713</v>
      </c>
    </row>
    <row r="33" spans="1:87" ht="15" customHeight="1" x14ac:dyDescent="0.2">
      <c r="A33" s="297">
        <v>62009009</v>
      </c>
      <c r="B33" s="297" t="s">
        <v>622</v>
      </c>
      <c r="C33" s="297" t="s">
        <v>627</v>
      </c>
      <c r="D33" s="326" t="s">
        <v>798</v>
      </c>
      <c r="E33" s="283" t="s">
        <v>799</v>
      </c>
      <c r="F33" s="310" t="str">
        <f t="shared" si="49"/>
        <v>09/11/20</v>
      </c>
      <c r="G33" s="298" t="s">
        <v>800</v>
      </c>
      <c r="H33" s="298" t="s">
        <v>775</v>
      </c>
      <c r="I33" s="306"/>
      <c r="J33" s="299"/>
      <c r="K33" s="299"/>
      <c r="L33" s="299"/>
      <c r="M33" s="299"/>
      <c r="N33" s="284">
        <v>3875</v>
      </c>
      <c r="O33" s="284">
        <v>28.39</v>
      </c>
      <c r="P33" s="284">
        <v>0.20169999999999999</v>
      </c>
      <c r="Q33" s="284">
        <v>1.932E-2</v>
      </c>
      <c r="R33" s="285">
        <v>3.3875838900000002</v>
      </c>
      <c r="S33" s="285">
        <f t="shared" si="25"/>
        <v>8.4049107700000008</v>
      </c>
      <c r="T33" s="314">
        <v>72.185750999999996</v>
      </c>
      <c r="U33" s="314">
        <v>70.708680000000001</v>
      </c>
      <c r="V33" s="289">
        <v>17869</v>
      </c>
      <c r="W33" s="289">
        <v>18865</v>
      </c>
      <c r="X33" s="289">
        <f t="shared" si="26"/>
        <v>996</v>
      </c>
      <c r="Y33" s="289">
        <f t="shared" si="27"/>
        <v>294.01485906818385</v>
      </c>
      <c r="Z33" s="308">
        <v>652.4</v>
      </c>
      <c r="AA33" s="289">
        <v>662.85806600000001</v>
      </c>
      <c r="AB33" s="289">
        <f t="shared" si="28"/>
        <v>10.458066000000031</v>
      </c>
      <c r="AC33" s="289">
        <f t="shared" si="29"/>
        <v>3.0871755031282873</v>
      </c>
      <c r="AD33" s="308">
        <v>588.23</v>
      </c>
      <c r="AE33" s="289">
        <v>597.47</v>
      </c>
      <c r="AF33" s="289">
        <f t="shared" si="30"/>
        <v>9.2400000000000091</v>
      </c>
      <c r="AG33" s="289">
        <f t="shared" si="31"/>
        <v>2.7276077287048408</v>
      </c>
      <c r="AH33" s="308">
        <v>-14.514613000000001</v>
      </c>
      <c r="AI33" s="289">
        <v>-13.68</v>
      </c>
      <c r="AJ33" s="289">
        <f t="shared" si="32"/>
        <v>0.83461300000000094</v>
      </c>
      <c r="AK33" s="307">
        <f t="shared" si="33"/>
        <v>0.24637412005168111</v>
      </c>
      <c r="AL33" s="308">
        <v>-1.3</v>
      </c>
      <c r="AM33" s="289">
        <v>-1.3</v>
      </c>
      <c r="AN33" s="289">
        <f t="shared" si="34"/>
        <v>0</v>
      </c>
      <c r="AO33" s="307">
        <f t="shared" si="35"/>
        <v>0</v>
      </c>
      <c r="AP33" s="308">
        <v>0.9</v>
      </c>
      <c r="AQ33" s="289">
        <v>0.8</v>
      </c>
      <c r="AR33" s="289">
        <f t="shared" si="36"/>
        <v>-9.9999999999999978E-2</v>
      </c>
      <c r="AS33" s="307">
        <f t="shared" si="37"/>
        <v>-2.9519564163472265E-2</v>
      </c>
      <c r="AT33" s="308">
        <v>1.5</v>
      </c>
      <c r="AU33" s="289">
        <v>1.6</v>
      </c>
      <c r="AV33" s="289">
        <f t="shared" si="38"/>
        <v>0.10000000000000009</v>
      </c>
      <c r="AW33" s="307">
        <f t="shared" si="39"/>
        <v>2.95195641634723E-2</v>
      </c>
      <c r="AX33" s="308">
        <v>17880</v>
      </c>
      <c r="AY33" s="289">
        <v>18880</v>
      </c>
      <c r="AZ33" s="289">
        <f t="shared" si="40"/>
        <v>1000</v>
      </c>
      <c r="BA33" s="307">
        <f t="shared" si="41"/>
        <v>295.19564163472273</v>
      </c>
      <c r="BB33" s="308">
        <v>23.4</v>
      </c>
      <c r="BC33" s="289">
        <v>23.7</v>
      </c>
      <c r="BD33" s="289">
        <f t="shared" si="42"/>
        <v>0.30000000000000071</v>
      </c>
      <c r="BE33" s="307">
        <f t="shared" si="43"/>
        <v>8.8558692490417021E-2</v>
      </c>
      <c r="BF33" s="308">
        <v>0</v>
      </c>
      <c r="BG33" s="289">
        <v>0</v>
      </c>
      <c r="BH33" s="289">
        <f t="shared" si="44"/>
        <v>0</v>
      </c>
      <c r="BI33" s="307">
        <f t="shared" si="45"/>
        <v>0</v>
      </c>
      <c r="BJ33" s="281">
        <v>72.185750999999996</v>
      </c>
      <c r="BK33" s="281">
        <v>70.708680000000001</v>
      </c>
      <c r="BL33" s="281">
        <f t="shared" si="46"/>
        <v>-1.4770709999999951</v>
      </c>
      <c r="BM33" s="408">
        <v>0</v>
      </c>
      <c r="BN33" s="458">
        <v>0</v>
      </c>
      <c r="BO33" s="458">
        <f t="shared" si="47"/>
        <v>0</v>
      </c>
      <c r="BP33" s="408">
        <v>23.4</v>
      </c>
      <c r="BQ33" s="458">
        <v>23.7</v>
      </c>
      <c r="BR33" s="458">
        <f t="shared" si="48"/>
        <v>0.30000000000000071</v>
      </c>
      <c r="BS33" s="281"/>
      <c r="BT33" s="281"/>
      <c r="BU33" s="281"/>
      <c r="BV33" s="281"/>
      <c r="BW33" s="298" t="s">
        <v>713</v>
      </c>
      <c r="BX33" s="422">
        <v>15122.90383687</v>
      </c>
      <c r="BY33" s="422">
        <v>20.50347214</v>
      </c>
      <c r="BZ33" s="422">
        <v>1346.7468046700001</v>
      </c>
      <c r="CA33" s="422">
        <v>1117.5999999999999</v>
      </c>
      <c r="CB33" s="422">
        <v>4.6361052100000002</v>
      </c>
      <c r="CC33" s="422">
        <v>4.31703978</v>
      </c>
      <c r="CD33" s="422">
        <v>-0.90110659000000004</v>
      </c>
      <c r="CE33" s="422">
        <v>3.3875306900000002</v>
      </c>
      <c r="CF33" s="422">
        <v>3.41833352</v>
      </c>
      <c r="CG33" s="422">
        <v>7.7212778399999999</v>
      </c>
      <c r="CH33" s="422">
        <v>7.3908384199999997</v>
      </c>
      <c r="CI33" s="422">
        <v>0.46559045999999998</v>
      </c>
    </row>
    <row r="34" spans="1:87" ht="15" customHeight="1" x14ac:dyDescent="0.2">
      <c r="A34" s="297">
        <v>62009009</v>
      </c>
      <c r="B34" s="297" t="s">
        <v>622</v>
      </c>
      <c r="C34" s="297" t="s">
        <v>629</v>
      </c>
      <c r="D34" s="326" t="s">
        <v>798</v>
      </c>
      <c r="E34" s="283" t="s">
        <v>799</v>
      </c>
      <c r="F34" s="310" t="str">
        <f t="shared" si="49"/>
        <v>09/11/20</v>
      </c>
      <c r="G34" s="298" t="s">
        <v>800</v>
      </c>
      <c r="H34" s="298" t="s">
        <v>775</v>
      </c>
      <c r="I34" s="306"/>
      <c r="J34" s="299">
        <v>24.868683000000001</v>
      </c>
      <c r="K34" s="299">
        <v>38.780155000000001</v>
      </c>
      <c r="L34" s="299">
        <v>29.528015</v>
      </c>
      <c r="M34" s="299">
        <v>31.342359999999999</v>
      </c>
      <c r="N34" s="284">
        <v>3875</v>
      </c>
      <c r="O34" s="284">
        <v>28.39</v>
      </c>
      <c r="P34" s="284">
        <v>0.20169999999999999</v>
      </c>
      <c r="Q34" s="284">
        <v>1.932E-2</v>
      </c>
      <c r="R34" s="285">
        <v>3.3835460199999998</v>
      </c>
      <c r="S34" s="285">
        <f t="shared" si="25"/>
        <v>6.77112991</v>
      </c>
      <c r="T34" s="314">
        <v>70.705628000000004</v>
      </c>
      <c r="U34" s="314">
        <v>68.105495000000005</v>
      </c>
      <c r="V34" s="289">
        <v>18866</v>
      </c>
      <c r="W34" s="289">
        <v>20631</v>
      </c>
      <c r="X34" s="289">
        <f t="shared" si="26"/>
        <v>1765</v>
      </c>
      <c r="Y34" s="289">
        <f t="shared" si="27"/>
        <v>521.64208483264554</v>
      </c>
      <c r="Z34" s="308">
        <v>664.1</v>
      </c>
      <c r="AA34" s="289">
        <v>674.6</v>
      </c>
      <c r="AB34" s="289">
        <f t="shared" si="28"/>
        <v>10.5</v>
      </c>
      <c r="AC34" s="289">
        <f t="shared" si="29"/>
        <v>3.1032531958882594</v>
      </c>
      <c r="AD34" s="308">
        <v>598.58000000000004</v>
      </c>
      <c r="AE34" s="289">
        <v>607.82000000000005</v>
      </c>
      <c r="AF34" s="289">
        <f t="shared" si="30"/>
        <v>9.2400000000000091</v>
      </c>
      <c r="AG34" s="289">
        <f t="shared" si="31"/>
        <v>2.7308628123816709</v>
      </c>
      <c r="AH34" s="308">
        <v>-13.59</v>
      </c>
      <c r="AI34" s="289">
        <v>-12.85</v>
      </c>
      <c r="AJ34" s="289">
        <f t="shared" si="32"/>
        <v>0.74000000000000021</v>
      </c>
      <c r="AK34" s="307">
        <f t="shared" si="33"/>
        <v>0.21870546332926788</v>
      </c>
      <c r="AL34" s="308">
        <v>-1.3</v>
      </c>
      <c r="AM34" s="289">
        <v>-1.4</v>
      </c>
      <c r="AN34" s="289">
        <f t="shared" si="34"/>
        <v>-9.9999999999999867E-2</v>
      </c>
      <c r="AO34" s="307">
        <f t="shared" si="35"/>
        <v>-2.9554792341792906E-2</v>
      </c>
      <c r="AP34" s="308">
        <v>0.8</v>
      </c>
      <c r="AQ34" s="289">
        <v>0.8</v>
      </c>
      <c r="AR34" s="289">
        <f t="shared" si="36"/>
        <v>0</v>
      </c>
      <c r="AS34" s="307">
        <f t="shared" si="37"/>
        <v>0</v>
      </c>
      <c r="AT34" s="308">
        <v>1.6</v>
      </c>
      <c r="AU34" s="289">
        <v>1.6</v>
      </c>
      <c r="AV34" s="289">
        <f t="shared" si="38"/>
        <v>0</v>
      </c>
      <c r="AW34" s="307">
        <f t="shared" si="39"/>
        <v>0</v>
      </c>
      <c r="AX34" s="308">
        <v>18881</v>
      </c>
      <c r="AY34" s="289">
        <v>20650</v>
      </c>
      <c r="AZ34" s="289">
        <f t="shared" si="40"/>
        <v>1769</v>
      </c>
      <c r="BA34" s="307">
        <f t="shared" si="41"/>
        <v>522.82427652631725</v>
      </c>
      <c r="BB34" s="308">
        <v>23.8</v>
      </c>
      <c r="BC34" s="289">
        <v>24.1</v>
      </c>
      <c r="BD34" s="289">
        <f t="shared" si="42"/>
        <v>0.30000000000000071</v>
      </c>
      <c r="BE34" s="307">
        <f t="shared" si="43"/>
        <v>8.8664377025379049E-2</v>
      </c>
      <c r="BF34" s="308">
        <v>0</v>
      </c>
      <c r="BG34" s="289">
        <v>0</v>
      </c>
      <c r="BH34" s="289">
        <f t="shared" si="44"/>
        <v>0</v>
      </c>
      <c r="BI34" s="307">
        <f t="shared" si="45"/>
        <v>0</v>
      </c>
      <c r="BJ34" s="281">
        <v>70.705628000000004</v>
      </c>
      <c r="BK34" s="281">
        <v>68.105495000000005</v>
      </c>
      <c r="BL34" s="281">
        <f t="shared" si="46"/>
        <v>-2.6001329999999996</v>
      </c>
      <c r="BM34" s="408">
        <v>0</v>
      </c>
      <c r="BN34" s="458">
        <v>0</v>
      </c>
      <c r="BO34" s="458">
        <f t="shared" si="47"/>
        <v>0</v>
      </c>
      <c r="BP34" s="408">
        <v>23.8</v>
      </c>
      <c r="BQ34" s="458">
        <v>24.1</v>
      </c>
      <c r="BR34" s="458">
        <f t="shared" si="48"/>
        <v>0.30000000000000071</v>
      </c>
      <c r="BS34" s="281"/>
      <c r="BT34" s="281"/>
      <c r="BU34" s="281"/>
      <c r="BV34" s="281"/>
      <c r="BW34" s="298" t="s">
        <v>713</v>
      </c>
      <c r="BX34" s="422">
        <v>15079.440964089999</v>
      </c>
      <c r="BY34" s="422">
        <v>18.52372398</v>
      </c>
      <c r="BZ34" s="422">
        <v>1324.62113916</v>
      </c>
      <c r="CA34" s="422">
        <v>1117.5999999999999</v>
      </c>
      <c r="CB34" s="422">
        <v>4.5948017700000001</v>
      </c>
      <c r="CC34" s="422">
        <v>4.3169880100000002</v>
      </c>
      <c r="CD34" s="422">
        <v>-1.0176599099999999</v>
      </c>
      <c r="CE34" s="422">
        <v>3.3835456100000001</v>
      </c>
      <c r="CF34" s="422">
        <v>3.4183326100000002</v>
      </c>
      <c r="CG34" s="422">
        <v>7.0023916899999996</v>
      </c>
      <c r="CH34" s="422">
        <v>6.4353609599999997</v>
      </c>
      <c r="CI34" s="422">
        <v>0.46559603999999999</v>
      </c>
    </row>
    <row r="35" spans="1:87" ht="15" customHeight="1" x14ac:dyDescent="0.2">
      <c r="A35" s="297">
        <v>62009009</v>
      </c>
      <c r="B35" s="297" t="s">
        <v>622</v>
      </c>
      <c r="C35" s="297" t="s">
        <v>630</v>
      </c>
      <c r="D35" s="326" t="s">
        <v>798</v>
      </c>
      <c r="E35" s="283" t="s">
        <v>799</v>
      </c>
      <c r="F35" s="310" t="str">
        <f t="shared" si="49"/>
        <v>09/11/20</v>
      </c>
      <c r="G35" s="298" t="s">
        <v>800</v>
      </c>
      <c r="H35" s="298" t="s">
        <v>775</v>
      </c>
      <c r="I35" s="306"/>
      <c r="J35" s="299">
        <v>24.526447999999998</v>
      </c>
      <c r="K35" s="299">
        <v>39.669691999999998</v>
      </c>
      <c r="L35" s="299">
        <v>29.525299</v>
      </c>
      <c r="M35" s="299">
        <v>32.068316000000003</v>
      </c>
      <c r="N35" s="284">
        <v>3875</v>
      </c>
      <c r="O35" s="284">
        <v>28.39</v>
      </c>
      <c r="P35" s="284">
        <v>0.20169999999999999</v>
      </c>
      <c r="Q35" s="284">
        <v>1.932E-2</v>
      </c>
      <c r="R35" s="285">
        <v>3.3765481300000002</v>
      </c>
      <c r="S35" s="285">
        <f t="shared" si="25"/>
        <v>6.7600941500000005</v>
      </c>
      <c r="T35" s="314">
        <v>68.103969000000006</v>
      </c>
      <c r="U35" s="314">
        <v>64.734781999999996</v>
      </c>
      <c r="V35" s="289">
        <v>20633</v>
      </c>
      <c r="W35" s="289">
        <v>22888</v>
      </c>
      <c r="X35" s="289">
        <f t="shared" si="26"/>
        <v>2255</v>
      </c>
      <c r="Y35" s="289">
        <f t="shared" si="27"/>
        <v>667.84180564901351</v>
      </c>
      <c r="Z35" s="308">
        <v>675.9</v>
      </c>
      <c r="AA35" s="289">
        <v>686.6</v>
      </c>
      <c r="AB35" s="289">
        <f t="shared" si="28"/>
        <v>10.700000000000045</v>
      </c>
      <c r="AC35" s="289">
        <f t="shared" si="29"/>
        <v>3.1689167718157316</v>
      </c>
      <c r="AD35" s="308">
        <v>608.97</v>
      </c>
      <c r="AE35" s="289">
        <v>618.45000000000005</v>
      </c>
      <c r="AF35" s="289">
        <f t="shared" si="30"/>
        <v>9.4800000000000182</v>
      </c>
      <c r="AG35" s="289">
        <f t="shared" si="31"/>
        <v>2.8076010277395387</v>
      </c>
      <c r="AH35" s="308">
        <v>-12.77</v>
      </c>
      <c r="AI35" s="289">
        <v>-12.14</v>
      </c>
      <c r="AJ35" s="289">
        <f t="shared" si="32"/>
        <v>0.62999999999999901</v>
      </c>
      <c r="AK35" s="307">
        <f t="shared" si="33"/>
        <v>0.18658108095737375</v>
      </c>
      <c r="AL35" s="308">
        <v>-1.4</v>
      </c>
      <c r="AM35" s="289">
        <v>-1.4</v>
      </c>
      <c r="AN35" s="289">
        <f t="shared" si="34"/>
        <v>0</v>
      </c>
      <c r="AO35" s="307">
        <f t="shared" si="35"/>
        <v>0</v>
      </c>
      <c r="AP35" s="308">
        <v>0.8</v>
      </c>
      <c r="AQ35" s="289">
        <v>0.8</v>
      </c>
      <c r="AR35" s="289">
        <f t="shared" si="36"/>
        <v>0</v>
      </c>
      <c r="AS35" s="307">
        <f t="shared" si="37"/>
        <v>0</v>
      </c>
      <c r="AT35" s="308">
        <v>1.6</v>
      </c>
      <c r="AU35" s="289">
        <v>1.7</v>
      </c>
      <c r="AV35" s="289">
        <f t="shared" si="38"/>
        <v>9.9999999999999867E-2</v>
      </c>
      <c r="AW35" s="307">
        <f t="shared" si="39"/>
        <v>2.9616044596408542E-2</v>
      </c>
      <c r="AX35" s="308">
        <v>20652</v>
      </c>
      <c r="AY35" s="289">
        <v>22912</v>
      </c>
      <c r="AZ35" s="289">
        <f t="shared" si="40"/>
        <v>2260</v>
      </c>
      <c r="BA35" s="307">
        <f t="shared" si="41"/>
        <v>669.32260787883388</v>
      </c>
      <c r="BB35" s="308">
        <v>24.2</v>
      </c>
      <c r="BC35" s="289">
        <v>24.5</v>
      </c>
      <c r="BD35" s="289">
        <f t="shared" si="42"/>
        <v>0.30000000000000071</v>
      </c>
      <c r="BE35" s="307">
        <f t="shared" si="43"/>
        <v>8.8848133789225944E-2</v>
      </c>
      <c r="BF35" s="308">
        <v>0</v>
      </c>
      <c r="BG35" s="289">
        <v>0</v>
      </c>
      <c r="BH35" s="289">
        <f t="shared" si="44"/>
        <v>0</v>
      </c>
      <c r="BI35" s="307">
        <f t="shared" si="45"/>
        <v>0</v>
      </c>
      <c r="BJ35" s="281">
        <v>68.103969000000006</v>
      </c>
      <c r="BK35" s="281">
        <v>64.734781999999996</v>
      </c>
      <c r="BL35" s="281">
        <f t="shared" si="46"/>
        <v>-3.3691870000000108</v>
      </c>
      <c r="BM35" s="408">
        <v>0</v>
      </c>
      <c r="BN35" s="458">
        <v>0</v>
      </c>
      <c r="BO35" s="458">
        <f t="shared" si="47"/>
        <v>0</v>
      </c>
      <c r="BP35" s="408">
        <v>24.2</v>
      </c>
      <c r="BQ35" s="458">
        <v>24.5</v>
      </c>
      <c r="BR35" s="458">
        <f t="shared" si="48"/>
        <v>0.30000000000000071</v>
      </c>
      <c r="BS35" s="281"/>
      <c r="BT35" s="281"/>
      <c r="BU35" s="281"/>
      <c r="BV35" s="281"/>
      <c r="BW35" s="298" t="s">
        <v>713</v>
      </c>
      <c r="BX35" s="422">
        <v>15134.50068463</v>
      </c>
      <c r="BY35" s="422">
        <v>19.506036850000001</v>
      </c>
      <c r="BZ35" s="422">
        <v>1335.5994677799999</v>
      </c>
      <c r="CA35" s="422">
        <v>1117.5999999999999</v>
      </c>
      <c r="CB35" s="422">
        <v>4.5756787599999997</v>
      </c>
      <c r="CC35" s="422">
        <v>4.31695501</v>
      </c>
      <c r="CD35" s="422">
        <v>-1.22178448</v>
      </c>
      <c r="CE35" s="422">
        <v>3.3765688800000002</v>
      </c>
      <c r="CF35" s="422">
        <v>3.4183335499999998</v>
      </c>
      <c r="CG35" s="422">
        <v>6.8070259200000001</v>
      </c>
      <c r="CH35" s="422">
        <v>5.99320013</v>
      </c>
      <c r="CI35" s="422">
        <v>0.4655996</v>
      </c>
    </row>
    <row r="36" spans="1:87" ht="15" customHeight="1" x14ac:dyDescent="0.2">
      <c r="A36" s="297">
        <v>62009010</v>
      </c>
      <c r="B36" s="345" t="s">
        <v>623</v>
      </c>
      <c r="C36" s="297" t="s">
        <v>626</v>
      </c>
      <c r="D36" s="326" t="s">
        <v>801</v>
      </c>
      <c r="E36" s="283" t="s">
        <v>802</v>
      </c>
      <c r="F36" s="310" t="str">
        <f t="shared" si="49"/>
        <v>09/11/20</v>
      </c>
      <c r="G36" s="298" t="s">
        <v>803</v>
      </c>
      <c r="H36" s="298" t="s">
        <v>775</v>
      </c>
      <c r="I36" s="306"/>
      <c r="J36" s="299">
        <v>22.287148999999999</v>
      </c>
      <c r="K36" s="299">
        <v>46.800724000000002</v>
      </c>
      <c r="L36" s="299">
        <v>29.519527</v>
      </c>
      <c r="M36" s="299">
        <v>29.575987000000001</v>
      </c>
      <c r="N36" s="284">
        <v>3875</v>
      </c>
      <c r="O36" s="284">
        <v>28.39</v>
      </c>
      <c r="P36" s="284">
        <v>0.20169999999999999</v>
      </c>
      <c r="Q36" s="284">
        <v>1.932E-2</v>
      </c>
      <c r="R36" s="285">
        <v>7.74576346</v>
      </c>
      <c r="S36" s="285">
        <f t="shared" si="25"/>
        <v>11.122311590000001</v>
      </c>
      <c r="T36" s="314">
        <v>64.721047999999996</v>
      </c>
      <c r="U36" s="314">
        <v>62.076664000000001</v>
      </c>
      <c r="V36" s="289">
        <v>22897</v>
      </c>
      <c r="W36" s="289">
        <v>24688</v>
      </c>
      <c r="X36" s="289">
        <f t="shared" si="26"/>
        <v>1791</v>
      </c>
      <c r="Y36" s="289">
        <f t="shared" si="27"/>
        <v>231.22317241533736</v>
      </c>
      <c r="Z36" s="308">
        <v>693.9</v>
      </c>
      <c r="AA36" s="289">
        <v>781.4</v>
      </c>
      <c r="AB36" s="289">
        <f t="shared" si="28"/>
        <v>87.5</v>
      </c>
      <c r="AC36" s="289">
        <f t="shared" si="29"/>
        <v>11.296497814819665</v>
      </c>
      <c r="AD36" s="308">
        <v>625.01528099999996</v>
      </c>
      <c r="AE36" s="289">
        <v>703.74478499999998</v>
      </c>
      <c r="AF36" s="289">
        <f t="shared" si="30"/>
        <v>78.72950400000002</v>
      </c>
      <c r="AG36" s="289">
        <f t="shared" si="31"/>
        <v>10.164201941689557</v>
      </c>
      <c r="AH36" s="308">
        <v>-4.42</v>
      </c>
      <c r="AI36" s="289">
        <v>-21.06</v>
      </c>
      <c r="AJ36" s="289">
        <f t="shared" si="32"/>
        <v>-16.64</v>
      </c>
      <c r="AK36" s="307">
        <f t="shared" si="33"/>
        <v>-2.1482711272982766</v>
      </c>
      <c r="AL36" s="308">
        <v>-1.6</v>
      </c>
      <c r="AM36" s="289">
        <v>-5</v>
      </c>
      <c r="AN36" s="289">
        <f t="shared" si="34"/>
        <v>-3.4</v>
      </c>
      <c r="AO36" s="307">
        <f t="shared" si="35"/>
        <v>-0.4389496293758498</v>
      </c>
      <c r="AP36" s="308">
        <v>0.8</v>
      </c>
      <c r="AQ36" s="289">
        <v>-3.5</v>
      </c>
      <c r="AR36" s="289">
        <f t="shared" si="36"/>
        <v>-4.3</v>
      </c>
      <c r="AS36" s="307">
        <f t="shared" si="37"/>
        <v>-0.55514217832828061</v>
      </c>
      <c r="AT36" s="308">
        <v>1.7</v>
      </c>
      <c r="AU36" s="289">
        <v>3</v>
      </c>
      <c r="AV36" s="289">
        <f t="shared" si="38"/>
        <v>1.3</v>
      </c>
      <c r="AW36" s="307">
        <f t="shared" si="39"/>
        <v>0.16783368182017788</v>
      </c>
      <c r="AX36" s="308">
        <v>22920</v>
      </c>
      <c r="AY36" s="289">
        <v>24712</v>
      </c>
      <c r="AZ36" s="289">
        <f t="shared" si="40"/>
        <v>1792</v>
      </c>
      <c r="BA36" s="307">
        <f t="shared" si="41"/>
        <v>231.35227524750673</v>
      </c>
      <c r="BB36" s="308">
        <v>0.5</v>
      </c>
      <c r="BC36" s="289">
        <v>1.6</v>
      </c>
      <c r="BD36" s="289">
        <f t="shared" si="42"/>
        <v>1.1000000000000001</v>
      </c>
      <c r="BE36" s="307">
        <f t="shared" si="43"/>
        <v>0.14201311538630434</v>
      </c>
      <c r="BF36" s="308">
        <v>0</v>
      </c>
      <c r="BG36" s="289">
        <v>0</v>
      </c>
      <c r="BH36" s="289">
        <f t="shared" si="44"/>
        <v>0</v>
      </c>
      <c r="BI36" s="307">
        <f t="shared" si="45"/>
        <v>0</v>
      </c>
      <c r="BJ36" s="281">
        <v>64.721047999999996</v>
      </c>
      <c r="BK36" s="281">
        <v>62.076664000000001</v>
      </c>
      <c r="BL36" s="281">
        <f t="shared" si="46"/>
        <v>-2.6443839999999952</v>
      </c>
      <c r="BM36" s="408">
        <v>0</v>
      </c>
      <c r="BN36" s="458">
        <v>0</v>
      </c>
      <c r="BO36" s="458">
        <f t="shared" si="47"/>
        <v>0</v>
      </c>
      <c r="BP36" s="408">
        <v>0.5</v>
      </c>
      <c r="BQ36" s="458">
        <v>1.6</v>
      </c>
      <c r="BR36" s="458">
        <f t="shared" si="48"/>
        <v>1.1000000000000001</v>
      </c>
      <c r="BS36" s="281"/>
      <c r="BT36" s="281"/>
      <c r="BU36" s="281"/>
      <c r="BV36" s="281"/>
      <c r="BW36" s="298" t="s">
        <v>713</v>
      </c>
      <c r="BX36" s="422">
        <v>1572.9919165199999</v>
      </c>
      <c r="BY36" s="422">
        <v>-1.1895352299999999</v>
      </c>
      <c r="BZ36" s="422">
        <v>5157.7041381299996</v>
      </c>
      <c r="CA36" s="422">
        <v>5219.7954439599998</v>
      </c>
      <c r="CB36" s="422">
        <v>8.8508262200000001</v>
      </c>
      <c r="CC36" s="422">
        <v>8.9107496600000005</v>
      </c>
      <c r="CD36" s="422">
        <v>0.17121038999999999</v>
      </c>
      <c r="CE36" s="422">
        <v>7.7455770099999999</v>
      </c>
      <c r="CF36" s="422">
        <v>7.7323384500000003</v>
      </c>
      <c r="CG36" s="422">
        <v>-0.84940733999999996</v>
      </c>
      <c r="CH36" s="422">
        <v>-0.67248481999999998</v>
      </c>
      <c r="CI36" s="422">
        <v>0.68389984000000004</v>
      </c>
    </row>
    <row r="37" spans="1:87" ht="15" customHeight="1" x14ac:dyDescent="0.2">
      <c r="A37" s="297">
        <v>62009011</v>
      </c>
      <c r="B37" s="297" t="s">
        <v>624</v>
      </c>
      <c r="C37" s="297" t="s">
        <v>626</v>
      </c>
      <c r="D37" s="326" t="s">
        <v>790</v>
      </c>
      <c r="E37" s="283" t="s">
        <v>804</v>
      </c>
      <c r="F37" s="310" t="str">
        <f t="shared" si="49"/>
        <v>09/11/20</v>
      </c>
      <c r="G37" s="298" t="s">
        <v>805</v>
      </c>
      <c r="H37" s="298" t="s">
        <v>775</v>
      </c>
      <c r="I37" s="306"/>
      <c r="J37" s="299">
        <v>22.572506000000001</v>
      </c>
      <c r="K37" s="299">
        <v>44.807214000000002</v>
      </c>
      <c r="L37" s="299">
        <v>29.507579</v>
      </c>
      <c r="M37" s="299">
        <v>33.176847000000002</v>
      </c>
      <c r="N37" s="284">
        <v>3875</v>
      </c>
      <c r="O37" s="284">
        <v>28.39</v>
      </c>
      <c r="P37" s="284">
        <v>0.20169999999999999</v>
      </c>
      <c r="Q37" s="284">
        <v>1.932E-2</v>
      </c>
      <c r="R37" s="285">
        <v>6.5453397000000004</v>
      </c>
      <c r="S37" s="285">
        <f t="shared" si="25"/>
        <v>14.29110316</v>
      </c>
      <c r="T37" s="314">
        <v>62.061405000000001</v>
      </c>
      <c r="U37" s="314">
        <v>58.094065000000001</v>
      </c>
      <c r="V37" s="289">
        <v>24700</v>
      </c>
      <c r="W37" s="289">
        <v>27147</v>
      </c>
      <c r="X37" s="289">
        <f t="shared" si="26"/>
        <v>2447</v>
      </c>
      <c r="Y37" s="289">
        <f t="shared" si="27"/>
        <v>373.85378179836869</v>
      </c>
      <c r="Z37" s="308">
        <v>792.6</v>
      </c>
      <c r="AA37" s="289">
        <v>864.7</v>
      </c>
      <c r="AB37" s="289">
        <f t="shared" si="28"/>
        <v>72.100000000000023</v>
      </c>
      <c r="AC37" s="289">
        <f t="shared" si="29"/>
        <v>11.015471053396972</v>
      </c>
      <c r="AD37" s="308">
        <v>713.80950499999994</v>
      </c>
      <c r="AE37" s="289">
        <v>778.71</v>
      </c>
      <c r="AF37" s="289">
        <f t="shared" si="30"/>
        <v>64.900495000000092</v>
      </c>
      <c r="AG37" s="289">
        <f t="shared" si="31"/>
        <v>9.9155273789685943</v>
      </c>
      <c r="AH37" s="308">
        <v>-19.774751999999999</v>
      </c>
      <c r="AI37" s="289">
        <v>-24.92</v>
      </c>
      <c r="AJ37" s="289">
        <f t="shared" si="32"/>
        <v>-5.1452480000000023</v>
      </c>
      <c r="AK37" s="307">
        <f t="shared" si="33"/>
        <v>-0.78609334821842813</v>
      </c>
      <c r="AL37" s="308">
        <v>-5.4</v>
      </c>
      <c r="AM37" s="289">
        <v>-8.6</v>
      </c>
      <c r="AN37" s="289">
        <f t="shared" si="34"/>
        <v>-3.1999999999999993</v>
      </c>
      <c r="AO37" s="307">
        <f t="shared" si="35"/>
        <v>-0.48889746700236186</v>
      </c>
      <c r="AP37" s="308">
        <v>-3.8</v>
      </c>
      <c r="AQ37" s="289">
        <v>-7.8</v>
      </c>
      <c r="AR37" s="289">
        <f t="shared" si="36"/>
        <v>-4</v>
      </c>
      <c r="AS37" s="307">
        <f t="shared" si="37"/>
        <v>-0.61112183375295248</v>
      </c>
      <c r="AT37" s="308">
        <v>3.1</v>
      </c>
      <c r="AU37" s="289">
        <v>4.3</v>
      </c>
      <c r="AV37" s="289">
        <f t="shared" si="38"/>
        <v>1.1999999999999997</v>
      </c>
      <c r="AW37" s="307">
        <f t="shared" si="39"/>
        <v>0.18333655012588571</v>
      </c>
      <c r="AX37" s="308">
        <v>24724</v>
      </c>
      <c r="AY37" s="289">
        <v>27184</v>
      </c>
      <c r="AZ37" s="289">
        <f t="shared" si="40"/>
        <v>2460</v>
      </c>
      <c r="BA37" s="307">
        <f t="shared" si="41"/>
        <v>375.83992775806576</v>
      </c>
      <c r="BB37" s="308">
        <v>2</v>
      </c>
      <c r="BC37" s="289">
        <v>3.1</v>
      </c>
      <c r="BD37" s="289">
        <f t="shared" si="42"/>
        <v>1.1000000000000001</v>
      </c>
      <c r="BE37" s="307">
        <f t="shared" si="43"/>
        <v>0.16805850428206193</v>
      </c>
      <c r="BF37" s="308">
        <v>0</v>
      </c>
      <c r="BG37" s="289">
        <v>0</v>
      </c>
      <c r="BH37" s="289">
        <f t="shared" si="44"/>
        <v>0</v>
      </c>
      <c r="BI37" s="307">
        <f t="shared" si="45"/>
        <v>0</v>
      </c>
      <c r="BJ37" s="281">
        <v>62.061405000000001</v>
      </c>
      <c r="BK37" s="281">
        <v>58.094065000000001</v>
      </c>
      <c r="BL37" s="281">
        <f t="shared" si="46"/>
        <v>-3.9673400000000001</v>
      </c>
      <c r="BM37" s="408">
        <v>0</v>
      </c>
      <c r="BN37" s="458">
        <v>0</v>
      </c>
      <c r="BO37" s="458">
        <f t="shared" si="47"/>
        <v>0</v>
      </c>
      <c r="BP37" s="408">
        <v>2</v>
      </c>
      <c r="BQ37" s="458">
        <v>3.1</v>
      </c>
      <c r="BR37" s="458">
        <f t="shared" si="48"/>
        <v>1.1000000000000001</v>
      </c>
      <c r="BS37" s="281"/>
      <c r="BT37" s="281"/>
      <c r="BU37" s="281"/>
      <c r="BV37" s="281"/>
      <c r="BW37" s="298" t="s">
        <v>713</v>
      </c>
      <c r="BX37" s="422">
        <v>0</v>
      </c>
      <c r="BY37" s="422" t="s">
        <v>797</v>
      </c>
      <c r="BZ37" s="422">
        <v>7867.3207066799996</v>
      </c>
      <c r="CA37" s="422">
        <v>0</v>
      </c>
      <c r="CB37" s="422">
        <v>14.73999418</v>
      </c>
      <c r="CC37" s="422">
        <v>0</v>
      </c>
      <c r="CD37" s="422" t="s">
        <v>797</v>
      </c>
      <c r="CE37" s="422">
        <v>6.5450543400000001</v>
      </c>
      <c r="CF37" s="422">
        <v>0</v>
      </c>
      <c r="CG37" s="422" t="s">
        <v>777</v>
      </c>
      <c r="CH37" s="422" t="s">
        <v>797</v>
      </c>
      <c r="CI37" s="422" t="s">
        <v>777</v>
      </c>
    </row>
    <row r="38" spans="1:87" ht="15" customHeight="1" x14ac:dyDescent="0.2">
      <c r="A38" s="297">
        <v>62009012</v>
      </c>
      <c r="B38" s="297" t="s">
        <v>620</v>
      </c>
      <c r="C38" s="297" t="s">
        <v>626</v>
      </c>
      <c r="D38" s="326" t="s">
        <v>790</v>
      </c>
      <c r="E38" s="283" t="s">
        <v>806</v>
      </c>
      <c r="F38" s="310" t="str">
        <f t="shared" si="49"/>
        <v>09/11/20</v>
      </c>
      <c r="G38" s="298" t="s">
        <v>807</v>
      </c>
      <c r="H38" s="298" t="s">
        <v>775</v>
      </c>
      <c r="I38" s="306"/>
      <c r="J38" s="299">
        <v>24.041405000000001</v>
      </c>
      <c r="K38" s="299">
        <v>41.406644999999997</v>
      </c>
      <c r="L38" s="299">
        <v>29.501964999999998</v>
      </c>
      <c r="M38" s="299">
        <v>32.860053999999998</v>
      </c>
      <c r="N38" s="284">
        <v>3875</v>
      </c>
      <c r="O38" s="284">
        <v>28.39</v>
      </c>
      <c r="P38" s="284">
        <v>0.20169999999999999</v>
      </c>
      <c r="Q38" s="284">
        <v>1.932E-2</v>
      </c>
      <c r="R38" s="285">
        <v>5.8637196200000004</v>
      </c>
      <c r="S38" s="285">
        <f t="shared" si="25"/>
        <v>12.409059320000001</v>
      </c>
      <c r="T38" s="314">
        <v>58.083382999999998</v>
      </c>
      <c r="U38" s="314">
        <v>49.761125</v>
      </c>
      <c r="V38" s="289">
        <v>27155</v>
      </c>
      <c r="W38" s="289">
        <v>32013</v>
      </c>
      <c r="X38" s="289">
        <f t="shared" si="26"/>
        <v>4858</v>
      </c>
      <c r="Y38" s="289">
        <f t="shared" si="27"/>
        <v>828.484360580665</v>
      </c>
      <c r="Z38" s="308">
        <v>872.1</v>
      </c>
      <c r="AA38" s="289">
        <v>924.8</v>
      </c>
      <c r="AB38" s="289">
        <f t="shared" si="28"/>
        <v>52.699999999999932</v>
      </c>
      <c r="AC38" s="289">
        <f t="shared" si="29"/>
        <v>8.987469288308148</v>
      </c>
      <c r="AD38" s="308">
        <v>785.29</v>
      </c>
      <c r="AE38" s="289">
        <v>832.81</v>
      </c>
      <c r="AF38" s="289">
        <f t="shared" si="30"/>
        <v>47.519999999999982</v>
      </c>
      <c r="AG38" s="289">
        <f t="shared" si="31"/>
        <v>8.1040709787552867</v>
      </c>
      <c r="AH38" s="308">
        <v>-18.47</v>
      </c>
      <c r="AI38" s="289">
        <v>-25.65</v>
      </c>
      <c r="AJ38" s="289">
        <f t="shared" si="32"/>
        <v>-7.18</v>
      </c>
      <c r="AK38" s="307">
        <f t="shared" si="33"/>
        <v>-1.224478737951662</v>
      </c>
      <c r="AL38" s="308">
        <v>-8.8000000000000007</v>
      </c>
      <c r="AM38" s="289">
        <v>-10.7</v>
      </c>
      <c r="AN38" s="289">
        <f t="shared" si="34"/>
        <v>-1.8999999999999986</v>
      </c>
      <c r="AO38" s="307">
        <f t="shared" si="35"/>
        <v>-0.32402640697885182</v>
      </c>
      <c r="AP38" s="308">
        <v>-7.9</v>
      </c>
      <c r="AQ38" s="289">
        <v>-10.3</v>
      </c>
      <c r="AR38" s="289">
        <f t="shared" si="36"/>
        <v>-2.4000000000000004</v>
      </c>
      <c r="AS38" s="307">
        <f t="shared" si="37"/>
        <v>-0.40929651407855006</v>
      </c>
      <c r="AT38" s="308">
        <v>4.4000000000000004</v>
      </c>
      <c r="AU38" s="289">
        <v>5.0999999999999996</v>
      </c>
      <c r="AV38" s="289">
        <f t="shared" si="38"/>
        <v>0.69999999999999929</v>
      </c>
      <c r="AW38" s="307">
        <f t="shared" si="39"/>
        <v>0.11937814993957696</v>
      </c>
      <c r="AX38" s="308">
        <v>27192</v>
      </c>
      <c r="AY38" s="289">
        <v>32063</v>
      </c>
      <c r="AZ38" s="289">
        <f t="shared" si="40"/>
        <v>4871</v>
      </c>
      <c r="BA38" s="307">
        <f t="shared" si="41"/>
        <v>830.70138336525713</v>
      </c>
      <c r="BB38" s="308">
        <v>3.7</v>
      </c>
      <c r="BC38" s="289">
        <v>4.4000000000000004</v>
      </c>
      <c r="BD38" s="289">
        <f t="shared" si="42"/>
        <v>0.70000000000000018</v>
      </c>
      <c r="BE38" s="307">
        <f t="shared" si="43"/>
        <v>0.11937814993957711</v>
      </c>
      <c r="BF38" s="308">
        <v>0</v>
      </c>
      <c r="BG38" s="289">
        <v>0</v>
      </c>
      <c r="BH38" s="289">
        <f t="shared" si="44"/>
        <v>0</v>
      </c>
      <c r="BI38" s="307">
        <f t="shared" si="45"/>
        <v>0</v>
      </c>
      <c r="BJ38" s="281">
        <v>58.083382999999998</v>
      </c>
      <c r="BK38" s="281">
        <v>49.761125</v>
      </c>
      <c r="BL38" s="281">
        <f t="shared" si="46"/>
        <v>-8.3222579999999979</v>
      </c>
      <c r="BM38" s="408">
        <v>0</v>
      </c>
      <c r="BN38" s="458">
        <v>0</v>
      </c>
      <c r="BO38" s="458">
        <f t="shared" si="47"/>
        <v>0</v>
      </c>
      <c r="BP38" s="408">
        <v>3.7</v>
      </c>
      <c r="BQ38" s="458">
        <v>4.4000000000000004</v>
      </c>
      <c r="BR38" s="458">
        <f t="shared" si="48"/>
        <v>0.70000000000000018</v>
      </c>
      <c r="BS38" s="281"/>
      <c r="BT38" s="281"/>
      <c r="BU38" s="281"/>
      <c r="BV38" s="281"/>
      <c r="BW38" s="298" t="s">
        <v>713</v>
      </c>
      <c r="BX38" s="422">
        <v>0</v>
      </c>
      <c r="BY38" s="422" t="s">
        <v>797</v>
      </c>
      <c r="BZ38" s="422">
        <v>999.8772798</v>
      </c>
      <c r="CA38" s="422">
        <v>0</v>
      </c>
      <c r="CB38" s="422">
        <v>4.5771501499999996</v>
      </c>
      <c r="CC38" s="422">
        <v>0</v>
      </c>
      <c r="CD38" s="422" t="s">
        <v>797</v>
      </c>
      <c r="CE38" s="422">
        <v>5.8637203800000002</v>
      </c>
      <c r="CF38" s="422">
        <v>0</v>
      </c>
      <c r="CG38" s="422" t="s">
        <v>777</v>
      </c>
      <c r="CH38" s="422" t="s">
        <v>797</v>
      </c>
      <c r="CI38" s="422" t="s">
        <v>777</v>
      </c>
    </row>
    <row r="39" spans="1:87" ht="15" customHeight="1" x14ac:dyDescent="0.2">
      <c r="A39" s="457" t="s">
        <v>708</v>
      </c>
      <c r="B39" s="334"/>
      <c r="C39" s="334"/>
      <c r="D39" s="472"/>
      <c r="E39" s="473"/>
      <c r="F39" s="473"/>
      <c r="G39" s="335"/>
      <c r="H39" s="335"/>
      <c r="I39" s="335"/>
      <c r="J39" s="335"/>
      <c r="K39" s="335"/>
      <c r="L39" s="335"/>
      <c r="M39" s="335"/>
      <c r="N39" s="335"/>
      <c r="O39" s="335"/>
      <c r="P39" s="336"/>
      <c r="Q39" s="337"/>
      <c r="R39" s="334"/>
      <c r="S39" s="334"/>
      <c r="T39" s="334"/>
      <c r="U39" s="334"/>
      <c r="V39" s="341"/>
      <c r="W39" s="341"/>
      <c r="X39" s="334"/>
      <c r="Y39" s="334"/>
      <c r="Z39" s="334"/>
      <c r="AA39" s="334"/>
      <c r="AB39" s="334"/>
      <c r="AC39" s="334"/>
      <c r="AD39" s="334"/>
      <c r="AE39" s="341"/>
      <c r="AF39" s="341"/>
      <c r="AG39" s="341"/>
      <c r="AH39" s="341"/>
      <c r="AI39" s="341"/>
      <c r="AJ39" s="334"/>
      <c r="AK39" s="334"/>
      <c r="AL39" s="334"/>
      <c r="AM39" s="334"/>
      <c r="AN39" s="334"/>
      <c r="AO39" s="334"/>
      <c r="AP39" s="341"/>
      <c r="AQ39" s="341"/>
      <c r="AR39" s="334"/>
      <c r="AS39" s="334"/>
      <c r="AT39" s="341"/>
      <c r="AU39" s="341"/>
      <c r="AV39" s="334"/>
      <c r="AW39" s="334"/>
      <c r="AX39" s="341"/>
      <c r="AY39" s="341"/>
      <c r="AZ39" s="334"/>
      <c r="BA39" s="334"/>
      <c r="BB39" s="341"/>
      <c r="BC39" s="341"/>
      <c r="BD39" s="334"/>
      <c r="BE39" s="334"/>
      <c r="BF39" s="341"/>
      <c r="BG39" s="341"/>
      <c r="BH39" s="334"/>
      <c r="BI39" s="334"/>
      <c r="BJ39" s="334"/>
      <c r="BK39" s="334"/>
      <c r="BL39" s="334"/>
      <c r="BM39" s="334"/>
      <c r="BN39" s="334"/>
      <c r="BO39" s="334"/>
      <c r="BP39" s="334"/>
      <c r="BQ39" s="334"/>
      <c r="BR39" s="334"/>
      <c r="BS39" s="334"/>
      <c r="BT39" s="334"/>
      <c r="BU39" s="334"/>
      <c r="BV39" s="334"/>
      <c r="BW39" s="334"/>
      <c r="BX39" s="334"/>
      <c r="BY39" s="334"/>
      <c r="BZ39" s="334"/>
      <c r="CA39" s="334"/>
      <c r="CB39" s="334"/>
      <c r="CC39" s="334"/>
      <c r="CD39" s="334"/>
      <c r="CE39" s="334"/>
      <c r="CF39" s="334"/>
      <c r="CG39" s="334"/>
      <c r="CH39" s="334"/>
      <c r="CI39" s="338"/>
    </row>
    <row r="40" spans="1:87" ht="15" customHeight="1" x14ac:dyDescent="0.2">
      <c r="A40" s="423">
        <v>62009013</v>
      </c>
      <c r="B40" s="297" t="s">
        <v>607</v>
      </c>
      <c r="C40" s="297" t="s">
        <v>626</v>
      </c>
      <c r="D40" s="326" t="s">
        <v>778</v>
      </c>
      <c r="E40" s="283" t="s">
        <v>816</v>
      </c>
      <c r="F40" s="310" t="str">
        <f t="shared" si="49"/>
        <v>09/14/20</v>
      </c>
      <c r="G40" s="298" t="s">
        <v>817</v>
      </c>
      <c r="H40" s="298" t="s">
        <v>818</v>
      </c>
      <c r="I40" s="306"/>
      <c r="J40" s="299">
        <v>24.464053</v>
      </c>
      <c r="K40" s="299">
        <v>40.378224000000003</v>
      </c>
      <c r="L40" s="299">
        <v>29.652486</v>
      </c>
      <c r="M40" s="299">
        <v>25.178750999999998</v>
      </c>
      <c r="N40" s="284">
        <v>3875</v>
      </c>
      <c r="O40" s="284">
        <v>28.39</v>
      </c>
      <c r="P40" s="284">
        <v>0.20169999999999999</v>
      </c>
      <c r="Q40" s="284">
        <v>1.932E-2</v>
      </c>
      <c r="R40" s="285">
        <v>3.5944536899999999</v>
      </c>
      <c r="S40" s="285">
        <f>R40+R39</f>
        <v>3.5944536899999999</v>
      </c>
      <c r="T40" s="314">
        <v>97.326480000000004</v>
      </c>
      <c r="U40" s="314">
        <v>96.433828000000005</v>
      </c>
      <c r="V40" s="289">
        <v>8</v>
      </c>
      <c r="W40" s="289">
        <v>678</v>
      </c>
      <c r="X40" s="289">
        <f>W40-V40</f>
        <v>670</v>
      </c>
      <c r="Y40" s="289">
        <f t="shared" ref="Y40:Y60" si="50">X40/$R40</f>
        <v>186.39828407415092</v>
      </c>
      <c r="Z40" s="308">
        <v>7.5</v>
      </c>
      <c r="AA40" s="289">
        <v>31.5</v>
      </c>
      <c r="AB40" s="289">
        <f>AA40-Z40</f>
        <v>24</v>
      </c>
      <c r="AC40" s="289">
        <f t="shared" ref="AC40:AC60" si="51">AB40/$R40</f>
        <v>6.6769534593725703</v>
      </c>
      <c r="AD40" s="308">
        <v>4.9797739999999999</v>
      </c>
      <c r="AE40" s="289">
        <v>25.66</v>
      </c>
      <c r="AF40" s="289">
        <f>AE40-AD40</f>
        <v>20.680226000000001</v>
      </c>
      <c r="AG40" s="289">
        <f t="shared" ref="AG40:AG60" si="52">AF40/$R40</f>
        <v>5.7533711054711079</v>
      </c>
      <c r="AH40" s="308">
        <v>2.39</v>
      </c>
      <c r="AI40" s="289">
        <v>2.2000000000000002</v>
      </c>
      <c r="AJ40" s="289">
        <f>AI40-AH40</f>
        <v>-0.18999999999999995</v>
      </c>
      <c r="AK40" s="307">
        <f t="shared" ref="AK40:AK60" si="53">AJ40/$R40</f>
        <v>-5.28592148866995E-2</v>
      </c>
      <c r="AL40" s="308">
        <v>-0.2</v>
      </c>
      <c r="AM40" s="289">
        <v>-2.4</v>
      </c>
      <c r="AN40" s="289">
        <f>AM40-AL40</f>
        <v>-2.1999999999999997</v>
      </c>
      <c r="AO40" s="307">
        <f t="shared" ref="AO40:AO60" si="54">AN40/$R40</f>
        <v>-0.61205406710915222</v>
      </c>
      <c r="AP40" s="308">
        <v>0</v>
      </c>
      <c r="AQ40" s="289">
        <v>-2.8</v>
      </c>
      <c r="AR40" s="289">
        <f>AQ40-AP40</f>
        <v>-2.8</v>
      </c>
      <c r="AS40" s="307">
        <f t="shared" ref="AS40:AS60" si="55">AR40/$R40</f>
        <v>-0.77897790359346653</v>
      </c>
      <c r="AT40" s="308">
        <v>0.1</v>
      </c>
      <c r="AU40" s="289">
        <v>1</v>
      </c>
      <c r="AV40" s="289">
        <f>AU40-AT40</f>
        <v>0.9</v>
      </c>
      <c r="AW40" s="307">
        <f t="shared" ref="AW40:AW60" si="56">AV40/$R40</f>
        <v>0.2503857547264714</v>
      </c>
      <c r="AX40" s="308">
        <v>8</v>
      </c>
      <c r="AY40" s="289">
        <v>677</v>
      </c>
      <c r="AZ40" s="289">
        <f>AY40-AX40</f>
        <v>669</v>
      </c>
      <c r="BA40" s="307">
        <f t="shared" ref="BA40:BA60" si="57">AZ40/$R40</f>
        <v>186.12007768001041</v>
      </c>
      <c r="BB40" s="308">
        <v>23.8</v>
      </c>
      <c r="BC40" s="289">
        <v>24.5</v>
      </c>
      <c r="BD40" s="289">
        <f>BC40-BB40</f>
        <v>0.69999999999999929</v>
      </c>
      <c r="BE40" s="307">
        <f t="shared" ref="BE40:BE60" si="58">BD40/$R40</f>
        <v>0.19474447589836644</v>
      </c>
      <c r="BF40" s="308">
        <v>0</v>
      </c>
      <c r="BG40" s="289">
        <v>0</v>
      </c>
      <c r="BH40" s="289">
        <f>BG40-BF40</f>
        <v>0</v>
      </c>
      <c r="BI40" s="307">
        <f t="shared" ref="BI40:BI60" si="59">BH40/$R40</f>
        <v>0</v>
      </c>
      <c r="BJ40" s="281">
        <v>97.326480000000004</v>
      </c>
      <c r="BK40" s="281">
        <v>96.433828000000005</v>
      </c>
      <c r="BL40" s="281">
        <f>BK40-BJ40</f>
        <v>-0.89265199999999822</v>
      </c>
      <c r="BM40" s="408">
        <v>0</v>
      </c>
      <c r="BN40" s="458">
        <v>0</v>
      </c>
      <c r="BO40" s="458">
        <f>BN40-BM40</f>
        <v>0</v>
      </c>
      <c r="BP40" s="408">
        <v>23.8</v>
      </c>
      <c r="BQ40" s="458">
        <v>24.5</v>
      </c>
      <c r="BR40" s="458">
        <f>BQ40-BP40</f>
        <v>0.69999999999999929</v>
      </c>
      <c r="BS40" s="281"/>
      <c r="BT40" s="281"/>
      <c r="BU40" s="281"/>
      <c r="BV40" s="281"/>
      <c r="BW40" s="298" t="s">
        <v>713</v>
      </c>
      <c r="BX40" s="422">
        <v>2202.44706984</v>
      </c>
      <c r="BY40" s="422">
        <v>-1.0275723000000001</v>
      </c>
      <c r="BZ40" s="422">
        <v>2027.7390041399999</v>
      </c>
      <c r="CA40" s="422">
        <v>2048.79182137</v>
      </c>
      <c r="CB40" s="422">
        <v>2.9475387400000002</v>
      </c>
      <c r="CC40" s="422">
        <v>2.9658454000000001</v>
      </c>
      <c r="CD40" s="422">
        <v>9.3963420000000006E-2</v>
      </c>
      <c r="CE40" s="422">
        <v>3.5943549400000001</v>
      </c>
      <c r="CF40" s="422">
        <v>3.59098074</v>
      </c>
      <c r="CG40" s="422">
        <v>-0.71563003999999997</v>
      </c>
      <c r="CH40" s="422">
        <v>-0.61724939999999995</v>
      </c>
      <c r="CI40" s="422">
        <v>0.59140514</v>
      </c>
    </row>
    <row r="41" spans="1:87" ht="15" customHeight="1" x14ac:dyDescent="0.2">
      <c r="A41" s="423">
        <f>A40</f>
        <v>62009013</v>
      </c>
      <c r="B41" s="297" t="s">
        <v>608</v>
      </c>
      <c r="C41" s="297" t="s">
        <v>627</v>
      </c>
      <c r="D41" s="326" t="s">
        <v>778</v>
      </c>
      <c r="E41" s="283" t="s">
        <v>816</v>
      </c>
      <c r="F41" s="310" t="str">
        <f t="shared" si="49"/>
        <v>09/14/20</v>
      </c>
      <c r="G41" s="298" t="s">
        <v>817</v>
      </c>
      <c r="H41" s="298" t="s">
        <v>818</v>
      </c>
      <c r="I41" s="306"/>
      <c r="J41" s="299">
        <v>21.694372000000001</v>
      </c>
      <c r="K41" s="299">
        <v>47.431426000000002</v>
      </c>
      <c r="L41" s="299">
        <v>29.641808999999999</v>
      </c>
      <c r="M41" s="299">
        <v>26.914341</v>
      </c>
      <c r="N41" s="284">
        <v>3875</v>
      </c>
      <c r="O41" s="284">
        <v>28.39</v>
      </c>
      <c r="P41" s="284">
        <v>0.20169999999999999</v>
      </c>
      <c r="Q41" s="284">
        <v>1.932E-2</v>
      </c>
      <c r="R41" s="285">
        <v>3.8582120600000001</v>
      </c>
      <c r="S41" s="285">
        <f>R41+R40</f>
        <v>7.4526657499999995</v>
      </c>
      <c r="T41" s="314">
        <v>96.433828000000005</v>
      </c>
      <c r="U41" s="314">
        <v>95.702922000000001</v>
      </c>
      <c r="V41" s="289">
        <v>678</v>
      </c>
      <c r="W41" s="289">
        <v>1226</v>
      </c>
      <c r="X41" s="289">
        <f>W41-V41</f>
        <v>548</v>
      </c>
      <c r="Y41" s="289">
        <f t="shared" si="50"/>
        <v>142.03470194948278</v>
      </c>
      <c r="Z41" s="308">
        <v>31.5</v>
      </c>
      <c r="AA41" s="289">
        <v>70.8</v>
      </c>
      <c r="AB41" s="289">
        <f>AA41-Z41</f>
        <v>39.299999999999997</v>
      </c>
      <c r="AC41" s="289">
        <f t="shared" si="51"/>
        <v>10.186065304041374</v>
      </c>
      <c r="AD41" s="308">
        <v>25.67</v>
      </c>
      <c r="AE41" s="289">
        <v>59.26</v>
      </c>
      <c r="AF41" s="289">
        <f>AE41-AD41</f>
        <v>33.589999999999996</v>
      </c>
      <c r="AG41" s="289">
        <f t="shared" si="52"/>
        <v>8.7061051797137345</v>
      </c>
      <c r="AH41" s="308">
        <v>2.2000000000000002</v>
      </c>
      <c r="AI41" s="289">
        <v>1.95</v>
      </c>
      <c r="AJ41" s="289">
        <f>AI41-AH41</f>
        <v>-0.25000000000000022</v>
      </c>
      <c r="AK41" s="307">
        <f t="shared" si="53"/>
        <v>-6.4796853079143665E-2</v>
      </c>
      <c r="AL41" s="308">
        <v>-2.4</v>
      </c>
      <c r="AM41" s="289">
        <v>-6.3</v>
      </c>
      <c r="AN41" s="289">
        <f>AM41-AL41</f>
        <v>-3.9</v>
      </c>
      <c r="AO41" s="307">
        <f t="shared" si="54"/>
        <v>-1.0108309080346403</v>
      </c>
      <c r="AP41" s="308">
        <v>-2.8</v>
      </c>
      <c r="AQ41" s="289">
        <v>-7.6</v>
      </c>
      <c r="AR41" s="289">
        <f>AQ41-AP41</f>
        <v>-4.8</v>
      </c>
      <c r="AS41" s="307">
        <f t="shared" si="55"/>
        <v>-1.2440995791195573</v>
      </c>
      <c r="AT41" s="308">
        <v>1</v>
      </c>
      <c r="AU41" s="289">
        <v>2.4</v>
      </c>
      <c r="AV41" s="289">
        <f>AU41-AT41</f>
        <v>1.4</v>
      </c>
      <c r="AW41" s="307">
        <f t="shared" si="56"/>
        <v>0.36286237724320419</v>
      </c>
      <c r="AX41" s="308">
        <v>677</v>
      </c>
      <c r="AY41" s="289">
        <v>1223</v>
      </c>
      <c r="AZ41" s="289">
        <f>AY41-AX41</f>
        <v>546</v>
      </c>
      <c r="BA41" s="307">
        <f t="shared" si="57"/>
        <v>141.51632712484962</v>
      </c>
      <c r="BB41" s="308">
        <v>24.5</v>
      </c>
      <c r="BC41" s="289">
        <v>25.7</v>
      </c>
      <c r="BD41" s="289">
        <f>BC41-BB41</f>
        <v>1.1999999999999993</v>
      </c>
      <c r="BE41" s="307">
        <f t="shared" si="58"/>
        <v>0.31102489477988915</v>
      </c>
      <c r="BF41" s="308">
        <v>0</v>
      </c>
      <c r="BG41" s="289">
        <v>0</v>
      </c>
      <c r="BH41" s="289">
        <f>BG41-BF41</f>
        <v>0</v>
      </c>
      <c r="BI41" s="307">
        <f t="shared" si="59"/>
        <v>0</v>
      </c>
      <c r="BJ41" s="281">
        <v>96.433828000000005</v>
      </c>
      <c r="BK41" s="281">
        <v>95.702922000000001</v>
      </c>
      <c r="BL41" s="281">
        <f>BK41-BJ41</f>
        <v>-0.7309060000000045</v>
      </c>
      <c r="BM41" s="408">
        <v>0</v>
      </c>
      <c r="BN41" s="458">
        <v>0</v>
      </c>
      <c r="BO41" s="458">
        <f>BN41-BM41</f>
        <v>0</v>
      </c>
      <c r="BP41" s="408">
        <v>24.5</v>
      </c>
      <c r="BQ41" s="458">
        <v>25.7</v>
      </c>
      <c r="BR41" s="458">
        <f>BQ41-BP41</f>
        <v>1.1999999999999993</v>
      </c>
      <c r="BS41" s="281"/>
      <c r="BT41" s="281"/>
      <c r="BU41" s="281"/>
      <c r="BV41" s="281"/>
      <c r="BW41" s="298" t="s">
        <v>713</v>
      </c>
      <c r="BX41" s="422">
        <v>1349.04902468</v>
      </c>
      <c r="BY41" s="422">
        <v>-1.16495357</v>
      </c>
      <c r="BZ41" s="422">
        <v>3376.3009800099999</v>
      </c>
      <c r="CA41" s="422">
        <v>3416.0969231099998</v>
      </c>
      <c r="CB41" s="422">
        <v>2.7138835800000001</v>
      </c>
      <c r="CC41" s="422">
        <v>2.74163728</v>
      </c>
      <c r="CD41" s="422">
        <v>-4.7087490000000003E-2</v>
      </c>
      <c r="CE41" s="422">
        <v>3.8580128600000001</v>
      </c>
      <c r="CF41" s="422">
        <v>3.8598303600000001</v>
      </c>
      <c r="CG41" s="422">
        <v>-0.97508742999999998</v>
      </c>
      <c r="CH41" s="422">
        <v>-1.0123040699999999</v>
      </c>
      <c r="CI41" s="422">
        <v>0.71727063000000002</v>
      </c>
    </row>
    <row r="42" spans="1:87" ht="15" customHeight="1" x14ac:dyDescent="0.2">
      <c r="A42" s="423">
        <f t="shared" ref="A42:A49" si="60">A41</f>
        <v>62009013</v>
      </c>
      <c r="B42" s="297" t="s">
        <v>609</v>
      </c>
      <c r="C42" s="297" t="s">
        <v>628</v>
      </c>
      <c r="D42" s="326" t="s">
        <v>778</v>
      </c>
      <c r="E42" s="283" t="s">
        <v>816</v>
      </c>
      <c r="F42" s="310" t="str">
        <f t="shared" si="49"/>
        <v>09/14/20</v>
      </c>
      <c r="G42" s="298" t="s">
        <v>817</v>
      </c>
      <c r="H42" s="298" t="s">
        <v>818</v>
      </c>
      <c r="I42" s="306"/>
      <c r="J42" s="300">
        <f>AVERAGE(J40:J41)</f>
        <v>23.079212500000001</v>
      </c>
      <c r="K42" s="300">
        <f>AVERAGE(K40:K41)</f>
        <v>43.904825000000002</v>
      </c>
      <c r="L42" s="300">
        <f>AVERAGE(L40:L41)</f>
        <v>29.647147499999999</v>
      </c>
      <c r="M42" s="300">
        <f>AVERAGE(M40:M41)</f>
        <v>26.046545999999999</v>
      </c>
      <c r="N42" s="286"/>
      <c r="O42" s="284"/>
      <c r="P42" s="302"/>
      <c r="Q42" s="301"/>
      <c r="R42" s="287">
        <f>R41+R40</f>
        <v>7.4526657499999995</v>
      </c>
      <c r="S42" s="287">
        <f>S41</f>
        <v>7.4526657499999995</v>
      </c>
      <c r="T42" s="315">
        <f>T40</f>
        <v>97.326480000000004</v>
      </c>
      <c r="U42" s="315">
        <f>U41</f>
        <v>95.702922000000001</v>
      </c>
      <c r="V42" s="290">
        <f>V40</f>
        <v>8</v>
      </c>
      <c r="W42" s="290">
        <f>W41</f>
        <v>1226</v>
      </c>
      <c r="X42" s="290">
        <f>SUM(X40:X41)</f>
        <v>1218</v>
      </c>
      <c r="Y42" s="290">
        <f t="shared" si="50"/>
        <v>163.43145404045526</v>
      </c>
      <c r="Z42" s="290">
        <f>Z40</f>
        <v>7.5</v>
      </c>
      <c r="AA42" s="290">
        <f>AA41</f>
        <v>70.8</v>
      </c>
      <c r="AB42" s="290">
        <f>SUM(AB40:AB41)</f>
        <v>63.3</v>
      </c>
      <c r="AC42" s="290">
        <f t="shared" si="51"/>
        <v>8.4936051237773551</v>
      </c>
      <c r="AD42" s="290">
        <f>AD40</f>
        <v>4.9797739999999999</v>
      </c>
      <c r="AE42" s="290">
        <f>AE41</f>
        <v>59.26</v>
      </c>
      <c r="AF42" s="290">
        <f>SUM(AF40:AF41)</f>
        <v>54.270225999999994</v>
      </c>
      <c r="AG42" s="290">
        <f t="shared" si="52"/>
        <v>7.281988461645418</v>
      </c>
      <c r="AH42" s="290">
        <f>AH40</f>
        <v>2.39</v>
      </c>
      <c r="AI42" s="290">
        <f>AI41</f>
        <v>1.95</v>
      </c>
      <c r="AJ42" s="290">
        <f>SUM(AJ40:AJ41)</f>
        <v>-0.44000000000000017</v>
      </c>
      <c r="AK42" s="288">
        <f t="shared" si="53"/>
        <v>-5.903927732167516E-2</v>
      </c>
      <c r="AL42" s="290">
        <f>AL40</f>
        <v>-0.2</v>
      </c>
      <c r="AM42" s="290">
        <f>AM41</f>
        <v>-6.3</v>
      </c>
      <c r="AN42" s="290">
        <f>SUM(AN40:AN41)</f>
        <v>-6.1</v>
      </c>
      <c r="AO42" s="288">
        <f t="shared" si="54"/>
        <v>-0.81849907195958704</v>
      </c>
      <c r="AP42" s="290">
        <f>AP40</f>
        <v>0</v>
      </c>
      <c r="AQ42" s="290">
        <f>AQ41</f>
        <v>-7.6</v>
      </c>
      <c r="AR42" s="290">
        <f>SUM(AR40:AR41)</f>
        <v>-7.6</v>
      </c>
      <c r="AS42" s="288">
        <f t="shared" si="55"/>
        <v>-1.019769335556207</v>
      </c>
      <c r="AT42" s="290">
        <f>AT40</f>
        <v>0.1</v>
      </c>
      <c r="AU42" s="290">
        <f>AU41</f>
        <v>2.4</v>
      </c>
      <c r="AV42" s="290">
        <f>SUM(AV40:AV41)</f>
        <v>2.2999999999999998</v>
      </c>
      <c r="AW42" s="288">
        <f t="shared" si="56"/>
        <v>0.30861440418148367</v>
      </c>
      <c r="AX42" s="290">
        <f>AX40</f>
        <v>8</v>
      </c>
      <c r="AY42" s="290">
        <f>AY41</f>
        <v>1223</v>
      </c>
      <c r="AZ42" s="290">
        <f>SUM(AZ40:AZ41)</f>
        <v>1215</v>
      </c>
      <c r="BA42" s="288">
        <f t="shared" si="57"/>
        <v>163.02891351326204</v>
      </c>
      <c r="BB42" s="290">
        <f>BB40</f>
        <v>23.8</v>
      </c>
      <c r="BC42" s="290">
        <f>BC41</f>
        <v>25.7</v>
      </c>
      <c r="BD42" s="290">
        <f>SUM(BD40:BD41)</f>
        <v>1.8999999999999986</v>
      </c>
      <c r="BE42" s="288">
        <f t="shared" si="58"/>
        <v>0.25494233388905152</v>
      </c>
      <c r="BF42" s="290">
        <f>BF40</f>
        <v>0</v>
      </c>
      <c r="BG42" s="290">
        <f>BG41</f>
        <v>0</v>
      </c>
      <c r="BH42" s="290">
        <f>SUM(BH40:BH41)</f>
        <v>0</v>
      </c>
      <c r="BI42" s="288">
        <f t="shared" si="59"/>
        <v>0</v>
      </c>
      <c r="BJ42" s="282"/>
      <c r="BK42" s="282"/>
      <c r="BL42" s="282">
        <f>SUM(BL40:BL41)</f>
        <v>-1.6235580000000027</v>
      </c>
      <c r="BM42" s="459">
        <f>BM40</f>
        <v>0</v>
      </c>
      <c r="BN42" s="459">
        <f>BN41</f>
        <v>0</v>
      </c>
      <c r="BO42" s="459">
        <f>SUM(BO40:BO41)</f>
        <v>0</v>
      </c>
      <c r="BP42" s="459">
        <f>BP40</f>
        <v>23.8</v>
      </c>
      <c r="BQ42" s="459">
        <f>BQ41</f>
        <v>25.7</v>
      </c>
      <c r="BR42" s="459">
        <f>SUM(BR40:BR41)</f>
        <v>1.8999999999999986</v>
      </c>
      <c r="BS42" s="282"/>
      <c r="BT42" s="282"/>
      <c r="BU42" s="282"/>
      <c r="BV42" s="282"/>
      <c r="BW42" s="298" t="s">
        <v>713</v>
      </c>
    </row>
    <row r="43" spans="1:87" ht="15" customHeight="1" x14ac:dyDescent="0.2">
      <c r="A43" s="423">
        <f t="shared" si="60"/>
        <v>62009013</v>
      </c>
      <c r="B43" s="297" t="s">
        <v>610</v>
      </c>
      <c r="C43" s="297" t="s">
        <v>629</v>
      </c>
      <c r="D43" s="326" t="s">
        <v>778</v>
      </c>
      <c r="E43" s="283" t="s">
        <v>816</v>
      </c>
      <c r="F43" s="310" t="str">
        <f t="shared" si="49"/>
        <v>09/14/20</v>
      </c>
      <c r="G43" s="298" t="s">
        <v>817</v>
      </c>
      <c r="H43" s="298" t="s">
        <v>818</v>
      </c>
      <c r="I43" s="306"/>
      <c r="J43" s="299">
        <v>24.811661999999998</v>
      </c>
      <c r="K43" s="299">
        <v>39.864539000000001</v>
      </c>
      <c r="L43" s="299">
        <v>29.643989999999999</v>
      </c>
      <c r="M43" s="299">
        <v>28.042798999999999</v>
      </c>
      <c r="N43" s="284">
        <v>3875</v>
      </c>
      <c r="O43" s="284">
        <v>28.39</v>
      </c>
      <c r="P43" s="284">
        <v>0.20169999999999999</v>
      </c>
      <c r="Q43" s="284">
        <v>1.932E-2</v>
      </c>
      <c r="R43" s="285">
        <v>10.27629406</v>
      </c>
      <c r="S43" s="285">
        <f>R43+R42</f>
        <v>17.728959809999999</v>
      </c>
      <c r="T43" s="314">
        <v>95.701396000000003</v>
      </c>
      <c r="U43" s="314">
        <v>93.057012</v>
      </c>
      <c r="V43" s="289">
        <v>1227</v>
      </c>
      <c r="W43" s="289">
        <v>3202</v>
      </c>
      <c r="X43" s="289">
        <f>W43-V43</f>
        <v>1975</v>
      </c>
      <c r="Y43" s="289">
        <f t="shared" si="50"/>
        <v>192.18990702957754</v>
      </c>
      <c r="Z43" s="308">
        <v>71.599999999999994</v>
      </c>
      <c r="AA43" s="289">
        <v>107.6</v>
      </c>
      <c r="AB43" s="289">
        <f>AA43-Z43</f>
        <v>36</v>
      </c>
      <c r="AC43" s="289">
        <f t="shared" si="51"/>
        <v>3.5032084319315402</v>
      </c>
      <c r="AD43" s="308">
        <v>59.93</v>
      </c>
      <c r="AE43" s="289">
        <v>90.86</v>
      </c>
      <c r="AF43" s="289">
        <f>AE43-AD43</f>
        <v>30.93</v>
      </c>
      <c r="AG43" s="289">
        <f t="shared" si="52"/>
        <v>3.0098399111011815</v>
      </c>
      <c r="AH43" s="308">
        <v>1.95</v>
      </c>
      <c r="AI43" s="289">
        <v>1.74</v>
      </c>
      <c r="AJ43" s="289">
        <f>AI43-AH43</f>
        <v>-0.20999999999999996</v>
      </c>
      <c r="AK43" s="307">
        <f t="shared" si="53"/>
        <v>-2.0435382519600649E-2</v>
      </c>
      <c r="AL43" s="308">
        <v>-6.4</v>
      </c>
      <c r="AM43" s="289">
        <v>-9.6999999999999993</v>
      </c>
      <c r="AN43" s="289">
        <f>AM43-AL43</f>
        <v>-3.2999999999999989</v>
      </c>
      <c r="AO43" s="307">
        <f t="shared" si="54"/>
        <v>-0.32112743959372442</v>
      </c>
      <c r="AP43" s="308">
        <v>-7.7</v>
      </c>
      <c r="AQ43" s="289">
        <v>-11.9</v>
      </c>
      <c r="AR43" s="289">
        <f>AQ43-AP43</f>
        <v>-4.2</v>
      </c>
      <c r="AS43" s="307">
        <f t="shared" si="55"/>
        <v>-0.40870765039201307</v>
      </c>
      <c r="AT43" s="308">
        <v>2.5</v>
      </c>
      <c r="AU43" s="289">
        <v>3.8</v>
      </c>
      <c r="AV43" s="289">
        <f>AU43-AT43</f>
        <v>1.2999999999999998</v>
      </c>
      <c r="AW43" s="307">
        <f t="shared" si="56"/>
        <v>0.12650474893086117</v>
      </c>
      <c r="AX43" s="308">
        <v>1224</v>
      </c>
      <c r="AY43" s="289">
        <v>3198</v>
      </c>
      <c r="AZ43" s="289">
        <f>AY43-AX43</f>
        <v>1974</v>
      </c>
      <c r="BA43" s="307">
        <f t="shared" si="57"/>
        <v>192.09259568424613</v>
      </c>
      <c r="BB43" s="308">
        <v>25.730816999999998</v>
      </c>
      <c r="BC43" s="289">
        <v>26.8</v>
      </c>
      <c r="BD43" s="289">
        <f>BC43-BB43</f>
        <v>1.0691830000000024</v>
      </c>
      <c r="BE43" s="307">
        <f t="shared" si="58"/>
        <v>0.10404363613549635</v>
      </c>
      <c r="BF43" s="308">
        <v>0</v>
      </c>
      <c r="BG43" s="289">
        <v>0</v>
      </c>
      <c r="BH43" s="289">
        <f>BG43-BF43</f>
        <v>0</v>
      </c>
      <c r="BI43" s="307">
        <f t="shared" si="59"/>
        <v>0</v>
      </c>
      <c r="BJ43" s="281">
        <v>95.701396000000003</v>
      </c>
      <c r="BK43" s="281">
        <v>93.057012</v>
      </c>
      <c r="BL43" s="281">
        <f>BK43-BJ43</f>
        <v>-2.6443840000000023</v>
      </c>
      <c r="BM43" s="408">
        <v>0</v>
      </c>
      <c r="BN43" s="458">
        <v>0</v>
      </c>
      <c r="BO43" s="458">
        <f>BN43-BM43</f>
        <v>0</v>
      </c>
      <c r="BP43" s="408">
        <v>25.730816999999998</v>
      </c>
      <c r="BQ43" s="458">
        <v>26.8</v>
      </c>
      <c r="BR43" s="458">
        <f>BQ43-BP43</f>
        <v>1.0691830000000024</v>
      </c>
      <c r="BS43" s="281"/>
      <c r="BT43" s="281"/>
      <c r="BU43" s="281"/>
      <c r="BV43" s="281"/>
      <c r="BW43" s="298" t="s">
        <v>713</v>
      </c>
      <c r="BX43" s="422">
        <v>1772.42050397</v>
      </c>
      <c r="BY43" s="422">
        <v>1.4934832099999999</v>
      </c>
      <c r="BZ43" s="422">
        <v>1326.23082626</v>
      </c>
      <c r="CA43" s="422">
        <v>1306.71525329</v>
      </c>
      <c r="CB43" s="422">
        <v>7.3464938799999997</v>
      </c>
      <c r="CC43" s="422">
        <v>7.3153777299999998</v>
      </c>
      <c r="CD43" s="422">
        <v>0.19200618</v>
      </c>
      <c r="CE43" s="422">
        <v>10.27637378</v>
      </c>
      <c r="CF43" s="422">
        <v>10.256680319999999</v>
      </c>
      <c r="CG43" s="422">
        <v>0.23235807999999999</v>
      </c>
      <c r="CH43" s="422">
        <v>0.42535260000000003</v>
      </c>
      <c r="CI43" s="422">
        <v>0.28264968000000001</v>
      </c>
    </row>
    <row r="44" spans="1:87" ht="15" customHeight="1" x14ac:dyDescent="0.2">
      <c r="A44" s="423">
        <f t="shared" si="60"/>
        <v>62009013</v>
      </c>
      <c r="B44" s="297" t="s">
        <v>611</v>
      </c>
      <c r="C44" s="297" t="s">
        <v>630</v>
      </c>
      <c r="D44" s="326" t="s">
        <v>778</v>
      </c>
      <c r="E44" s="283" t="s">
        <v>816</v>
      </c>
      <c r="F44" s="310" t="str">
        <f t="shared" si="49"/>
        <v>09/14/20</v>
      </c>
      <c r="G44" s="298" t="s">
        <v>817</v>
      </c>
      <c r="H44" s="298" t="s">
        <v>818</v>
      </c>
      <c r="I44" s="306"/>
      <c r="J44" s="299">
        <v>20.552002999999999</v>
      </c>
      <c r="K44" s="299">
        <v>51.299785999999997</v>
      </c>
      <c r="L44" s="299">
        <v>29.635691000000001</v>
      </c>
      <c r="M44" s="299">
        <v>27.650689</v>
      </c>
      <c r="N44" s="284">
        <v>3875</v>
      </c>
      <c r="O44" s="284">
        <v>28.39</v>
      </c>
      <c r="P44" s="284">
        <v>0.20169999999999999</v>
      </c>
      <c r="Q44" s="284">
        <v>1.932E-2</v>
      </c>
      <c r="R44" s="285">
        <v>3.5919471199999999</v>
      </c>
      <c r="S44" s="285">
        <f>R44+R43</f>
        <v>13.86824118</v>
      </c>
      <c r="T44" s="314">
        <v>93.057012</v>
      </c>
      <c r="U44" s="314">
        <v>93.057012</v>
      </c>
      <c r="V44" s="289">
        <v>3208</v>
      </c>
      <c r="W44" s="289">
        <v>3834</v>
      </c>
      <c r="X44" s="289">
        <f>W44-V44</f>
        <v>626</v>
      </c>
      <c r="Y44" s="289">
        <f t="shared" si="50"/>
        <v>174.27873492747855</v>
      </c>
      <c r="Z44" s="308">
        <v>112.5</v>
      </c>
      <c r="AA44" s="289">
        <v>135.19999999999999</v>
      </c>
      <c r="AB44" s="289">
        <f>AA44-Z44</f>
        <v>22.699999999999989</v>
      </c>
      <c r="AC44" s="289">
        <f t="shared" si="51"/>
        <v>6.3196921451338035</v>
      </c>
      <c r="AD44" s="308">
        <v>95.15</v>
      </c>
      <c r="AE44" s="289">
        <v>114.56</v>
      </c>
      <c r="AF44" s="289">
        <f>AE44-AD44</f>
        <v>19.409999999999997</v>
      </c>
      <c r="AG44" s="289">
        <f t="shared" si="52"/>
        <v>5.403754384891946</v>
      </c>
      <c r="AH44" s="308">
        <v>3.038605</v>
      </c>
      <c r="AI44" s="289">
        <v>3.58</v>
      </c>
      <c r="AJ44" s="289">
        <f>AI44-AH44</f>
        <v>0.54139500000000007</v>
      </c>
      <c r="AK44" s="307">
        <f t="shared" si="53"/>
        <v>0.15072465766144133</v>
      </c>
      <c r="AL44" s="308">
        <v>-10</v>
      </c>
      <c r="AM44" s="289">
        <v>-12.3</v>
      </c>
      <c r="AN44" s="289">
        <f>AM44-AL44</f>
        <v>-2.3000000000000007</v>
      </c>
      <c r="AO44" s="307">
        <f t="shared" si="54"/>
        <v>-0.64032123056421852</v>
      </c>
      <c r="AP44" s="308">
        <v>-12</v>
      </c>
      <c r="AQ44" s="289">
        <v>-14.7</v>
      </c>
      <c r="AR44" s="289">
        <f>AQ44-AP44</f>
        <v>-2.6999999999999993</v>
      </c>
      <c r="AS44" s="307">
        <f t="shared" si="55"/>
        <v>-0.75168144457538655</v>
      </c>
      <c r="AT44" s="308">
        <v>3.9</v>
      </c>
      <c r="AU44" s="289">
        <v>4.7</v>
      </c>
      <c r="AV44" s="289">
        <f>AU44-AT44</f>
        <v>0.80000000000000027</v>
      </c>
      <c r="AW44" s="307">
        <f t="shared" si="56"/>
        <v>0.22272042802233688</v>
      </c>
      <c r="AX44" s="308">
        <v>3204</v>
      </c>
      <c r="AY44" s="289">
        <v>3830</v>
      </c>
      <c r="AZ44" s="289">
        <f>AY44-AX44</f>
        <v>626</v>
      </c>
      <c r="BA44" s="307">
        <f t="shared" si="57"/>
        <v>174.27873492747855</v>
      </c>
      <c r="BB44" s="308">
        <v>27.7</v>
      </c>
      <c r="BC44" s="289">
        <v>28.4</v>
      </c>
      <c r="BD44" s="289">
        <f>BC44-BB44</f>
        <v>0.69999999999999929</v>
      </c>
      <c r="BE44" s="307">
        <f t="shared" si="58"/>
        <v>0.19488037451954451</v>
      </c>
      <c r="BF44" s="308">
        <v>0</v>
      </c>
      <c r="BG44" s="289">
        <v>0</v>
      </c>
      <c r="BH44" s="289">
        <f>BG44-BF44</f>
        <v>0</v>
      </c>
      <c r="BI44" s="307">
        <f t="shared" si="59"/>
        <v>0</v>
      </c>
      <c r="BJ44" s="281">
        <v>93.057012</v>
      </c>
      <c r="BK44" s="281">
        <v>93.057012</v>
      </c>
      <c r="BL44" s="281">
        <f>BK44-BJ44</f>
        <v>0</v>
      </c>
      <c r="BM44" s="408">
        <v>0</v>
      </c>
      <c r="BN44" s="458">
        <v>0</v>
      </c>
      <c r="BO44" s="458">
        <f>BN44-BM44</f>
        <v>0</v>
      </c>
      <c r="BP44" s="408">
        <v>27.7</v>
      </c>
      <c r="BQ44" s="458">
        <v>28.4</v>
      </c>
      <c r="BR44" s="458">
        <f>BQ44-BP44</f>
        <v>0.69999999999999929</v>
      </c>
      <c r="BS44" s="281"/>
      <c r="BT44" s="281"/>
      <c r="BU44" s="281"/>
      <c r="BV44" s="281"/>
      <c r="BW44" s="298" t="s">
        <v>713</v>
      </c>
      <c r="BX44" s="422">
        <v>2196.1204758899999</v>
      </c>
      <c r="BY44" s="422">
        <v>-1.11169406</v>
      </c>
      <c r="BZ44" s="422">
        <v>2025.8689725199999</v>
      </c>
      <c r="CA44" s="422">
        <v>2048.6436220700002</v>
      </c>
      <c r="CB44" s="422">
        <v>2.9428066199999998</v>
      </c>
      <c r="CC44" s="422">
        <v>2.9656547600000001</v>
      </c>
      <c r="CD44" s="422">
        <v>2.467248E-2</v>
      </c>
      <c r="CE44" s="422">
        <v>3.5918656100000002</v>
      </c>
      <c r="CF44" s="422">
        <v>3.5909796300000001</v>
      </c>
      <c r="CG44" s="422">
        <v>-0.80127029000000005</v>
      </c>
      <c r="CH44" s="422">
        <v>-0.77042463000000005</v>
      </c>
      <c r="CI44" s="422">
        <v>0.59138025999999999</v>
      </c>
    </row>
    <row r="45" spans="1:87" ht="15" customHeight="1" x14ac:dyDescent="0.2">
      <c r="A45" s="423">
        <f t="shared" si="60"/>
        <v>62009013</v>
      </c>
      <c r="B45" s="297" t="s">
        <v>224</v>
      </c>
      <c r="C45" s="297" t="s">
        <v>631</v>
      </c>
      <c r="D45" s="326" t="s">
        <v>778</v>
      </c>
      <c r="E45" s="283" t="s">
        <v>816</v>
      </c>
      <c r="F45" s="310" t="str">
        <f t="shared" si="49"/>
        <v>09/14/20</v>
      </c>
      <c r="G45" s="298" t="s">
        <v>817</v>
      </c>
      <c r="H45" s="298" t="s">
        <v>818</v>
      </c>
      <c r="I45" s="306"/>
      <c r="J45" s="299">
        <v>19.877033999999998</v>
      </c>
      <c r="K45" s="299">
        <v>53.617876000000003</v>
      </c>
      <c r="L45" s="299">
        <v>29.634675999999999</v>
      </c>
      <c r="M45" s="299">
        <v>27.056455</v>
      </c>
      <c r="N45" s="284">
        <v>3875</v>
      </c>
      <c r="O45" s="284">
        <v>28.39</v>
      </c>
      <c r="P45" s="284">
        <v>0.20169999999999999</v>
      </c>
      <c r="Q45" s="284">
        <v>1.932E-2</v>
      </c>
      <c r="R45" s="285">
        <v>3.8546554099999999</v>
      </c>
      <c r="S45" s="285">
        <f>R45+R44</f>
        <v>7.4466025299999998</v>
      </c>
      <c r="T45" s="314">
        <v>93.057012</v>
      </c>
      <c r="U45" s="314">
        <v>93.057012</v>
      </c>
      <c r="V45" s="289">
        <v>3834</v>
      </c>
      <c r="W45" s="289">
        <v>4374</v>
      </c>
      <c r="X45" s="289">
        <f>W45-V45</f>
        <v>540</v>
      </c>
      <c r="Y45" s="289">
        <f t="shared" si="50"/>
        <v>140.09034338039572</v>
      </c>
      <c r="Z45" s="308">
        <v>135.19999999999999</v>
      </c>
      <c r="AA45" s="289">
        <v>174.2</v>
      </c>
      <c r="AB45" s="289">
        <f>AA45-Z45</f>
        <v>39</v>
      </c>
      <c r="AC45" s="289">
        <f t="shared" si="51"/>
        <v>10.117635910806356</v>
      </c>
      <c r="AD45" s="308">
        <v>114.57</v>
      </c>
      <c r="AE45" s="289">
        <v>147.88</v>
      </c>
      <c r="AF45" s="289">
        <f>AE45-AD45</f>
        <v>33.31</v>
      </c>
      <c r="AG45" s="289">
        <f t="shared" si="52"/>
        <v>8.6414987740758917</v>
      </c>
      <c r="AH45" s="308">
        <v>3.58</v>
      </c>
      <c r="AI45" s="289">
        <v>3.42</v>
      </c>
      <c r="AJ45" s="289">
        <f>AI45-AH45</f>
        <v>-0.16000000000000014</v>
      </c>
      <c r="AK45" s="307">
        <f t="shared" si="53"/>
        <v>-4.1508249890487653E-2</v>
      </c>
      <c r="AL45" s="308">
        <v>-12.3</v>
      </c>
      <c r="AM45" s="289">
        <v>-16.100000000000001</v>
      </c>
      <c r="AN45" s="289">
        <f>AM45-AL45</f>
        <v>-3.8000000000000007</v>
      </c>
      <c r="AO45" s="307">
        <f t="shared" si="54"/>
        <v>-0.98582093489908107</v>
      </c>
      <c r="AP45" s="308">
        <v>-14.7</v>
      </c>
      <c r="AQ45" s="289">
        <v>-19.399999999999999</v>
      </c>
      <c r="AR45" s="289">
        <f>AQ45-AP45</f>
        <v>-4.6999999999999993</v>
      </c>
      <c r="AS45" s="307">
        <f t="shared" si="55"/>
        <v>-1.2193048405330735</v>
      </c>
      <c r="AT45" s="308">
        <v>4.7</v>
      </c>
      <c r="AU45" s="289">
        <v>6.2</v>
      </c>
      <c r="AV45" s="289">
        <f>AU45-AT45</f>
        <v>1.5</v>
      </c>
      <c r="AW45" s="307">
        <f t="shared" si="56"/>
        <v>0.38913984272332142</v>
      </c>
      <c r="AX45" s="308">
        <v>3830</v>
      </c>
      <c r="AY45" s="289">
        <v>4368</v>
      </c>
      <c r="AZ45" s="289">
        <f>AY45-AX45</f>
        <v>538</v>
      </c>
      <c r="BA45" s="307">
        <f t="shared" si="57"/>
        <v>139.5714902567646</v>
      </c>
      <c r="BB45" s="308">
        <v>28.4</v>
      </c>
      <c r="BC45" s="289">
        <v>29.6</v>
      </c>
      <c r="BD45" s="289">
        <f>BC45-BB45</f>
        <v>1.2000000000000028</v>
      </c>
      <c r="BE45" s="307">
        <f t="shared" si="58"/>
        <v>0.31131187417865785</v>
      </c>
      <c r="BF45" s="308">
        <v>0</v>
      </c>
      <c r="BG45" s="289">
        <v>0</v>
      </c>
      <c r="BH45" s="289">
        <f>BG45-BF45</f>
        <v>0</v>
      </c>
      <c r="BI45" s="307">
        <f t="shared" si="59"/>
        <v>0</v>
      </c>
      <c r="BJ45" s="281">
        <v>93.057012</v>
      </c>
      <c r="BK45" s="281">
        <v>93.057012</v>
      </c>
      <c r="BL45" s="281">
        <f>BK45-BJ45</f>
        <v>0</v>
      </c>
      <c r="BM45" s="408">
        <v>0</v>
      </c>
      <c r="BN45" s="458">
        <v>0</v>
      </c>
      <c r="BO45" s="458">
        <f>BN45-BM45</f>
        <v>0</v>
      </c>
      <c r="BP45" s="408">
        <v>28.4</v>
      </c>
      <c r="BQ45" s="458">
        <v>29.6</v>
      </c>
      <c r="BR45" s="458">
        <f>BQ45-BP45</f>
        <v>1.2000000000000028</v>
      </c>
      <c r="BS45" s="281"/>
      <c r="BT45" s="281"/>
      <c r="BU45" s="281"/>
      <c r="BV45" s="281"/>
      <c r="BW45" s="298" t="s">
        <v>713</v>
      </c>
      <c r="BX45" s="422">
        <v>1348.28800351</v>
      </c>
      <c r="BY45" s="422">
        <v>-1.4711486300000001</v>
      </c>
      <c r="BZ45" s="422">
        <v>3365.7372633800001</v>
      </c>
      <c r="CA45" s="422">
        <v>3415.9915764900002</v>
      </c>
      <c r="CB45" s="422">
        <v>2.7076914699999999</v>
      </c>
      <c r="CC45" s="422">
        <v>2.7414889900000001</v>
      </c>
      <c r="CD45" s="422">
        <v>-0.13842104</v>
      </c>
      <c r="CE45" s="422">
        <v>3.85448681</v>
      </c>
      <c r="CF45" s="422">
        <v>3.8598296300000001</v>
      </c>
      <c r="CG45" s="422">
        <v>-1.1080554899999999</v>
      </c>
      <c r="CH45" s="422">
        <v>-1.23281624</v>
      </c>
      <c r="CI45" s="422">
        <v>0.71727912000000005</v>
      </c>
    </row>
    <row r="46" spans="1:87" ht="15" customHeight="1" x14ac:dyDescent="0.2">
      <c r="A46" s="423">
        <f t="shared" si="60"/>
        <v>62009013</v>
      </c>
      <c r="B46" s="297" t="s">
        <v>612</v>
      </c>
      <c r="C46" s="297" t="s">
        <v>632</v>
      </c>
      <c r="D46" s="326" t="s">
        <v>778</v>
      </c>
      <c r="E46" s="283" t="s">
        <v>816</v>
      </c>
      <c r="F46" s="310" t="str">
        <f t="shared" si="49"/>
        <v>09/14/20</v>
      </c>
      <c r="G46" s="298" t="s">
        <v>817</v>
      </c>
      <c r="H46" s="298" t="s">
        <v>818</v>
      </c>
      <c r="I46" s="306"/>
      <c r="J46" s="300">
        <f>AVERAGE(J44:J45)</f>
        <v>20.214518499999997</v>
      </c>
      <c r="K46" s="300">
        <f>AVERAGE(K44:K45)</f>
        <v>52.458831000000004</v>
      </c>
      <c r="L46" s="300">
        <f>AVERAGE(L44:L45)</f>
        <v>29.6351835</v>
      </c>
      <c r="M46" s="300">
        <f>AVERAGE(M44:M45)</f>
        <v>27.353572</v>
      </c>
      <c r="N46" s="286"/>
      <c r="O46" s="284"/>
      <c r="P46" s="302"/>
      <c r="Q46" s="301"/>
      <c r="R46" s="287">
        <f>R45+R44</f>
        <v>7.4466025299999998</v>
      </c>
      <c r="S46" s="287">
        <f>S45</f>
        <v>7.4466025299999998</v>
      </c>
      <c r="T46" s="315">
        <f>T44</f>
        <v>93.057012</v>
      </c>
      <c r="U46" s="315">
        <f>U45</f>
        <v>93.057012</v>
      </c>
      <c r="V46" s="290">
        <f>V44</f>
        <v>3208</v>
      </c>
      <c r="W46" s="290">
        <f>W45</f>
        <v>4374</v>
      </c>
      <c r="X46" s="290">
        <f>SUM(X44:X45)</f>
        <v>1166</v>
      </c>
      <c r="Y46" s="290">
        <f t="shared" si="50"/>
        <v>156.58147394097588</v>
      </c>
      <c r="Z46" s="290">
        <f>Z44</f>
        <v>112.5</v>
      </c>
      <c r="AA46" s="290">
        <f>AA45</f>
        <v>174.2</v>
      </c>
      <c r="AB46" s="290">
        <f>SUM(AB44:AB45)</f>
        <v>61.699999999999989</v>
      </c>
      <c r="AC46" s="290">
        <f t="shared" si="51"/>
        <v>8.2856577548526662</v>
      </c>
      <c r="AD46" s="290">
        <f>AD44</f>
        <v>95.15</v>
      </c>
      <c r="AE46" s="290">
        <f>AE45</f>
        <v>147.88</v>
      </c>
      <c r="AF46" s="290">
        <f>SUM(AF44:AF45)</f>
        <v>52.72</v>
      </c>
      <c r="AG46" s="290">
        <f t="shared" si="52"/>
        <v>7.0797386845353758</v>
      </c>
      <c r="AH46" s="290">
        <f>AH44</f>
        <v>3.038605</v>
      </c>
      <c r="AI46" s="290">
        <f>AI45</f>
        <v>3.42</v>
      </c>
      <c r="AJ46" s="290">
        <f>SUM(AJ44:AJ45)</f>
        <v>0.38139499999999993</v>
      </c>
      <c r="AK46" s="288">
        <f t="shared" si="53"/>
        <v>5.1217316684149646E-2</v>
      </c>
      <c r="AL46" s="290">
        <f>AL44</f>
        <v>-10</v>
      </c>
      <c r="AM46" s="290">
        <f>AM45</f>
        <v>-16.100000000000001</v>
      </c>
      <c r="AN46" s="290">
        <f>SUM(AN44:AN45)</f>
        <v>-6.1000000000000014</v>
      </c>
      <c r="AO46" s="288">
        <f t="shared" si="54"/>
        <v>-0.81916551547165783</v>
      </c>
      <c r="AP46" s="290">
        <f>AP44</f>
        <v>-12</v>
      </c>
      <c r="AQ46" s="290">
        <f>AQ45</f>
        <v>-19.399999999999999</v>
      </c>
      <c r="AR46" s="290">
        <f>SUM(AR44:AR45)</f>
        <v>-7.3999999999999986</v>
      </c>
      <c r="AS46" s="288">
        <f t="shared" si="55"/>
        <v>-0.99374177286725662</v>
      </c>
      <c r="AT46" s="290">
        <f>AT44</f>
        <v>3.9</v>
      </c>
      <c r="AU46" s="290">
        <f>AU45</f>
        <v>6.2</v>
      </c>
      <c r="AV46" s="290">
        <f>SUM(AV44:AV45)</f>
        <v>2.3000000000000003</v>
      </c>
      <c r="AW46" s="288">
        <f t="shared" si="56"/>
        <v>0.30886568616144472</v>
      </c>
      <c r="AX46" s="290">
        <f>AX44</f>
        <v>3204</v>
      </c>
      <c r="AY46" s="290">
        <f>AY45</f>
        <v>4368</v>
      </c>
      <c r="AZ46" s="290">
        <f>SUM(AZ44:AZ45)</f>
        <v>1164</v>
      </c>
      <c r="BA46" s="288">
        <f t="shared" si="57"/>
        <v>156.31289508344418</v>
      </c>
      <c r="BB46" s="290">
        <f>BB44</f>
        <v>27.7</v>
      </c>
      <c r="BC46" s="290">
        <f>BC45</f>
        <v>29.6</v>
      </c>
      <c r="BD46" s="290">
        <f>SUM(BD44:BD45)</f>
        <v>1.9000000000000021</v>
      </c>
      <c r="BE46" s="288">
        <f t="shared" si="58"/>
        <v>0.25514991465510678</v>
      </c>
      <c r="BF46" s="290">
        <f>BF44</f>
        <v>0</v>
      </c>
      <c r="BG46" s="290">
        <f>BG45</f>
        <v>0</v>
      </c>
      <c r="BH46" s="290">
        <f>SUM(BH44:BH45)</f>
        <v>0</v>
      </c>
      <c r="BI46" s="288">
        <f t="shared" si="59"/>
        <v>0</v>
      </c>
      <c r="BJ46" s="282"/>
      <c r="BK46" s="282"/>
      <c r="BL46" s="282">
        <f>SUM(BL44:BL45)</f>
        <v>0</v>
      </c>
      <c r="BM46" s="459">
        <f>BM44</f>
        <v>0</v>
      </c>
      <c r="BN46" s="459">
        <f>BN45</f>
        <v>0</v>
      </c>
      <c r="BO46" s="459">
        <f>SUM(BO44:BO45)</f>
        <v>0</v>
      </c>
      <c r="BP46" s="459">
        <f>BP44</f>
        <v>27.7</v>
      </c>
      <c r="BQ46" s="459">
        <f>BQ45</f>
        <v>29.6</v>
      </c>
      <c r="BR46" s="459">
        <f>SUM(BR44:BR45)</f>
        <v>1.9000000000000021</v>
      </c>
      <c r="BS46" s="282"/>
      <c r="BT46" s="282"/>
      <c r="BU46" s="282"/>
      <c r="BV46" s="282"/>
      <c r="BW46" s="298" t="s">
        <v>713</v>
      </c>
    </row>
    <row r="47" spans="1:87" ht="15" customHeight="1" x14ac:dyDescent="0.2">
      <c r="A47" s="423">
        <f t="shared" si="60"/>
        <v>62009013</v>
      </c>
      <c r="B47" s="297" t="s">
        <v>613</v>
      </c>
      <c r="C47" s="297" t="s">
        <v>633</v>
      </c>
      <c r="D47" s="326" t="s">
        <v>778</v>
      </c>
      <c r="E47" s="283" t="s">
        <v>816</v>
      </c>
      <c r="F47" s="310" t="str">
        <f t="shared" si="49"/>
        <v>09/14/20</v>
      </c>
      <c r="G47" s="298" t="s">
        <v>817</v>
      </c>
      <c r="H47" s="298" t="s">
        <v>818</v>
      </c>
      <c r="I47" s="306"/>
      <c r="J47" s="299">
        <v>23.143999999999998</v>
      </c>
      <c r="K47" s="299">
        <v>43.266229000000003</v>
      </c>
      <c r="L47" s="299">
        <v>29.634781</v>
      </c>
      <c r="M47" s="299">
        <v>29.371205</v>
      </c>
      <c r="N47" s="284">
        <v>3875</v>
      </c>
      <c r="O47" s="284">
        <v>28.39</v>
      </c>
      <c r="P47" s="284">
        <v>0.20169999999999999</v>
      </c>
      <c r="Q47" s="284">
        <v>1.932E-2</v>
      </c>
      <c r="R47" s="285">
        <v>1.76909461</v>
      </c>
      <c r="S47" s="285">
        <f>R47+R46</f>
        <v>9.2156971399999996</v>
      </c>
      <c r="T47" s="314">
        <v>93.057012</v>
      </c>
      <c r="U47" s="314">
        <v>93.057012</v>
      </c>
      <c r="V47" s="289">
        <v>4378</v>
      </c>
      <c r="W47" s="289">
        <v>6482</v>
      </c>
      <c r="X47" s="289">
        <f>W47-V47-X48</f>
        <v>447</v>
      </c>
      <c r="Y47" s="289">
        <f t="shared" si="50"/>
        <v>252.67161941101611</v>
      </c>
      <c r="Z47" s="308">
        <v>178.5</v>
      </c>
      <c r="AA47" s="289">
        <v>206.8</v>
      </c>
      <c r="AB47" s="289">
        <f>AA47-Z47-AB48</f>
        <v>11</v>
      </c>
      <c r="AC47" s="289">
        <f t="shared" si="51"/>
        <v>6.2178698289064371</v>
      </c>
      <c r="AD47" s="308">
        <v>151.63807499999999</v>
      </c>
      <c r="AE47" s="289">
        <v>175.94</v>
      </c>
      <c r="AF47" s="289">
        <f>AE47-AD47-AF48</f>
        <v>9.4398610000000076</v>
      </c>
      <c r="AG47" s="289">
        <f t="shared" si="52"/>
        <v>5.3359842637245993</v>
      </c>
      <c r="AH47" s="308">
        <v>3.4</v>
      </c>
      <c r="AI47" s="289">
        <v>3.27</v>
      </c>
      <c r="AJ47" s="289">
        <f>AI47-AH47-AJ48</f>
        <v>-4.9999999999999822E-2</v>
      </c>
      <c r="AK47" s="307">
        <f t="shared" si="53"/>
        <v>-2.826304467684734E-2</v>
      </c>
      <c r="AL47" s="308">
        <v>-16.5</v>
      </c>
      <c r="AM47" s="289">
        <v>-19.2</v>
      </c>
      <c r="AN47" s="289">
        <f>AM47-AL47-AN48</f>
        <v>-1.1000000000000014</v>
      </c>
      <c r="AO47" s="307">
        <f t="shared" si="54"/>
        <v>-0.62178698289064449</v>
      </c>
      <c r="AP47" s="308">
        <v>-19.899999999999999</v>
      </c>
      <c r="AQ47" s="289">
        <v>-23.1</v>
      </c>
      <c r="AR47" s="289">
        <f>AQ47-AP47-AR48</f>
        <v>-1.3000000000000043</v>
      </c>
      <c r="AS47" s="307">
        <f t="shared" si="55"/>
        <v>-0.73483916159803586</v>
      </c>
      <c r="AT47" s="308">
        <v>6.4</v>
      </c>
      <c r="AU47" s="289">
        <v>7.4</v>
      </c>
      <c r="AV47" s="289">
        <f>AU47-AT47-AV48</f>
        <v>0.39999999999999947</v>
      </c>
      <c r="AW47" s="307">
        <f t="shared" si="56"/>
        <v>0.22610435741477922</v>
      </c>
      <c r="AX47" s="308">
        <v>4372</v>
      </c>
      <c r="AY47" s="289">
        <v>6477</v>
      </c>
      <c r="AZ47" s="289">
        <f>AY47-AX47-AZ48</f>
        <v>447</v>
      </c>
      <c r="BA47" s="307">
        <f t="shared" si="57"/>
        <v>252.67161941101611</v>
      </c>
      <c r="BB47" s="308">
        <v>29.7</v>
      </c>
      <c r="BC47" s="289">
        <v>30.6</v>
      </c>
      <c r="BD47" s="289">
        <f>BC47-BB47-BD48</f>
        <v>0.40000000000000213</v>
      </c>
      <c r="BE47" s="307">
        <f t="shared" si="58"/>
        <v>0.22610435741478074</v>
      </c>
      <c r="BF47" s="308">
        <v>0</v>
      </c>
      <c r="BG47" s="289">
        <v>0</v>
      </c>
      <c r="BH47" s="289">
        <f>BG47-BF47-BH48</f>
        <v>0</v>
      </c>
      <c r="BI47" s="307">
        <f t="shared" si="59"/>
        <v>0</v>
      </c>
      <c r="BJ47" s="281">
        <v>93.057012</v>
      </c>
      <c r="BK47" s="281">
        <v>93.057012</v>
      </c>
      <c r="BL47" s="281">
        <f>BK47-BJ47-BL48</f>
        <v>0</v>
      </c>
      <c r="BM47" s="408">
        <v>0</v>
      </c>
      <c r="BN47" s="458">
        <v>0</v>
      </c>
      <c r="BO47" s="458">
        <f>BN47-BM47-BO48</f>
        <v>0</v>
      </c>
      <c r="BP47" s="408">
        <v>29.7</v>
      </c>
      <c r="BQ47" s="458">
        <v>30.6</v>
      </c>
      <c r="BR47" s="458">
        <f>BQ47-BP47-BR48</f>
        <v>0.40000000000000213</v>
      </c>
      <c r="BS47" s="281"/>
      <c r="BT47" s="281"/>
      <c r="BU47" s="281"/>
      <c r="BV47" s="281"/>
      <c r="BW47" s="298" t="s">
        <v>713</v>
      </c>
      <c r="BX47" s="422">
        <v>5069.7769804</v>
      </c>
      <c r="BY47" s="422">
        <v>-2.8410109800000001</v>
      </c>
      <c r="BZ47" s="422">
        <v>2389.43824455</v>
      </c>
      <c r="CA47" s="422">
        <v>2459.3074389499998</v>
      </c>
      <c r="CB47" s="422">
        <v>2.86637151</v>
      </c>
      <c r="CC47" s="422">
        <v>2.9252296200000001</v>
      </c>
      <c r="CD47" s="422">
        <v>-0.17206891999999999</v>
      </c>
      <c r="CE47" s="422">
        <v>1.76905527</v>
      </c>
      <c r="CF47" s="422">
        <v>1.7721045099999999</v>
      </c>
      <c r="CG47" s="422">
        <v>-1.87779914</v>
      </c>
      <c r="CH47" s="422">
        <v>-2.0120851499999999</v>
      </c>
      <c r="CI47" s="422">
        <v>0.81463781999999996</v>
      </c>
    </row>
    <row r="48" spans="1:87" ht="15" customHeight="1" x14ac:dyDescent="0.2">
      <c r="A48" s="423">
        <f t="shared" si="60"/>
        <v>62009013</v>
      </c>
      <c r="B48" s="297" t="s">
        <v>614</v>
      </c>
      <c r="C48" s="297" t="s">
        <v>634</v>
      </c>
      <c r="D48" s="326" t="s">
        <v>778</v>
      </c>
      <c r="E48" s="283" t="s">
        <v>816</v>
      </c>
      <c r="F48" s="310" t="str">
        <f t="shared" si="49"/>
        <v>09/14/20</v>
      </c>
      <c r="G48" s="298" t="s">
        <v>817</v>
      </c>
      <c r="H48" s="298" t="s">
        <v>818</v>
      </c>
      <c r="I48" s="306"/>
      <c r="J48" s="299">
        <v>27.021699999999999</v>
      </c>
      <c r="K48" s="299">
        <v>34.780726999999999</v>
      </c>
      <c r="L48" s="299">
        <v>29.662552999999999</v>
      </c>
      <c r="M48" s="299">
        <v>29.653236</v>
      </c>
      <c r="N48" s="284">
        <v>3875</v>
      </c>
      <c r="O48" s="284">
        <v>28.39</v>
      </c>
      <c r="P48" s="284">
        <v>0.20169999999999999</v>
      </c>
      <c r="Q48" s="284">
        <v>1.932E-2</v>
      </c>
      <c r="R48" s="285">
        <v>6.24685047</v>
      </c>
      <c r="S48" s="285">
        <f>R48+R47</f>
        <v>8.0159450799999998</v>
      </c>
      <c r="T48" s="314">
        <v>93.057012</v>
      </c>
      <c r="U48" s="314">
        <v>93.057012</v>
      </c>
      <c r="V48" s="289">
        <v>4688</v>
      </c>
      <c r="W48" s="289">
        <v>6345</v>
      </c>
      <c r="X48" s="289">
        <f>W48-V48</f>
        <v>1657</v>
      </c>
      <c r="Y48" s="289">
        <f t="shared" si="50"/>
        <v>265.25366790154658</v>
      </c>
      <c r="Z48" s="308">
        <v>184.6</v>
      </c>
      <c r="AA48" s="289">
        <v>201.9</v>
      </c>
      <c r="AB48" s="289">
        <f>AA48-Z48</f>
        <v>17.300000000000011</v>
      </c>
      <c r="AC48" s="289">
        <f t="shared" si="51"/>
        <v>2.7693955671072774</v>
      </c>
      <c r="AD48" s="308">
        <v>156.87793600000001</v>
      </c>
      <c r="AE48" s="289">
        <v>171.74</v>
      </c>
      <c r="AF48" s="289">
        <f>AE48-AD48</f>
        <v>14.862064000000004</v>
      </c>
      <c r="AG48" s="289">
        <f t="shared" si="52"/>
        <v>2.3791291421771463</v>
      </c>
      <c r="AH48" s="308">
        <v>3.37</v>
      </c>
      <c r="AI48" s="289">
        <v>3.29</v>
      </c>
      <c r="AJ48" s="289">
        <f>AI48-AH48</f>
        <v>-8.0000000000000071E-2</v>
      </c>
      <c r="AK48" s="307">
        <f t="shared" si="53"/>
        <v>-1.2806453489513423E-2</v>
      </c>
      <c r="AL48" s="308">
        <v>-17.100000000000001</v>
      </c>
      <c r="AM48" s="289">
        <v>-18.7</v>
      </c>
      <c r="AN48" s="289">
        <f>AM48-AL48</f>
        <v>-1.5999999999999979</v>
      </c>
      <c r="AO48" s="307">
        <f t="shared" si="54"/>
        <v>-0.25612906979026789</v>
      </c>
      <c r="AP48" s="308">
        <v>-20.6</v>
      </c>
      <c r="AQ48" s="289">
        <v>-22.5</v>
      </c>
      <c r="AR48" s="289">
        <f>AQ48-AP48</f>
        <v>-1.8999999999999986</v>
      </c>
      <c r="AS48" s="307">
        <f t="shared" si="55"/>
        <v>-0.30415327037594331</v>
      </c>
      <c r="AT48" s="308">
        <v>6.6</v>
      </c>
      <c r="AU48" s="289">
        <v>7.2</v>
      </c>
      <c r="AV48" s="289">
        <f>AU48-AT48</f>
        <v>0.60000000000000053</v>
      </c>
      <c r="AW48" s="307">
        <f t="shared" si="56"/>
        <v>9.6048401171350675E-2</v>
      </c>
      <c r="AX48" s="308">
        <v>4682</v>
      </c>
      <c r="AY48" s="289">
        <v>6340</v>
      </c>
      <c r="AZ48" s="289">
        <f>AY48-AX48</f>
        <v>1658</v>
      </c>
      <c r="BA48" s="307">
        <f t="shared" si="57"/>
        <v>265.41374857016547</v>
      </c>
      <c r="BB48" s="308">
        <v>29.9</v>
      </c>
      <c r="BC48" s="289">
        <v>30.4</v>
      </c>
      <c r="BD48" s="289">
        <f>BC48-BB48</f>
        <v>0.5</v>
      </c>
      <c r="BE48" s="307">
        <f t="shared" si="58"/>
        <v>8.0040334309458824E-2</v>
      </c>
      <c r="BF48" s="308">
        <v>0</v>
      </c>
      <c r="BG48" s="289">
        <v>0</v>
      </c>
      <c r="BH48" s="289">
        <f>BG48-BF48</f>
        <v>0</v>
      </c>
      <c r="BI48" s="307">
        <f t="shared" si="59"/>
        <v>0</v>
      </c>
      <c r="BJ48" s="281">
        <v>93.057012</v>
      </c>
      <c r="BK48" s="281">
        <v>93.057012</v>
      </c>
      <c r="BL48" s="281">
        <f>BK48-BJ48</f>
        <v>0</v>
      </c>
      <c r="BM48" s="408">
        <v>0</v>
      </c>
      <c r="BN48" s="458">
        <v>0</v>
      </c>
      <c r="BO48" s="458">
        <f>BN48-BM48</f>
        <v>0</v>
      </c>
      <c r="BP48" s="408">
        <v>29.9</v>
      </c>
      <c r="BQ48" s="458">
        <v>30.4</v>
      </c>
      <c r="BR48" s="458">
        <f>BQ48-BP48</f>
        <v>0.5</v>
      </c>
      <c r="BS48" s="281"/>
      <c r="BT48" s="281"/>
      <c r="BU48" s="281"/>
      <c r="BV48" s="281"/>
      <c r="BW48" s="298" t="s">
        <v>713</v>
      </c>
      <c r="BX48" s="422">
        <v>10791.191668449999</v>
      </c>
      <c r="BY48" s="422">
        <v>-7.1497879099999997</v>
      </c>
      <c r="BZ48" s="422">
        <v>1056.9542900199999</v>
      </c>
      <c r="CA48" s="422">
        <v>1138.3434310499999</v>
      </c>
      <c r="CB48" s="422">
        <v>6.4255557000000003</v>
      </c>
      <c r="CC48" s="422">
        <v>6.5095777500000001</v>
      </c>
      <c r="CD48" s="422">
        <v>0.19320192</v>
      </c>
      <c r="CE48" s="422">
        <v>6.2469036200000003</v>
      </c>
      <c r="CF48" s="422">
        <v>6.2348577599999997</v>
      </c>
      <c r="CG48" s="422">
        <v>-1.5033514699999999</v>
      </c>
      <c r="CH48" s="422">
        <v>-1.29074512</v>
      </c>
      <c r="CI48" s="422">
        <v>0.34623261999999999</v>
      </c>
    </row>
    <row r="49" spans="1:87" ht="15" customHeight="1" x14ac:dyDescent="0.2">
      <c r="A49" s="423">
        <f t="shared" si="60"/>
        <v>62009013</v>
      </c>
      <c r="B49" s="297" t="s">
        <v>615</v>
      </c>
      <c r="C49" s="297" t="s">
        <v>635</v>
      </c>
      <c r="D49" s="326" t="s">
        <v>778</v>
      </c>
      <c r="E49" s="283" t="s">
        <v>816</v>
      </c>
      <c r="F49" s="310" t="str">
        <f t="shared" si="49"/>
        <v>09/14/20</v>
      </c>
      <c r="G49" s="298" t="s">
        <v>817</v>
      </c>
      <c r="H49" s="298" t="s">
        <v>818</v>
      </c>
      <c r="I49" s="306"/>
      <c r="J49" s="300">
        <f>AVERAGE(J47:J48)</f>
        <v>25.082850000000001</v>
      </c>
      <c r="K49" s="300">
        <f>AVERAGE(K47:K48)</f>
        <v>39.023477999999997</v>
      </c>
      <c r="L49" s="300">
        <f>AVERAGE(L47:L48)</f>
        <v>29.648667</v>
      </c>
      <c r="M49" s="300">
        <f>AVERAGE(M47:M48)</f>
        <v>29.512220499999998</v>
      </c>
      <c r="N49" s="286"/>
      <c r="O49" s="284"/>
      <c r="P49" s="302"/>
      <c r="Q49" s="301"/>
      <c r="R49" s="287">
        <f>R48+R47</f>
        <v>8.0159450799999998</v>
      </c>
      <c r="S49" s="287">
        <f>S48</f>
        <v>8.0159450799999998</v>
      </c>
      <c r="T49" s="315">
        <f>T47</f>
        <v>93.057012</v>
      </c>
      <c r="U49" s="315">
        <f>U48</f>
        <v>93.057012</v>
      </c>
      <c r="V49" s="290">
        <f>V47</f>
        <v>4378</v>
      </c>
      <c r="W49" s="290">
        <f>W48</f>
        <v>6345</v>
      </c>
      <c r="X49" s="290">
        <f>SUM(X47:X48)</f>
        <v>2104</v>
      </c>
      <c r="Y49" s="290">
        <f t="shared" si="50"/>
        <v>262.47684820714863</v>
      </c>
      <c r="Z49" s="290">
        <f>Z47</f>
        <v>178.5</v>
      </c>
      <c r="AA49" s="290">
        <f>AA48</f>
        <v>201.9</v>
      </c>
      <c r="AB49" s="290">
        <f>SUM(AB47:AB48)</f>
        <v>28.300000000000011</v>
      </c>
      <c r="AC49" s="290">
        <f t="shared" si="51"/>
        <v>3.5304633100106035</v>
      </c>
      <c r="AD49" s="290">
        <f>AD47</f>
        <v>151.63807499999999</v>
      </c>
      <c r="AE49" s="290">
        <f>AE48</f>
        <v>171.74</v>
      </c>
      <c r="AF49" s="290">
        <f>SUM(AF47:AF48)</f>
        <v>24.301925000000011</v>
      </c>
      <c r="AG49" s="290">
        <f t="shared" si="52"/>
        <v>3.0316980415240087</v>
      </c>
      <c r="AH49" s="290">
        <f>AH47</f>
        <v>3.4</v>
      </c>
      <c r="AI49" s="290">
        <f>AI48</f>
        <v>3.29</v>
      </c>
      <c r="AJ49" s="290">
        <f>SUM(AJ47:AJ48)</f>
        <v>-0.12999999999999989</v>
      </c>
      <c r="AK49" s="288">
        <f t="shared" si="53"/>
        <v>-1.6217675982380844E-2</v>
      </c>
      <c r="AL49" s="290">
        <f>AL47</f>
        <v>-16.5</v>
      </c>
      <c r="AM49" s="290">
        <f>AM48</f>
        <v>-18.7</v>
      </c>
      <c r="AN49" s="290">
        <f>SUM(AN47:AN48)</f>
        <v>-2.6999999999999993</v>
      </c>
      <c r="AO49" s="288">
        <f t="shared" si="54"/>
        <v>-0.33682865501867926</v>
      </c>
      <c r="AP49" s="290">
        <f>AP47</f>
        <v>-19.899999999999999</v>
      </c>
      <c r="AQ49" s="290">
        <f>AQ48</f>
        <v>-22.5</v>
      </c>
      <c r="AR49" s="290">
        <f>SUM(AR47:AR48)</f>
        <v>-3.2000000000000028</v>
      </c>
      <c r="AS49" s="288">
        <f t="shared" si="55"/>
        <v>-0.39920433187399068</v>
      </c>
      <c r="AT49" s="290">
        <f>AT47</f>
        <v>6.4</v>
      </c>
      <c r="AU49" s="290">
        <f>AU48</f>
        <v>7.2</v>
      </c>
      <c r="AV49" s="290">
        <f>SUM(AV47:AV48)</f>
        <v>1</v>
      </c>
      <c r="AW49" s="288">
        <f t="shared" si="56"/>
        <v>0.12475135371062199</v>
      </c>
      <c r="AX49" s="290">
        <f>AX47</f>
        <v>4372</v>
      </c>
      <c r="AY49" s="290">
        <f>AY48</f>
        <v>6340</v>
      </c>
      <c r="AZ49" s="290">
        <f>SUM(AZ47:AZ48)</f>
        <v>2105</v>
      </c>
      <c r="BA49" s="288">
        <f t="shared" si="57"/>
        <v>262.60159956085926</v>
      </c>
      <c r="BB49" s="290">
        <f>BB47</f>
        <v>29.7</v>
      </c>
      <c r="BC49" s="290">
        <f>BC48</f>
        <v>30.4</v>
      </c>
      <c r="BD49" s="290">
        <f>SUM(BD47:BD48)</f>
        <v>0.90000000000000213</v>
      </c>
      <c r="BE49" s="288">
        <f t="shared" si="58"/>
        <v>0.11227621833956004</v>
      </c>
      <c r="BF49" s="290">
        <f>BF47</f>
        <v>0</v>
      </c>
      <c r="BG49" s="290">
        <f>BG48</f>
        <v>0</v>
      </c>
      <c r="BH49" s="290">
        <f>SUM(BH47:BH48)</f>
        <v>0</v>
      </c>
      <c r="BI49" s="288">
        <f t="shared" si="59"/>
        <v>0</v>
      </c>
      <c r="BJ49" s="282"/>
      <c r="BK49" s="282"/>
      <c r="BL49" s="282">
        <f>SUM(BL47:BL48)</f>
        <v>0</v>
      </c>
      <c r="BM49" s="459">
        <f>BM47</f>
        <v>0</v>
      </c>
      <c r="BN49" s="459">
        <f>BN48</f>
        <v>0</v>
      </c>
      <c r="BO49" s="459">
        <f>SUM(BO47:BO48)</f>
        <v>0</v>
      </c>
      <c r="BP49" s="459">
        <f>BP47</f>
        <v>29.7</v>
      </c>
      <c r="BQ49" s="459">
        <f>BQ48</f>
        <v>30.4</v>
      </c>
      <c r="BR49" s="459">
        <f>SUM(BR47:BR48)</f>
        <v>0.90000000000000213</v>
      </c>
      <c r="BS49" s="282"/>
      <c r="BT49" s="282"/>
      <c r="BU49" s="282"/>
      <c r="BV49" s="282"/>
      <c r="BW49" s="298" t="s">
        <v>713</v>
      </c>
    </row>
    <row r="50" spans="1:87" ht="15" customHeight="1" x14ac:dyDescent="0.2">
      <c r="A50" s="423">
        <v>62009014</v>
      </c>
      <c r="B50" s="297" t="s">
        <v>808</v>
      </c>
      <c r="C50" s="297" t="s">
        <v>626</v>
      </c>
      <c r="D50" s="326" t="s">
        <v>819</v>
      </c>
      <c r="E50" s="283" t="s">
        <v>820</v>
      </c>
      <c r="F50" s="310" t="str">
        <f t="shared" si="49"/>
        <v>09/14/20</v>
      </c>
      <c r="G50" s="298" t="s">
        <v>821</v>
      </c>
      <c r="H50" s="298" t="s">
        <v>775</v>
      </c>
      <c r="I50" s="306"/>
      <c r="J50" s="299">
        <v>19.891812999999999</v>
      </c>
      <c r="K50" s="299">
        <v>53.751899000000002</v>
      </c>
      <c r="L50" s="299">
        <v>29.626154</v>
      </c>
      <c r="M50" s="299">
        <v>26.964185000000001</v>
      </c>
      <c r="N50" s="284">
        <v>3875</v>
      </c>
      <c r="O50" s="284">
        <v>28.39</v>
      </c>
      <c r="P50" s="284">
        <v>0.20169999999999999</v>
      </c>
      <c r="Q50" s="284">
        <v>1.932E-2</v>
      </c>
      <c r="R50" s="285">
        <v>1.9144747900000001</v>
      </c>
      <c r="S50" s="285">
        <f t="shared" ref="S50:S57" si="61">R50+R49</f>
        <v>9.9304198699999997</v>
      </c>
      <c r="T50" s="314">
        <v>88.601382999999998</v>
      </c>
      <c r="U50" s="314">
        <v>88.218383000000003</v>
      </c>
      <c r="V50" s="289">
        <v>6487</v>
      </c>
      <c r="W50" s="289">
        <v>6765</v>
      </c>
      <c r="X50" s="289">
        <f t="shared" ref="X50:X57" si="62">W50-V50</f>
        <v>278</v>
      </c>
      <c r="Y50" s="289">
        <f t="shared" si="50"/>
        <v>145.20953812089633</v>
      </c>
      <c r="Z50" s="308">
        <v>210.5</v>
      </c>
      <c r="AA50" s="289">
        <v>242.6</v>
      </c>
      <c r="AB50" s="289">
        <f t="shared" ref="AB50:AB57" si="63">AA50-Z50</f>
        <v>32.099999999999994</v>
      </c>
      <c r="AC50" s="289">
        <f t="shared" si="51"/>
        <v>16.767000624750974</v>
      </c>
      <c r="AD50" s="308">
        <v>179.147909</v>
      </c>
      <c r="AE50" s="289">
        <v>207.19</v>
      </c>
      <c r="AF50" s="289">
        <f t="shared" ref="AF50:AF57" si="64">AE50-AD50</f>
        <v>28.042090999999999</v>
      </c>
      <c r="AG50" s="289">
        <f t="shared" si="52"/>
        <v>14.647406769978934</v>
      </c>
      <c r="AH50" s="308">
        <v>4.96</v>
      </c>
      <c r="AI50" s="289">
        <v>0.15</v>
      </c>
      <c r="AJ50" s="289">
        <f t="shared" ref="AJ50:AJ57" si="65">AI50-AH50</f>
        <v>-4.8099999999999996</v>
      </c>
      <c r="AK50" s="307">
        <f t="shared" si="53"/>
        <v>-2.5124384113723428</v>
      </c>
      <c r="AL50" s="308">
        <v>-19.3</v>
      </c>
      <c r="AM50" s="289">
        <v>-21.9</v>
      </c>
      <c r="AN50" s="289">
        <f t="shared" ref="AN50:AN57" si="66">AM50-AL50</f>
        <v>-2.5999999999999979</v>
      </c>
      <c r="AO50" s="307">
        <f t="shared" si="54"/>
        <v>-1.3580748169580221</v>
      </c>
      <c r="AP50" s="308">
        <v>-23.1</v>
      </c>
      <c r="AQ50" s="289">
        <v>-26.2</v>
      </c>
      <c r="AR50" s="289">
        <f t="shared" ref="AR50:AR57" si="67">AQ50-AP50</f>
        <v>-3.0999999999999979</v>
      </c>
      <c r="AS50" s="307">
        <f t="shared" si="55"/>
        <v>-1.619243050988411</v>
      </c>
      <c r="AT50" s="308">
        <v>7.5</v>
      </c>
      <c r="AU50" s="289">
        <v>8.5</v>
      </c>
      <c r="AV50" s="289">
        <f t="shared" ref="AV50:AV57" si="68">AU50-AT50</f>
        <v>1</v>
      </c>
      <c r="AW50" s="307">
        <f t="shared" si="56"/>
        <v>0.52233646806077816</v>
      </c>
      <c r="AX50" s="308">
        <v>6482</v>
      </c>
      <c r="AY50" s="289">
        <v>6759</v>
      </c>
      <c r="AZ50" s="289">
        <f t="shared" ref="AZ50:AZ57" si="69">AY50-AX50</f>
        <v>277</v>
      </c>
      <c r="BA50" s="307">
        <f t="shared" si="57"/>
        <v>144.68720165283554</v>
      </c>
      <c r="BB50" s="308">
        <v>32.1</v>
      </c>
      <c r="BC50" s="289">
        <v>32.9</v>
      </c>
      <c r="BD50" s="289">
        <f t="shared" ref="BD50:BD57" si="70">BC50-BB50</f>
        <v>0.79999999999999716</v>
      </c>
      <c r="BE50" s="307">
        <f t="shared" si="58"/>
        <v>0.41786917444862104</v>
      </c>
      <c r="BF50" s="308">
        <v>0</v>
      </c>
      <c r="BG50" s="289">
        <v>0</v>
      </c>
      <c r="BH50" s="289">
        <f t="shared" ref="BH50:BH57" si="71">BG50-BF50</f>
        <v>0</v>
      </c>
      <c r="BI50" s="307">
        <f t="shared" si="59"/>
        <v>0</v>
      </c>
      <c r="BJ50" s="281">
        <v>88.601382999999998</v>
      </c>
      <c r="BK50" s="281">
        <v>88.218383000000003</v>
      </c>
      <c r="BL50" s="281">
        <f t="shared" ref="BL50:BL57" si="72">BK50-BJ50</f>
        <v>-0.38299999999999557</v>
      </c>
      <c r="BM50" s="408">
        <v>0</v>
      </c>
      <c r="BN50" s="458">
        <v>0</v>
      </c>
      <c r="BO50" s="458">
        <f t="shared" ref="BO50:BO57" si="73">BN50-BM50</f>
        <v>0</v>
      </c>
      <c r="BP50" s="408">
        <v>32.1</v>
      </c>
      <c r="BQ50" s="458">
        <v>32.9</v>
      </c>
      <c r="BR50" s="458">
        <f t="shared" ref="BR50:BR57" si="74">BQ50-BP50</f>
        <v>0.79999999999999716</v>
      </c>
      <c r="BS50" s="281"/>
      <c r="BT50" s="281"/>
      <c r="BU50" s="281"/>
      <c r="BV50" s="281"/>
      <c r="BW50" s="298" t="s">
        <v>713</v>
      </c>
      <c r="BX50" s="422">
        <v>1001.59722656</v>
      </c>
      <c r="BY50" s="422">
        <v>-3.1785631400000001</v>
      </c>
      <c r="BZ50" s="422">
        <v>1935.56034826</v>
      </c>
      <c r="CA50" s="422">
        <v>1999.1031025499999</v>
      </c>
      <c r="CB50" s="422">
        <v>1.41668774</v>
      </c>
      <c r="CC50" s="422">
        <v>1.45194694</v>
      </c>
      <c r="CD50" s="422">
        <v>6.8798000000000004E-4</v>
      </c>
      <c r="CE50" s="422">
        <v>1.9143234499999999</v>
      </c>
      <c r="CF50" s="422">
        <v>1.9143102700000001</v>
      </c>
      <c r="CG50" s="422">
        <v>-2.4895531599999998</v>
      </c>
      <c r="CH50" s="422">
        <v>-2.4284086600000001</v>
      </c>
      <c r="CI50" s="422">
        <v>0.79372071</v>
      </c>
    </row>
    <row r="51" spans="1:87" ht="15" customHeight="1" x14ac:dyDescent="0.2">
      <c r="A51" s="423">
        <v>62009014</v>
      </c>
      <c r="B51" s="297" t="s">
        <v>808</v>
      </c>
      <c r="C51" s="297" t="s">
        <v>627</v>
      </c>
      <c r="D51" s="326" t="s">
        <v>819</v>
      </c>
      <c r="E51" s="283" t="s">
        <v>820</v>
      </c>
      <c r="F51" s="310" t="str">
        <f t="shared" si="49"/>
        <v>09/14/20</v>
      </c>
      <c r="G51" s="298" t="s">
        <v>821</v>
      </c>
      <c r="H51" s="298" t="s">
        <v>775</v>
      </c>
      <c r="I51" s="306"/>
      <c r="J51" s="299">
        <v>22.711572</v>
      </c>
      <c r="K51" s="299">
        <v>45.651806999999998</v>
      </c>
      <c r="L51" s="299">
        <v>29.624478</v>
      </c>
      <c r="M51" s="299">
        <v>27.316472000000001</v>
      </c>
      <c r="N51" s="284">
        <v>3875</v>
      </c>
      <c r="O51" s="284">
        <v>28.39</v>
      </c>
      <c r="P51" s="284">
        <v>0.20169999999999999</v>
      </c>
      <c r="Q51" s="284">
        <v>1.932E-2</v>
      </c>
      <c r="R51" s="285">
        <v>2.9563227200000002</v>
      </c>
      <c r="S51" s="285">
        <f t="shared" si="61"/>
        <v>4.8707975100000001</v>
      </c>
      <c r="T51" s="314">
        <v>88.218383000000003</v>
      </c>
      <c r="U51" s="314">
        <v>87.591238000000004</v>
      </c>
      <c r="V51" s="289">
        <v>6765</v>
      </c>
      <c r="W51" s="289">
        <v>7219</v>
      </c>
      <c r="X51" s="289">
        <f t="shared" si="62"/>
        <v>454</v>
      </c>
      <c r="Y51" s="289">
        <f t="shared" si="50"/>
        <v>153.56916108265744</v>
      </c>
      <c r="Z51" s="308">
        <v>242.6</v>
      </c>
      <c r="AA51" s="289">
        <v>261.60000000000002</v>
      </c>
      <c r="AB51" s="289">
        <f t="shared" si="63"/>
        <v>19.000000000000028</v>
      </c>
      <c r="AC51" s="289">
        <f t="shared" si="51"/>
        <v>6.4269032171156288</v>
      </c>
      <c r="AD51" s="308">
        <v>207.2</v>
      </c>
      <c r="AE51" s="289">
        <v>223.42</v>
      </c>
      <c r="AF51" s="289">
        <f t="shared" si="64"/>
        <v>16.22</v>
      </c>
      <c r="AG51" s="289">
        <f t="shared" si="52"/>
        <v>5.4865457990323865</v>
      </c>
      <c r="AH51" s="308">
        <v>0.15</v>
      </c>
      <c r="AI51" s="289">
        <v>0.73</v>
      </c>
      <c r="AJ51" s="289">
        <f t="shared" si="65"/>
        <v>0.57999999999999996</v>
      </c>
      <c r="AK51" s="307">
        <f t="shared" si="53"/>
        <v>0.19618967715405575</v>
      </c>
      <c r="AL51" s="308">
        <v>-21.9</v>
      </c>
      <c r="AM51" s="289">
        <v>-23.7</v>
      </c>
      <c r="AN51" s="289">
        <f t="shared" si="66"/>
        <v>-1.8000000000000007</v>
      </c>
      <c r="AO51" s="307">
        <f t="shared" si="54"/>
        <v>-0.60886451530569052</v>
      </c>
      <c r="AP51" s="308">
        <v>-26.2</v>
      </c>
      <c r="AQ51" s="289">
        <v>-28.4</v>
      </c>
      <c r="AR51" s="289">
        <f t="shared" si="67"/>
        <v>-2.1999999999999993</v>
      </c>
      <c r="AS51" s="307">
        <f t="shared" si="55"/>
        <v>-0.7441677409291767</v>
      </c>
      <c r="AT51" s="308">
        <v>8.5</v>
      </c>
      <c r="AU51" s="289">
        <v>9.1999999999999993</v>
      </c>
      <c r="AV51" s="289">
        <f t="shared" si="68"/>
        <v>0.69999999999999929</v>
      </c>
      <c r="AW51" s="307">
        <f t="shared" si="56"/>
        <v>0.23678064484110153</v>
      </c>
      <c r="AX51" s="308">
        <v>6759</v>
      </c>
      <c r="AY51" s="289">
        <v>7212</v>
      </c>
      <c r="AZ51" s="289">
        <f t="shared" si="69"/>
        <v>453</v>
      </c>
      <c r="BA51" s="307">
        <f t="shared" si="57"/>
        <v>153.23090301859872</v>
      </c>
      <c r="BB51" s="308">
        <v>32.9</v>
      </c>
      <c r="BC51" s="289">
        <v>33.6</v>
      </c>
      <c r="BD51" s="289">
        <f t="shared" si="70"/>
        <v>0.70000000000000284</v>
      </c>
      <c r="BE51" s="307">
        <f t="shared" si="58"/>
        <v>0.23678064484110273</v>
      </c>
      <c r="BF51" s="308">
        <v>0</v>
      </c>
      <c r="BG51" s="289">
        <v>0</v>
      </c>
      <c r="BH51" s="289">
        <f t="shared" si="71"/>
        <v>0</v>
      </c>
      <c r="BI51" s="307">
        <f t="shared" si="59"/>
        <v>0</v>
      </c>
      <c r="BJ51" s="281">
        <v>88.218383000000003</v>
      </c>
      <c r="BK51" s="281">
        <v>87.591238000000004</v>
      </c>
      <c r="BL51" s="281">
        <f t="shared" si="72"/>
        <v>-0.62714499999999873</v>
      </c>
      <c r="BM51" s="408">
        <v>0</v>
      </c>
      <c r="BN51" s="458">
        <v>0</v>
      </c>
      <c r="BO51" s="458">
        <f t="shared" si="73"/>
        <v>0</v>
      </c>
      <c r="BP51" s="408">
        <v>32.9</v>
      </c>
      <c r="BQ51" s="458">
        <v>33.6</v>
      </c>
      <c r="BR51" s="458">
        <f t="shared" si="74"/>
        <v>0.70000000000000284</v>
      </c>
      <c r="BS51" s="281"/>
      <c r="BT51" s="281"/>
      <c r="BU51" s="281"/>
      <c r="BV51" s="281"/>
      <c r="BW51" s="298" t="s">
        <v>713</v>
      </c>
      <c r="BX51" s="422">
        <v>1964.982935</v>
      </c>
      <c r="BY51" s="422">
        <v>-3.6674135300000001</v>
      </c>
      <c r="BZ51" s="422">
        <v>1789.75472038</v>
      </c>
      <c r="CA51" s="422">
        <v>1857.89127646</v>
      </c>
      <c r="CB51" s="422">
        <v>2.4190376499999999</v>
      </c>
      <c r="CC51" s="422">
        <v>2.4524073300000002</v>
      </c>
      <c r="CD51" s="422">
        <v>0.27064062999999999</v>
      </c>
      <c r="CE51" s="422">
        <v>2.9562977099999999</v>
      </c>
      <c r="CF51" s="422">
        <v>2.94831836</v>
      </c>
      <c r="CG51" s="422">
        <v>-1.65383474</v>
      </c>
      <c r="CH51" s="422">
        <v>-1.36069054</v>
      </c>
      <c r="CI51" s="422">
        <v>0.68639919000000005</v>
      </c>
    </row>
    <row r="52" spans="1:87" ht="15" customHeight="1" x14ac:dyDescent="0.2">
      <c r="A52" s="423">
        <v>62009014</v>
      </c>
      <c r="B52" s="297" t="s">
        <v>809</v>
      </c>
      <c r="C52" s="297" t="s">
        <v>629</v>
      </c>
      <c r="D52" s="326" t="s">
        <v>819</v>
      </c>
      <c r="E52" s="283" t="s">
        <v>820</v>
      </c>
      <c r="F52" s="310" t="str">
        <f t="shared" si="49"/>
        <v>09/14/20</v>
      </c>
      <c r="G52" s="298" t="s">
        <v>821</v>
      </c>
      <c r="H52" s="298" t="s">
        <v>775</v>
      </c>
      <c r="I52" s="306"/>
      <c r="J52" s="299">
        <v>24.724954</v>
      </c>
      <c r="K52" s="299">
        <v>39.832540000000002</v>
      </c>
      <c r="L52" s="299">
        <v>29.631184000000001</v>
      </c>
      <c r="M52" s="299">
        <v>29.057191</v>
      </c>
      <c r="N52" s="284">
        <v>3875</v>
      </c>
      <c r="O52" s="284">
        <v>28.39</v>
      </c>
      <c r="P52" s="284">
        <v>0.20169999999999999</v>
      </c>
      <c r="Q52" s="284">
        <v>1.932E-2</v>
      </c>
      <c r="R52" s="285">
        <v>4.3989873800000003</v>
      </c>
      <c r="S52" s="285">
        <f t="shared" si="61"/>
        <v>7.3553101000000005</v>
      </c>
      <c r="T52" s="314">
        <v>87.591238000000004</v>
      </c>
      <c r="U52" s="314">
        <v>86.489537999999996</v>
      </c>
      <c r="V52" s="289">
        <v>7219</v>
      </c>
      <c r="W52" s="289">
        <v>8019</v>
      </c>
      <c r="X52" s="289">
        <f t="shared" si="62"/>
        <v>800</v>
      </c>
      <c r="Y52" s="289">
        <f t="shared" si="50"/>
        <v>181.86003525202202</v>
      </c>
      <c r="Z52" s="308">
        <v>261.60000000000002</v>
      </c>
      <c r="AA52" s="289">
        <v>282.39999999999998</v>
      </c>
      <c r="AB52" s="289">
        <f t="shared" si="63"/>
        <v>20.799999999999955</v>
      </c>
      <c r="AC52" s="289">
        <f t="shared" si="51"/>
        <v>4.7283609165525622</v>
      </c>
      <c r="AD52" s="308">
        <v>223.42744099999999</v>
      </c>
      <c r="AE52" s="289">
        <v>241.25</v>
      </c>
      <c r="AF52" s="289">
        <f t="shared" si="64"/>
        <v>17.822559000000012</v>
      </c>
      <c r="AG52" s="289">
        <f t="shared" si="52"/>
        <v>4.0515140100265556</v>
      </c>
      <c r="AH52" s="308">
        <v>0.73</v>
      </c>
      <c r="AI52" s="289">
        <v>0.87</v>
      </c>
      <c r="AJ52" s="289">
        <f t="shared" si="65"/>
        <v>0.14000000000000001</v>
      </c>
      <c r="AK52" s="307">
        <f t="shared" si="53"/>
        <v>3.1825506169103852E-2</v>
      </c>
      <c r="AL52" s="308">
        <v>-23.7</v>
      </c>
      <c r="AM52" s="289">
        <v>-25.7</v>
      </c>
      <c r="AN52" s="289">
        <f t="shared" si="66"/>
        <v>-2</v>
      </c>
      <c r="AO52" s="307">
        <f t="shared" si="54"/>
        <v>-0.45465008813005503</v>
      </c>
      <c r="AP52" s="308">
        <v>-28.4</v>
      </c>
      <c r="AQ52" s="289">
        <v>-30.8</v>
      </c>
      <c r="AR52" s="289">
        <f t="shared" si="67"/>
        <v>-2.4000000000000021</v>
      </c>
      <c r="AS52" s="307">
        <f t="shared" si="55"/>
        <v>-0.54558010575606652</v>
      </c>
      <c r="AT52" s="308">
        <v>9.1999999999999993</v>
      </c>
      <c r="AU52" s="289">
        <v>10</v>
      </c>
      <c r="AV52" s="289">
        <f t="shared" si="68"/>
        <v>0.80000000000000071</v>
      </c>
      <c r="AW52" s="307">
        <f t="shared" si="56"/>
        <v>0.18186003525202218</v>
      </c>
      <c r="AX52" s="308">
        <v>7212</v>
      </c>
      <c r="AY52" s="289">
        <v>8011.7381420000002</v>
      </c>
      <c r="AZ52" s="289">
        <f t="shared" si="69"/>
        <v>799.73814200000015</v>
      </c>
      <c r="BA52" s="307">
        <f t="shared" si="57"/>
        <v>181.80050837063325</v>
      </c>
      <c r="BB52" s="308">
        <v>33.6</v>
      </c>
      <c r="BC52" s="289">
        <v>34.200000000000003</v>
      </c>
      <c r="BD52" s="289">
        <f t="shared" si="70"/>
        <v>0.60000000000000142</v>
      </c>
      <c r="BE52" s="307">
        <f t="shared" si="58"/>
        <v>0.13639502643901683</v>
      </c>
      <c r="BF52" s="308">
        <v>0</v>
      </c>
      <c r="BG52" s="289">
        <v>0</v>
      </c>
      <c r="BH52" s="289">
        <f t="shared" si="71"/>
        <v>0</v>
      </c>
      <c r="BI52" s="307">
        <f t="shared" si="59"/>
        <v>0</v>
      </c>
      <c r="BJ52" s="281">
        <v>87.591238000000004</v>
      </c>
      <c r="BK52" s="281">
        <v>86.489537999999996</v>
      </c>
      <c r="BL52" s="281">
        <f t="shared" si="72"/>
        <v>-1.1017000000000081</v>
      </c>
      <c r="BM52" s="408">
        <v>0</v>
      </c>
      <c r="BN52" s="458">
        <v>0</v>
      </c>
      <c r="BO52" s="458">
        <f t="shared" si="73"/>
        <v>0</v>
      </c>
      <c r="BP52" s="408">
        <v>33.6</v>
      </c>
      <c r="BQ52" s="458">
        <v>34.200000000000003</v>
      </c>
      <c r="BR52" s="458">
        <f t="shared" si="74"/>
        <v>0.60000000000000142</v>
      </c>
      <c r="BS52" s="281"/>
      <c r="BT52" s="281"/>
      <c r="BU52" s="281"/>
      <c r="BV52" s="281"/>
      <c r="BW52" s="298" t="s">
        <v>713</v>
      </c>
      <c r="BX52" s="422">
        <v>1731.76106424</v>
      </c>
      <c r="BY52" s="422">
        <v>-2.6473958099999999</v>
      </c>
      <c r="BZ52" s="422">
        <v>1584.1726310700001</v>
      </c>
      <c r="CA52" s="422">
        <v>1627.25244417</v>
      </c>
      <c r="CB52" s="422">
        <v>3.4881814699999998</v>
      </c>
      <c r="CC52" s="422">
        <v>3.51232978</v>
      </c>
      <c r="CD52" s="422">
        <v>0.25952259999999999</v>
      </c>
      <c r="CE52" s="422">
        <v>4.3989981499999997</v>
      </c>
      <c r="CF52" s="422">
        <v>4.3876112999999997</v>
      </c>
      <c r="CG52" s="422">
        <v>-0.95360849000000003</v>
      </c>
      <c r="CH52" s="422">
        <v>-0.68752955000000004</v>
      </c>
      <c r="CI52" s="422">
        <v>0.49641528000000001</v>
      </c>
    </row>
    <row r="53" spans="1:87" ht="15" customHeight="1" x14ac:dyDescent="0.2">
      <c r="A53" s="423">
        <v>62009014</v>
      </c>
      <c r="B53" s="297" t="s">
        <v>809</v>
      </c>
      <c r="C53" s="297" t="s">
        <v>630</v>
      </c>
      <c r="D53" s="326" t="s">
        <v>819</v>
      </c>
      <c r="E53" s="283" t="s">
        <v>820</v>
      </c>
      <c r="F53" s="310" t="str">
        <f t="shared" si="49"/>
        <v>09/14/20</v>
      </c>
      <c r="G53" s="298" t="s">
        <v>821</v>
      </c>
      <c r="H53" s="298" t="s">
        <v>775</v>
      </c>
      <c r="I53" s="306"/>
      <c r="J53" s="299">
        <v>25.682134000000001</v>
      </c>
      <c r="K53" s="299">
        <v>37.44979</v>
      </c>
      <c r="L53" s="299">
        <v>29.638756000000001</v>
      </c>
      <c r="M53" s="299">
        <v>30.218807999999999</v>
      </c>
      <c r="N53" s="284">
        <v>3875</v>
      </c>
      <c r="O53" s="284">
        <v>28.39</v>
      </c>
      <c r="P53" s="284">
        <v>0.20169999999999999</v>
      </c>
      <c r="Q53" s="284">
        <v>1.932E-2</v>
      </c>
      <c r="R53" s="285">
        <v>5.1420585299999999</v>
      </c>
      <c r="S53" s="285">
        <f t="shared" si="61"/>
        <v>9.5410459100000011</v>
      </c>
      <c r="T53" s="314">
        <v>86.489537999999996</v>
      </c>
      <c r="U53" s="314">
        <v>84.531807999999998</v>
      </c>
      <c r="V53" s="289">
        <v>8019</v>
      </c>
      <c r="W53" s="289">
        <v>9436</v>
      </c>
      <c r="X53" s="289">
        <f t="shared" si="62"/>
        <v>1417</v>
      </c>
      <c r="Y53" s="289">
        <f t="shared" si="50"/>
        <v>275.57056998337981</v>
      </c>
      <c r="Z53" s="308">
        <v>282.39999999999998</v>
      </c>
      <c r="AA53" s="289">
        <v>297.39999999999998</v>
      </c>
      <c r="AB53" s="289">
        <f t="shared" si="63"/>
        <v>15</v>
      </c>
      <c r="AC53" s="289">
        <f t="shared" si="51"/>
        <v>2.9171196540230748</v>
      </c>
      <c r="AD53" s="308">
        <v>241.26</v>
      </c>
      <c r="AE53" s="289">
        <v>254.16</v>
      </c>
      <c r="AF53" s="289">
        <f t="shared" si="64"/>
        <v>12.900000000000006</v>
      </c>
      <c r="AG53" s="289">
        <f t="shared" si="52"/>
        <v>2.5087229024598452</v>
      </c>
      <c r="AH53" s="308">
        <v>0.87</v>
      </c>
      <c r="AI53" s="289">
        <v>0.89</v>
      </c>
      <c r="AJ53" s="289">
        <f t="shared" si="65"/>
        <v>2.0000000000000018E-2</v>
      </c>
      <c r="AK53" s="307">
        <f t="shared" si="53"/>
        <v>3.8894928720307697E-3</v>
      </c>
      <c r="AL53" s="308">
        <v>-25.7</v>
      </c>
      <c r="AM53" s="289">
        <v>-27</v>
      </c>
      <c r="AN53" s="289">
        <f t="shared" si="66"/>
        <v>-1.3000000000000007</v>
      </c>
      <c r="AO53" s="307">
        <f t="shared" si="54"/>
        <v>-0.25281703668199995</v>
      </c>
      <c r="AP53" s="308">
        <v>-30.8</v>
      </c>
      <c r="AQ53" s="289">
        <v>-32.5</v>
      </c>
      <c r="AR53" s="289">
        <f t="shared" si="67"/>
        <v>-1.6999999999999993</v>
      </c>
      <c r="AS53" s="307">
        <f t="shared" si="55"/>
        <v>-0.33060689412261501</v>
      </c>
      <c r="AT53" s="308">
        <v>10</v>
      </c>
      <c r="AU53" s="289">
        <v>10.5</v>
      </c>
      <c r="AV53" s="289">
        <f t="shared" si="68"/>
        <v>0.5</v>
      </c>
      <c r="AW53" s="307">
        <f t="shared" si="56"/>
        <v>9.7237321800769161E-2</v>
      </c>
      <c r="AX53" s="308">
        <v>8012</v>
      </c>
      <c r="AY53" s="289">
        <v>9429</v>
      </c>
      <c r="AZ53" s="289">
        <f t="shared" si="69"/>
        <v>1417</v>
      </c>
      <c r="BA53" s="307">
        <f t="shared" si="57"/>
        <v>275.57056998337981</v>
      </c>
      <c r="BB53" s="308">
        <v>34.200000000000003</v>
      </c>
      <c r="BC53" s="289">
        <v>34.6</v>
      </c>
      <c r="BD53" s="289">
        <f t="shared" si="70"/>
        <v>0.39999999999999858</v>
      </c>
      <c r="BE53" s="307">
        <f t="shared" si="58"/>
        <v>7.7789857440615048E-2</v>
      </c>
      <c r="BF53" s="308">
        <v>0</v>
      </c>
      <c r="BG53" s="289">
        <v>0</v>
      </c>
      <c r="BH53" s="289">
        <f t="shared" si="71"/>
        <v>0</v>
      </c>
      <c r="BI53" s="307">
        <f t="shared" si="59"/>
        <v>0</v>
      </c>
      <c r="BJ53" s="281">
        <v>86.489537999999996</v>
      </c>
      <c r="BK53" s="281">
        <v>84.531807999999998</v>
      </c>
      <c r="BL53" s="281">
        <f t="shared" si="72"/>
        <v>-1.957729999999998</v>
      </c>
      <c r="BM53" s="408">
        <v>0</v>
      </c>
      <c r="BN53" s="458">
        <v>0</v>
      </c>
      <c r="BO53" s="458">
        <f t="shared" si="73"/>
        <v>0</v>
      </c>
      <c r="BP53" s="408">
        <v>34.200000000000003</v>
      </c>
      <c r="BQ53" s="458">
        <v>34.6</v>
      </c>
      <c r="BR53" s="458">
        <f t="shared" si="74"/>
        <v>0.39999999999999858</v>
      </c>
      <c r="BS53" s="281"/>
      <c r="BT53" s="281"/>
      <c r="BU53" s="281"/>
      <c r="BV53" s="281"/>
      <c r="BW53" s="298" t="s">
        <v>713</v>
      </c>
      <c r="BX53" s="422">
        <v>1516.41432396</v>
      </c>
      <c r="BY53" s="422">
        <v>0.70761430999999997</v>
      </c>
      <c r="BZ53" s="422">
        <v>1000.4117128</v>
      </c>
      <c r="CA53" s="422">
        <v>993.38239684999996</v>
      </c>
      <c r="CB53" s="422">
        <v>5.5001540699999998</v>
      </c>
      <c r="CC53" s="422">
        <v>5.4582867300000002</v>
      </c>
      <c r="CD53" s="422">
        <v>0.25873584999999999</v>
      </c>
      <c r="CE53" s="422">
        <v>5.1421026400000001</v>
      </c>
      <c r="CF53" s="422">
        <v>5.1288325099999996</v>
      </c>
      <c r="CG53" s="422">
        <v>0.50443673</v>
      </c>
      <c r="CH53" s="422">
        <v>0.76704183000000004</v>
      </c>
      <c r="CI53" s="422">
        <v>0.33763696999999998</v>
      </c>
    </row>
    <row r="54" spans="1:87" ht="15" customHeight="1" x14ac:dyDescent="0.2">
      <c r="A54" s="423">
        <v>62009014</v>
      </c>
      <c r="B54" s="297" t="s">
        <v>809</v>
      </c>
      <c r="C54" s="297" t="s">
        <v>631</v>
      </c>
      <c r="D54" s="326" t="s">
        <v>819</v>
      </c>
      <c r="E54" s="283" t="s">
        <v>820</v>
      </c>
      <c r="F54" s="310" t="str">
        <f t="shared" si="49"/>
        <v>09/14/20</v>
      </c>
      <c r="G54" s="298" t="s">
        <v>821</v>
      </c>
      <c r="H54" s="298" t="s">
        <v>775</v>
      </c>
      <c r="I54" s="306"/>
      <c r="J54" s="299">
        <v>18.263549999999999</v>
      </c>
      <c r="K54" s="299">
        <v>58.180580999999997</v>
      </c>
      <c r="L54" s="299">
        <v>29.614229000000002</v>
      </c>
      <c r="M54" s="299">
        <v>28.355910999999999</v>
      </c>
      <c r="N54" s="284">
        <v>3875</v>
      </c>
      <c r="O54" s="284">
        <v>28.39</v>
      </c>
      <c r="P54" s="284">
        <v>0.20169999999999999</v>
      </c>
      <c r="Q54" s="284">
        <v>1.932E-2</v>
      </c>
      <c r="R54" s="285">
        <v>1.91441043</v>
      </c>
      <c r="S54" s="285">
        <f t="shared" si="61"/>
        <v>7.0564689600000001</v>
      </c>
      <c r="T54" s="314">
        <v>84.525705000000002</v>
      </c>
      <c r="U54" s="314">
        <v>84.156436999999997</v>
      </c>
      <c r="V54" s="289">
        <v>9440</v>
      </c>
      <c r="W54" s="289">
        <v>9707</v>
      </c>
      <c r="X54" s="289">
        <f t="shared" si="62"/>
        <v>267</v>
      </c>
      <c r="Y54" s="289">
        <f t="shared" si="50"/>
        <v>139.4685255658579</v>
      </c>
      <c r="Z54" s="308">
        <v>300.7</v>
      </c>
      <c r="AA54" s="289">
        <v>326.5</v>
      </c>
      <c r="AB54" s="289">
        <f t="shared" si="63"/>
        <v>25.800000000000011</v>
      </c>
      <c r="AC54" s="289">
        <f t="shared" si="51"/>
        <v>13.476733931082903</v>
      </c>
      <c r="AD54" s="308">
        <v>257.03679</v>
      </c>
      <c r="AE54" s="289">
        <v>279.23</v>
      </c>
      <c r="AF54" s="289">
        <f t="shared" si="64"/>
        <v>22.193210000000022</v>
      </c>
      <c r="AG54" s="289">
        <f t="shared" si="52"/>
        <v>11.592712645218937</v>
      </c>
      <c r="AH54" s="308">
        <v>2.5</v>
      </c>
      <c r="AI54" s="289">
        <v>2.77</v>
      </c>
      <c r="AJ54" s="289">
        <f t="shared" si="65"/>
        <v>0.27</v>
      </c>
      <c r="AK54" s="307">
        <f t="shared" si="53"/>
        <v>0.14103558765086754</v>
      </c>
      <c r="AL54" s="308">
        <v>-27.2</v>
      </c>
      <c r="AM54" s="289">
        <v>-29.7</v>
      </c>
      <c r="AN54" s="289">
        <f t="shared" si="66"/>
        <v>-2.5</v>
      </c>
      <c r="AO54" s="307">
        <f t="shared" si="54"/>
        <v>-1.3058850708413661</v>
      </c>
      <c r="AP54" s="308">
        <v>-32.4</v>
      </c>
      <c r="AQ54" s="289">
        <v>-35.5</v>
      </c>
      <c r="AR54" s="289">
        <f t="shared" si="67"/>
        <v>-3.1000000000000014</v>
      </c>
      <c r="AS54" s="307">
        <f t="shared" si="55"/>
        <v>-1.6192974878432946</v>
      </c>
      <c r="AT54" s="308">
        <v>10.6</v>
      </c>
      <c r="AU54" s="289">
        <v>11.5</v>
      </c>
      <c r="AV54" s="289">
        <f t="shared" si="68"/>
        <v>0.90000000000000036</v>
      </c>
      <c r="AW54" s="307">
        <f t="shared" si="56"/>
        <v>0.47011862550289196</v>
      </c>
      <c r="AX54" s="308">
        <v>9433</v>
      </c>
      <c r="AY54" s="289">
        <v>9699</v>
      </c>
      <c r="AZ54" s="289">
        <f t="shared" si="69"/>
        <v>266</v>
      </c>
      <c r="BA54" s="307">
        <f t="shared" si="57"/>
        <v>138.94617153752134</v>
      </c>
      <c r="BB54" s="308">
        <v>35.5</v>
      </c>
      <c r="BC54" s="289">
        <v>36.299999999999997</v>
      </c>
      <c r="BD54" s="289">
        <f t="shared" si="70"/>
        <v>0.79999999999999716</v>
      </c>
      <c r="BE54" s="307">
        <f t="shared" si="58"/>
        <v>0.41788322266923567</v>
      </c>
      <c r="BF54" s="308">
        <v>0</v>
      </c>
      <c r="BG54" s="289">
        <v>0</v>
      </c>
      <c r="BH54" s="289">
        <f t="shared" si="71"/>
        <v>0</v>
      </c>
      <c r="BI54" s="307">
        <f t="shared" si="59"/>
        <v>0</v>
      </c>
      <c r="BJ54" s="281">
        <v>84.525705000000002</v>
      </c>
      <c r="BK54" s="281">
        <v>84.156436999999997</v>
      </c>
      <c r="BL54" s="281">
        <f t="shared" si="72"/>
        <v>-0.36926800000000526</v>
      </c>
      <c r="BM54" s="408">
        <v>0</v>
      </c>
      <c r="BN54" s="458">
        <v>0</v>
      </c>
      <c r="BO54" s="458">
        <f t="shared" si="73"/>
        <v>0</v>
      </c>
      <c r="BP54" s="408">
        <v>35.5</v>
      </c>
      <c r="BQ54" s="458">
        <v>36.299999999999997</v>
      </c>
      <c r="BR54" s="458">
        <f t="shared" si="74"/>
        <v>0.79999999999999716</v>
      </c>
      <c r="BS54" s="281"/>
      <c r="BT54" s="281"/>
      <c r="BU54" s="281"/>
      <c r="BV54" s="281"/>
      <c r="BW54" s="298" t="s">
        <v>713</v>
      </c>
      <c r="BX54" s="422">
        <v>1000.10490629</v>
      </c>
      <c r="BY54" s="422">
        <v>-3.16114586</v>
      </c>
      <c r="BZ54" s="422">
        <v>1935.8258611599999</v>
      </c>
      <c r="CA54" s="422">
        <v>1999.01772719</v>
      </c>
      <c r="CB54" s="422">
        <v>1.41719069</v>
      </c>
      <c r="CC54" s="422">
        <v>1.45186014</v>
      </c>
      <c r="CD54" s="422">
        <v>-1.7955E-4</v>
      </c>
      <c r="CE54" s="422">
        <v>1.91430667</v>
      </c>
      <c r="CF54" s="422">
        <v>1.91431011</v>
      </c>
      <c r="CG54" s="422">
        <v>-2.4461666000000002</v>
      </c>
      <c r="CH54" s="422">
        <v>-2.3879333300000001</v>
      </c>
      <c r="CI54" s="422">
        <v>0.79372936000000005</v>
      </c>
    </row>
    <row r="55" spans="1:87" ht="15" customHeight="1" x14ac:dyDescent="0.2">
      <c r="A55" s="423">
        <v>62009014</v>
      </c>
      <c r="B55" s="297" t="s">
        <v>809</v>
      </c>
      <c r="C55" s="297" t="s">
        <v>810</v>
      </c>
      <c r="D55" s="326" t="s">
        <v>819</v>
      </c>
      <c r="E55" s="283" t="s">
        <v>820</v>
      </c>
      <c r="F55" s="310" t="str">
        <f t="shared" si="49"/>
        <v>09/14/20</v>
      </c>
      <c r="G55" s="298" t="s">
        <v>821</v>
      </c>
      <c r="H55" s="298" t="s">
        <v>775</v>
      </c>
      <c r="I55" s="306"/>
      <c r="J55" s="299">
        <v>20.891470999999999</v>
      </c>
      <c r="K55" s="299">
        <v>51.183453999999998</v>
      </c>
      <c r="L55" s="299">
        <v>29.61177</v>
      </c>
      <c r="M55" s="299">
        <v>27.336881000000002</v>
      </c>
      <c r="N55" s="284">
        <v>3875</v>
      </c>
      <c r="O55" s="284">
        <v>28.39</v>
      </c>
      <c r="P55" s="284">
        <v>0.20169999999999999</v>
      </c>
      <c r="Q55" s="284">
        <v>1.932E-2</v>
      </c>
      <c r="R55" s="285">
        <v>2.9562373100000001</v>
      </c>
      <c r="S55" s="285">
        <f t="shared" si="61"/>
        <v>4.8706477399999999</v>
      </c>
      <c r="T55" s="314">
        <v>84.156436999999997</v>
      </c>
      <c r="U55" s="314">
        <v>83.527766</v>
      </c>
      <c r="V55" s="289">
        <v>9707</v>
      </c>
      <c r="W55" s="289">
        <v>10158</v>
      </c>
      <c r="X55" s="289">
        <f t="shared" si="62"/>
        <v>451</v>
      </c>
      <c r="Y55" s="289">
        <f t="shared" si="50"/>
        <v>152.5587944088291</v>
      </c>
      <c r="Z55" s="308">
        <v>326.5</v>
      </c>
      <c r="AA55" s="289">
        <v>346.4</v>
      </c>
      <c r="AB55" s="289">
        <f t="shared" si="63"/>
        <v>19.899999999999977</v>
      </c>
      <c r="AC55" s="289">
        <f t="shared" si="51"/>
        <v>6.7315299528507664</v>
      </c>
      <c r="AD55" s="308">
        <v>279.24</v>
      </c>
      <c r="AE55" s="289">
        <v>296.31</v>
      </c>
      <c r="AF55" s="289">
        <f t="shared" si="64"/>
        <v>17.069999999999993</v>
      </c>
      <c r="AG55" s="289">
        <f t="shared" si="52"/>
        <v>5.7742319746312898</v>
      </c>
      <c r="AH55" s="308">
        <v>2.77</v>
      </c>
      <c r="AI55" s="289">
        <v>2.56</v>
      </c>
      <c r="AJ55" s="289">
        <f t="shared" si="65"/>
        <v>-0.20999999999999996</v>
      </c>
      <c r="AK55" s="307">
        <f t="shared" si="53"/>
        <v>-7.1036245733601122E-2</v>
      </c>
      <c r="AL55" s="308">
        <v>-29.7</v>
      </c>
      <c r="AM55" s="289">
        <v>-31.5</v>
      </c>
      <c r="AN55" s="289">
        <f t="shared" si="66"/>
        <v>-1.8000000000000007</v>
      </c>
      <c r="AO55" s="307">
        <f t="shared" si="54"/>
        <v>-0.60888210628800998</v>
      </c>
      <c r="AP55" s="308">
        <v>-35.5</v>
      </c>
      <c r="AQ55" s="289">
        <v>-37.799999999999997</v>
      </c>
      <c r="AR55" s="289">
        <f t="shared" si="67"/>
        <v>-2.2999999999999972</v>
      </c>
      <c r="AS55" s="307">
        <f t="shared" si="55"/>
        <v>-0.77801602470134479</v>
      </c>
      <c r="AT55" s="308">
        <v>11.5</v>
      </c>
      <c r="AU55" s="289">
        <v>12.3</v>
      </c>
      <c r="AV55" s="289">
        <f t="shared" si="68"/>
        <v>0.80000000000000071</v>
      </c>
      <c r="AW55" s="307">
        <f t="shared" si="56"/>
        <v>0.27061426946133788</v>
      </c>
      <c r="AX55" s="308">
        <v>9699</v>
      </c>
      <c r="AY55" s="289">
        <v>10150</v>
      </c>
      <c r="AZ55" s="289">
        <f t="shared" si="69"/>
        <v>451</v>
      </c>
      <c r="BA55" s="307">
        <f t="shared" si="57"/>
        <v>152.5587944088291</v>
      </c>
      <c r="BB55" s="308">
        <v>36.299999999999997</v>
      </c>
      <c r="BC55" s="289">
        <v>36.9</v>
      </c>
      <c r="BD55" s="289">
        <f t="shared" si="70"/>
        <v>0.60000000000000142</v>
      </c>
      <c r="BE55" s="307">
        <f t="shared" si="58"/>
        <v>0.20296070209600373</v>
      </c>
      <c r="BF55" s="308">
        <v>0</v>
      </c>
      <c r="BG55" s="289">
        <v>0</v>
      </c>
      <c r="BH55" s="289">
        <f t="shared" si="71"/>
        <v>0</v>
      </c>
      <c r="BI55" s="307">
        <f t="shared" si="59"/>
        <v>0</v>
      </c>
      <c r="BJ55" s="281">
        <v>84.156436999999997</v>
      </c>
      <c r="BK55" s="281">
        <v>83.527766</v>
      </c>
      <c r="BL55" s="281">
        <f t="shared" si="72"/>
        <v>-0.62867099999999709</v>
      </c>
      <c r="BM55" s="408">
        <v>0</v>
      </c>
      <c r="BN55" s="458">
        <v>0</v>
      </c>
      <c r="BO55" s="458">
        <f t="shared" si="73"/>
        <v>0</v>
      </c>
      <c r="BP55" s="408">
        <v>36.299999999999997</v>
      </c>
      <c r="BQ55" s="458">
        <v>36.9</v>
      </c>
      <c r="BR55" s="458">
        <f t="shared" si="74"/>
        <v>0.60000000000000142</v>
      </c>
      <c r="BS55" s="281"/>
      <c r="BT55" s="281"/>
      <c r="BU55" s="281"/>
      <c r="BV55" s="281"/>
      <c r="BW55" s="298" t="s">
        <v>713</v>
      </c>
      <c r="BX55" s="422">
        <v>1964.0481660999999</v>
      </c>
      <c r="BY55" s="422">
        <v>-3.6896560100000002</v>
      </c>
      <c r="BZ55" s="422">
        <v>1789.2439619300001</v>
      </c>
      <c r="CA55" s="422">
        <v>1857.7900232100001</v>
      </c>
      <c r="CB55" s="422">
        <v>2.4176499100000002</v>
      </c>
      <c r="CC55" s="422">
        <v>2.4522982199999999</v>
      </c>
      <c r="CD55" s="422">
        <v>0.26802481</v>
      </c>
      <c r="CE55" s="422">
        <v>2.9562206199999999</v>
      </c>
      <c r="CF55" s="422">
        <v>2.9483183899999998</v>
      </c>
      <c r="CG55" s="422">
        <v>-1.70500611</v>
      </c>
      <c r="CH55" s="422">
        <v>-1.4128914100000001</v>
      </c>
      <c r="CI55" s="422">
        <v>0.68639706</v>
      </c>
    </row>
    <row r="56" spans="1:87" ht="15" customHeight="1" x14ac:dyDescent="0.2">
      <c r="A56" s="423">
        <v>62009014</v>
      </c>
      <c r="B56" s="297" t="s">
        <v>809</v>
      </c>
      <c r="C56" s="297" t="s">
        <v>634</v>
      </c>
      <c r="D56" s="326" t="s">
        <v>819</v>
      </c>
      <c r="E56" s="283" t="s">
        <v>820</v>
      </c>
      <c r="F56" s="310" t="str">
        <f t="shared" si="49"/>
        <v>09/14/20</v>
      </c>
      <c r="G56" s="298" t="s">
        <v>821</v>
      </c>
      <c r="H56" s="298" t="s">
        <v>775</v>
      </c>
      <c r="I56" s="306"/>
      <c r="J56" s="299">
        <v>24.247022000000001</v>
      </c>
      <c r="K56" s="299">
        <v>41.316814000000001</v>
      </c>
      <c r="L56" s="299">
        <v>29.615106000000001</v>
      </c>
      <c r="M56" s="299">
        <v>28.938117999999999</v>
      </c>
      <c r="N56" s="284">
        <v>3875</v>
      </c>
      <c r="O56" s="284">
        <v>28.39</v>
      </c>
      <c r="P56" s="284">
        <v>0.20169999999999999</v>
      </c>
      <c r="Q56" s="284">
        <v>1.932E-2</v>
      </c>
      <c r="R56" s="285">
        <v>4.3991656199999998</v>
      </c>
      <c r="S56" s="285">
        <f t="shared" si="61"/>
        <v>7.3554029300000003</v>
      </c>
      <c r="T56" s="314">
        <v>83.527766</v>
      </c>
      <c r="U56" s="314">
        <v>82.415385000000001</v>
      </c>
      <c r="V56" s="289">
        <v>10158</v>
      </c>
      <c r="W56" s="289">
        <v>10957</v>
      </c>
      <c r="X56" s="289">
        <f t="shared" si="62"/>
        <v>799</v>
      </c>
      <c r="Y56" s="289">
        <f t="shared" si="50"/>
        <v>181.62535103645405</v>
      </c>
      <c r="Z56" s="308">
        <v>346.4</v>
      </c>
      <c r="AA56" s="289">
        <v>367.5</v>
      </c>
      <c r="AB56" s="289">
        <f t="shared" si="63"/>
        <v>21.100000000000023</v>
      </c>
      <c r="AC56" s="289">
        <f t="shared" si="51"/>
        <v>4.7963640886973522</v>
      </c>
      <c r="AD56" s="308">
        <v>296.32</v>
      </c>
      <c r="AE56" s="289">
        <v>314.506214</v>
      </c>
      <c r="AF56" s="289">
        <f t="shared" si="64"/>
        <v>18.186214000000007</v>
      </c>
      <c r="AG56" s="289">
        <f t="shared" si="52"/>
        <v>4.1340143952116097</v>
      </c>
      <c r="AH56" s="308">
        <v>2.56</v>
      </c>
      <c r="AI56" s="289">
        <v>2.37</v>
      </c>
      <c r="AJ56" s="289">
        <f t="shared" si="65"/>
        <v>-0.18999999999999995</v>
      </c>
      <c r="AK56" s="307">
        <f t="shared" si="53"/>
        <v>-4.3190008381634871E-2</v>
      </c>
      <c r="AL56" s="308">
        <v>-31.5</v>
      </c>
      <c r="AM56" s="289">
        <v>-33.5</v>
      </c>
      <c r="AN56" s="289">
        <f t="shared" si="66"/>
        <v>-2</v>
      </c>
      <c r="AO56" s="307">
        <f t="shared" si="54"/>
        <v>-0.454631667175104</v>
      </c>
      <c r="AP56" s="308">
        <v>-37.799999999999997</v>
      </c>
      <c r="AQ56" s="289">
        <v>-40.1</v>
      </c>
      <c r="AR56" s="289">
        <f t="shared" si="67"/>
        <v>-2.3000000000000043</v>
      </c>
      <c r="AS56" s="307">
        <f t="shared" si="55"/>
        <v>-0.52282641725137058</v>
      </c>
      <c r="AT56" s="308">
        <v>12.3</v>
      </c>
      <c r="AU56" s="289">
        <v>13</v>
      </c>
      <c r="AV56" s="289">
        <f t="shared" si="68"/>
        <v>0.69999999999999929</v>
      </c>
      <c r="AW56" s="307">
        <f t="shared" si="56"/>
        <v>0.15912108351128623</v>
      </c>
      <c r="AX56" s="308">
        <v>10150</v>
      </c>
      <c r="AY56" s="289">
        <v>10948</v>
      </c>
      <c r="AZ56" s="289">
        <f t="shared" si="69"/>
        <v>798</v>
      </c>
      <c r="BA56" s="307">
        <f t="shared" si="57"/>
        <v>181.39803520286651</v>
      </c>
      <c r="BB56" s="308">
        <v>36.9</v>
      </c>
      <c r="BC56" s="289">
        <v>37.6</v>
      </c>
      <c r="BD56" s="289">
        <f t="shared" si="70"/>
        <v>0.70000000000000284</v>
      </c>
      <c r="BE56" s="307">
        <f t="shared" si="58"/>
        <v>0.15912108351128706</v>
      </c>
      <c r="BF56" s="308">
        <v>0</v>
      </c>
      <c r="BG56" s="289">
        <v>0</v>
      </c>
      <c r="BH56" s="289">
        <f t="shared" si="71"/>
        <v>0</v>
      </c>
      <c r="BI56" s="307">
        <f t="shared" si="59"/>
        <v>0</v>
      </c>
      <c r="BJ56" s="281">
        <v>83.527766</v>
      </c>
      <c r="BK56" s="281">
        <v>82.415385000000001</v>
      </c>
      <c r="BL56" s="281">
        <f t="shared" si="72"/>
        <v>-1.1123809999999992</v>
      </c>
      <c r="BM56" s="408">
        <v>0</v>
      </c>
      <c r="BN56" s="458">
        <v>0</v>
      </c>
      <c r="BO56" s="458">
        <f t="shared" si="73"/>
        <v>0</v>
      </c>
      <c r="BP56" s="408">
        <v>36.9</v>
      </c>
      <c r="BQ56" s="458">
        <v>37.6</v>
      </c>
      <c r="BR56" s="458">
        <f t="shared" si="74"/>
        <v>0.70000000000000284</v>
      </c>
      <c r="BS56" s="281"/>
      <c r="BT56" s="281"/>
      <c r="BU56" s="281"/>
      <c r="BV56" s="281"/>
      <c r="BW56" s="298" t="s">
        <v>713</v>
      </c>
      <c r="BX56" s="422">
        <v>1730.60325689</v>
      </c>
      <c r="BY56" s="422">
        <v>-2.7539475100000002</v>
      </c>
      <c r="BZ56" s="422">
        <v>1582.38350848</v>
      </c>
      <c r="CA56" s="422">
        <v>1627.1956217100001</v>
      </c>
      <c r="CB56" s="422">
        <v>3.4875041699999998</v>
      </c>
      <c r="CC56" s="422">
        <v>3.5122643899999999</v>
      </c>
      <c r="CD56" s="422">
        <v>0.26389859999999998</v>
      </c>
      <c r="CE56" s="422">
        <v>4.3991901499999999</v>
      </c>
      <c r="CF56" s="422">
        <v>4.3876113099999996</v>
      </c>
      <c r="CG56" s="422">
        <v>-0.97574192999999998</v>
      </c>
      <c r="CH56" s="422">
        <v>-0.7049647</v>
      </c>
      <c r="CI56" s="422">
        <v>0.49640789000000002</v>
      </c>
    </row>
    <row r="57" spans="1:87" ht="15" customHeight="1" x14ac:dyDescent="0.2">
      <c r="A57" s="423">
        <v>62009014</v>
      </c>
      <c r="B57" s="297" t="s">
        <v>809</v>
      </c>
      <c r="C57" s="297" t="s">
        <v>811</v>
      </c>
      <c r="D57" s="326" t="s">
        <v>819</v>
      </c>
      <c r="E57" s="283" t="s">
        <v>820</v>
      </c>
      <c r="F57" s="310" t="str">
        <f t="shared" si="49"/>
        <v>09/14/20</v>
      </c>
      <c r="G57" s="298" t="s">
        <v>821</v>
      </c>
      <c r="H57" s="298" t="s">
        <v>775</v>
      </c>
      <c r="I57" s="306"/>
      <c r="J57" s="299">
        <v>25.946290999999999</v>
      </c>
      <c r="K57" s="299">
        <v>37.231347</v>
      </c>
      <c r="L57" s="299">
        <v>29.627583999999999</v>
      </c>
      <c r="M57" s="299">
        <v>30.357565999999998</v>
      </c>
      <c r="N57" s="284">
        <v>3875</v>
      </c>
      <c r="O57" s="284">
        <v>28.39</v>
      </c>
      <c r="P57" s="284">
        <v>0.20169999999999999</v>
      </c>
      <c r="Q57" s="284">
        <v>1.932E-2</v>
      </c>
      <c r="R57" s="285">
        <v>5.1422433400000003</v>
      </c>
      <c r="S57" s="285">
        <f t="shared" si="61"/>
        <v>9.5414089600000001</v>
      </c>
      <c r="T57" s="314">
        <v>82.415385000000001</v>
      </c>
      <c r="U57" s="314">
        <v>80.434766999999994</v>
      </c>
      <c r="V57" s="289">
        <v>10957</v>
      </c>
      <c r="W57" s="289">
        <v>12376</v>
      </c>
      <c r="X57" s="289">
        <f t="shared" si="62"/>
        <v>1419</v>
      </c>
      <c r="Y57" s="289">
        <f t="shared" si="50"/>
        <v>275.94960140489968</v>
      </c>
      <c r="Z57" s="308">
        <v>367.5</v>
      </c>
      <c r="AA57" s="289">
        <v>382.6</v>
      </c>
      <c r="AB57" s="289">
        <f t="shared" si="63"/>
        <v>15.100000000000023</v>
      </c>
      <c r="AC57" s="289">
        <f t="shared" si="51"/>
        <v>2.9364615794319882</v>
      </c>
      <c r="AD57" s="308">
        <v>314.51</v>
      </c>
      <c r="AE57" s="289">
        <v>327.54000000000002</v>
      </c>
      <c r="AF57" s="289">
        <f t="shared" si="64"/>
        <v>13.03000000000003</v>
      </c>
      <c r="AG57" s="289">
        <f t="shared" si="52"/>
        <v>2.5339135350992605</v>
      </c>
      <c r="AH57" s="308">
        <v>2.37</v>
      </c>
      <c r="AI57" s="289">
        <v>2.25</v>
      </c>
      <c r="AJ57" s="289">
        <f t="shared" si="65"/>
        <v>-0.12000000000000011</v>
      </c>
      <c r="AK57" s="307">
        <f t="shared" si="53"/>
        <v>-2.3336118512042276E-2</v>
      </c>
      <c r="AL57" s="308">
        <v>-33.5</v>
      </c>
      <c r="AM57" s="289">
        <v>-34.799999999999997</v>
      </c>
      <c r="AN57" s="289">
        <f t="shared" si="66"/>
        <v>-1.2999999999999972</v>
      </c>
      <c r="AO57" s="307">
        <f t="shared" si="54"/>
        <v>-0.25280795054712385</v>
      </c>
      <c r="AP57" s="308">
        <v>-40.162300999999999</v>
      </c>
      <c r="AQ57" s="289">
        <v>-41.8</v>
      </c>
      <c r="AR57" s="289">
        <f t="shared" si="67"/>
        <v>-1.6376989999999978</v>
      </c>
      <c r="AS57" s="307">
        <f t="shared" si="55"/>
        <v>-0.31847948292544198</v>
      </c>
      <c r="AT57" s="308">
        <v>13</v>
      </c>
      <c r="AU57" s="289">
        <v>13.6</v>
      </c>
      <c r="AV57" s="289">
        <f t="shared" si="68"/>
        <v>0.59999999999999964</v>
      </c>
      <c r="AW57" s="307">
        <f t="shared" si="56"/>
        <v>0.11668059256021121</v>
      </c>
      <c r="AX57" s="308">
        <v>10948</v>
      </c>
      <c r="AY57" s="289">
        <v>12367</v>
      </c>
      <c r="AZ57" s="289">
        <f t="shared" si="69"/>
        <v>1419</v>
      </c>
      <c r="BA57" s="307">
        <f t="shared" si="57"/>
        <v>275.94960140489968</v>
      </c>
      <c r="BB57" s="308">
        <v>37.6</v>
      </c>
      <c r="BC57" s="289">
        <v>38</v>
      </c>
      <c r="BD57" s="289">
        <f t="shared" si="70"/>
        <v>0.39999999999999858</v>
      </c>
      <c r="BE57" s="307">
        <f t="shared" si="58"/>
        <v>7.7787061706807242E-2</v>
      </c>
      <c r="BF57" s="308">
        <v>0</v>
      </c>
      <c r="BG57" s="289">
        <v>0</v>
      </c>
      <c r="BH57" s="289">
        <f t="shared" si="71"/>
        <v>0</v>
      </c>
      <c r="BI57" s="307">
        <f t="shared" si="59"/>
        <v>0</v>
      </c>
      <c r="BJ57" s="281">
        <v>82.415385000000001</v>
      </c>
      <c r="BK57" s="281">
        <v>80.434766999999994</v>
      </c>
      <c r="BL57" s="281">
        <f t="shared" si="72"/>
        <v>-1.9806180000000069</v>
      </c>
      <c r="BM57" s="408">
        <v>0</v>
      </c>
      <c r="BN57" s="458">
        <v>0</v>
      </c>
      <c r="BO57" s="458">
        <f t="shared" si="73"/>
        <v>0</v>
      </c>
      <c r="BP57" s="408">
        <v>37.6</v>
      </c>
      <c r="BQ57" s="458">
        <v>38</v>
      </c>
      <c r="BR57" s="458">
        <f t="shared" si="74"/>
        <v>0.39999999999999858</v>
      </c>
      <c r="BS57" s="281"/>
      <c r="BT57" s="281"/>
      <c r="BU57" s="281"/>
      <c r="BV57" s="281"/>
      <c r="BW57" s="298" t="s">
        <v>713</v>
      </c>
      <c r="BX57" s="422">
        <v>1516.97659011</v>
      </c>
      <c r="BY57" s="422">
        <v>0.74504221999999998</v>
      </c>
      <c r="BZ57" s="422">
        <v>1000.78074265</v>
      </c>
      <c r="CA57" s="422">
        <v>993.37964489000001</v>
      </c>
      <c r="CB57" s="422">
        <v>5.5021167100000001</v>
      </c>
      <c r="CC57" s="422">
        <v>5.4582841699999998</v>
      </c>
      <c r="CD57" s="422">
        <v>0.26214024000000002</v>
      </c>
      <c r="CE57" s="422">
        <v>5.1422774200000001</v>
      </c>
      <c r="CF57" s="422">
        <v>5.1288326800000004</v>
      </c>
      <c r="CG57" s="422">
        <v>0.53659685000000001</v>
      </c>
      <c r="CH57" s="422">
        <v>0.80304622000000003</v>
      </c>
      <c r="CI57" s="422">
        <v>0.33763589999999999</v>
      </c>
    </row>
    <row r="58" spans="1:87" ht="15" customHeight="1" x14ac:dyDescent="0.2">
      <c r="A58" s="423">
        <v>62009014</v>
      </c>
      <c r="B58" s="297" t="s">
        <v>809</v>
      </c>
      <c r="C58" s="345" t="s">
        <v>814</v>
      </c>
      <c r="D58" s="326" t="s">
        <v>819</v>
      </c>
      <c r="E58" s="283" t="s">
        <v>820</v>
      </c>
      <c r="F58" s="310" t="str">
        <f t="shared" si="49"/>
        <v>09/14/20</v>
      </c>
      <c r="G58" s="298" t="s">
        <v>821</v>
      </c>
      <c r="H58" s="298" t="s">
        <v>775</v>
      </c>
      <c r="I58" s="306"/>
      <c r="J58" s="300">
        <f t="shared" ref="J58:M59" si="75">AVERAGE(J56:J57)</f>
        <v>25.096656500000002</v>
      </c>
      <c r="K58" s="300">
        <f t="shared" si="75"/>
        <v>39.274080499999997</v>
      </c>
      <c r="L58" s="300">
        <f t="shared" si="75"/>
        <v>29.621344999999998</v>
      </c>
      <c r="M58" s="300">
        <f t="shared" si="75"/>
        <v>29.647841999999997</v>
      </c>
      <c r="N58" s="286"/>
      <c r="O58" s="284"/>
      <c r="P58" s="302"/>
      <c r="Q58" s="301"/>
      <c r="R58" s="287">
        <f>R57+R56</f>
        <v>9.5414089600000001</v>
      </c>
      <c r="S58" s="287">
        <f>S57</f>
        <v>9.5414089600000001</v>
      </c>
      <c r="T58" s="315">
        <f>T56</f>
        <v>83.527766</v>
      </c>
      <c r="U58" s="315">
        <f>U57</f>
        <v>80.434766999999994</v>
      </c>
      <c r="V58" s="290">
        <f>V56</f>
        <v>10158</v>
      </c>
      <c r="W58" s="290">
        <f>W57</f>
        <v>12376</v>
      </c>
      <c r="X58" s="290">
        <f>SUM(X56:X57)</f>
        <v>2218</v>
      </c>
      <c r="Y58" s="290">
        <f t="shared" si="50"/>
        <v>232.46042689275944</v>
      </c>
      <c r="Z58" s="290">
        <f>Z56</f>
        <v>346.4</v>
      </c>
      <c r="AA58" s="290">
        <f>AA57</f>
        <v>382.6</v>
      </c>
      <c r="AB58" s="290">
        <f>SUM(AB56:AB57)</f>
        <v>36.200000000000045</v>
      </c>
      <c r="AC58" s="290">
        <f t="shared" si="51"/>
        <v>3.7939889330558625</v>
      </c>
      <c r="AD58" s="290">
        <f>AD56</f>
        <v>296.32</v>
      </c>
      <c r="AE58" s="290">
        <f>AE57</f>
        <v>327.54000000000002</v>
      </c>
      <c r="AF58" s="290">
        <f>SUM(AF56:AF57)</f>
        <v>31.216214000000036</v>
      </c>
      <c r="AG58" s="290">
        <f t="shared" si="52"/>
        <v>3.2716566422072781</v>
      </c>
      <c r="AH58" s="290">
        <f>AH56</f>
        <v>2.56</v>
      </c>
      <c r="AI58" s="290">
        <f>AI57</f>
        <v>2.25</v>
      </c>
      <c r="AJ58" s="290">
        <f>SUM(AJ56:AJ57)</f>
        <v>-0.31000000000000005</v>
      </c>
      <c r="AK58" s="288">
        <f t="shared" si="53"/>
        <v>-3.2489960476445194E-2</v>
      </c>
      <c r="AL58" s="290">
        <f>AL56</f>
        <v>-31.5</v>
      </c>
      <c r="AM58" s="290">
        <f>AM57</f>
        <v>-34.799999999999997</v>
      </c>
      <c r="AN58" s="290">
        <f>SUM(AN56:AN57)</f>
        <v>-3.2999999999999972</v>
      </c>
      <c r="AO58" s="288">
        <f t="shared" si="54"/>
        <v>-0.34586086958796464</v>
      </c>
      <c r="AP58" s="290">
        <f>AP56</f>
        <v>-37.799999999999997</v>
      </c>
      <c r="AQ58" s="290">
        <f>AQ57</f>
        <v>-41.8</v>
      </c>
      <c r="AR58" s="290">
        <f>SUM(AR56:AR57)</f>
        <v>-3.9376990000000021</v>
      </c>
      <c r="AS58" s="288">
        <f t="shared" si="55"/>
        <v>-0.41269575767141231</v>
      </c>
      <c r="AT58" s="290">
        <f>AT56</f>
        <v>12.3</v>
      </c>
      <c r="AU58" s="290">
        <f>AU57</f>
        <v>13.6</v>
      </c>
      <c r="AV58" s="290">
        <f>SUM(AV56:AV57)</f>
        <v>1.2999999999999989</v>
      </c>
      <c r="AW58" s="288">
        <f t="shared" si="56"/>
        <v>0.13624822135283454</v>
      </c>
      <c r="AX58" s="290">
        <f>AX56</f>
        <v>10150</v>
      </c>
      <c r="AY58" s="290">
        <f>AY57</f>
        <v>12367</v>
      </c>
      <c r="AZ58" s="290">
        <f>SUM(AZ56:AZ57)</f>
        <v>2217</v>
      </c>
      <c r="BA58" s="288">
        <f t="shared" si="57"/>
        <v>232.35562056864188</v>
      </c>
      <c r="BB58" s="290">
        <f>BB56</f>
        <v>36.9</v>
      </c>
      <c r="BC58" s="290">
        <f>BC57</f>
        <v>38</v>
      </c>
      <c r="BD58" s="290">
        <f>SUM(BD56:BD57)</f>
        <v>1.1000000000000014</v>
      </c>
      <c r="BE58" s="288">
        <f t="shared" si="58"/>
        <v>0.11528695652932179</v>
      </c>
      <c r="BF58" s="290">
        <f>BF56</f>
        <v>0</v>
      </c>
      <c r="BG58" s="290">
        <f>BG57</f>
        <v>0</v>
      </c>
      <c r="BH58" s="290">
        <f>SUM(BH56:BH57)</f>
        <v>0</v>
      </c>
      <c r="BI58" s="288">
        <f t="shared" si="59"/>
        <v>0</v>
      </c>
      <c r="BJ58" s="282"/>
      <c r="BK58" s="282"/>
      <c r="BL58" s="282">
        <f>SUM(BL56:BL57)</f>
        <v>-3.092999000000006</v>
      </c>
      <c r="BM58" s="459">
        <f>BM56</f>
        <v>0</v>
      </c>
      <c r="BN58" s="459">
        <f>BN57</f>
        <v>0</v>
      </c>
      <c r="BO58" s="459">
        <f>SUM(BO56:BO57)</f>
        <v>0</v>
      </c>
      <c r="BP58" s="459">
        <f>BP56</f>
        <v>36.9</v>
      </c>
      <c r="BQ58" s="459">
        <f>BQ57</f>
        <v>38</v>
      </c>
      <c r="BR58" s="459">
        <f>SUM(BR56:BR57)</f>
        <v>1.1000000000000014</v>
      </c>
      <c r="BS58" s="282"/>
      <c r="BT58" s="282"/>
      <c r="BU58" s="282"/>
      <c r="BV58" s="282"/>
      <c r="BW58" s="298" t="s">
        <v>713</v>
      </c>
    </row>
    <row r="59" spans="1:87" ht="15" customHeight="1" x14ac:dyDescent="0.2">
      <c r="A59" s="423">
        <v>62009014</v>
      </c>
      <c r="B59" s="297" t="s">
        <v>809</v>
      </c>
      <c r="C59" s="345" t="s">
        <v>815</v>
      </c>
      <c r="D59" s="326" t="s">
        <v>819</v>
      </c>
      <c r="E59" s="283" t="s">
        <v>820</v>
      </c>
      <c r="F59" s="310" t="str">
        <f t="shared" si="49"/>
        <v>09/14/20</v>
      </c>
      <c r="G59" s="298" t="s">
        <v>821</v>
      </c>
      <c r="H59" s="298" t="s">
        <v>775</v>
      </c>
      <c r="I59" s="306"/>
      <c r="J59" s="300">
        <f t="shared" si="75"/>
        <v>25.521473749999998</v>
      </c>
      <c r="K59" s="300">
        <f t="shared" si="75"/>
        <v>38.252713749999998</v>
      </c>
      <c r="L59" s="300">
        <f t="shared" si="75"/>
        <v>29.624464499999998</v>
      </c>
      <c r="M59" s="300">
        <f t="shared" si="75"/>
        <v>30.002703999999998</v>
      </c>
      <c r="N59" s="286"/>
      <c r="O59" s="284"/>
      <c r="P59" s="302"/>
      <c r="Q59" s="301"/>
      <c r="R59" s="287">
        <f>R58+R57</f>
        <v>14.6836523</v>
      </c>
      <c r="S59" s="287">
        <f>S58</f>
        <v>9.5414089600000001</v>
      </c>
      <c r="T59" s="315">
        <f>T57</f>
        <v>82.415385000000001</v>
      </c>
      <c r="U59" s="315">
        <f>U58</f>
        <v>80.434766999999994</v>
      </c>
      <c r="V59" s="290">
        <f>V57</f>
        <v>10957</v>
      </c>
      <c r="W59" s="290">
        <f>W58</f>
        <v>12376</v>
      </c>
      <c r="X59" s="290">
        <f>SUM(X57:X58)</f>
        <v>3637</v>
      </c>
      <c r="Y59" s="290">
        <f t="shared" si="50"/>
        <v>247.69041963762652</v>
      </c>
      <c r="Z59" s="290">
        <f>Z57</f>
        <v>367.5</v>
      </c>
      <c r="AA59" s="290">
        <f>AA58</f>
        <v>382.6</v>
      </c>
      <c r="AB59" s="290">
        <f>SUM(AB57:AB58)</f>
        <v>51.300000000000068</v>
      </c>
      <c r="AC59" s="290">
        <f t="shared" si="51"/>
        <v>3.4936812008276759</v>
      </c>
      <c r="AD59" s="290">
        <f>AD57</f>
        <v>314.51</v>
      </c>
      <c r="AE59" s="290">
        <f>AE58</f>
        <v>327.54000000000002</v>
      </c>
      <c r="AF59" s="290">
        <f>SUM(AF57:AF58)</f>
        <v>44.246214000000066</v>
      </c>
      <c r="AG59" s="290">
        <f t="shared" si="52"/>
        <v>3.0132975840077654</v>
      </c>
      <c r="AH59" s="290">
        <f>AH57</f>
        <v>2.37</v>
      </c>
      <c r="AI59" s="290">
        <f>AI58</f>
        <v>2.25</v>
      </c>
      <c r="AJ59" s="290">
        <f>SUM(AJ57:AJ58)</f>
        <v>-0.43000000000000016</v>
      </c>
      <c r="AK59" s="288">
        <f t="shared" si="53"/>
        <v>-2.928426737535866E-2</v>
      </c>
      <c r="AL59" s="290">
        <f>AL57</f>
        <v>-33.5</v>
      </c>
      <c r="AM59" s="290">
        <f>AM58</f>
        <v>-34.799999999999997</v>
      </c>
      <c r="AN59" s="290">
        <f>SUM(AN57:AN58)</f>
        <v>-4.5999999999999943</v>
      </c>
      <c r="AO59" s="288">
        <f t="shared" si="54"/>
        <v>-0.31327355796895262</v>
      </c>
      <c r="AP59" s="290">
        <f>AP57</f>
        <v>-40.162300999999999</v>
      </c>
      <c r="AQ59" s="290">
        <f>AQ58</f>
        <v>-41.8</v>
      </c>
      <c r="AR59" s="290">
        <f>SUM(AR57:AR58)</f>
        <v>-5.5753979999999999</v>
      </c>
      <c r="AS59" s="288">
        <f t="shared" si="55"/>
        <v>-0.37970103664195315</v>
      </c>
      <c r="AT59" s="290">
        <f>AT57</f>
        <v>13</v>
      </c>
      <c r="AU59" s="290">
        <f>AU58</f>
        <v>13.6</v>
      </c>
      <c r="AV59" s="290">
        <f>SUM(AV57:AV58)</f>
        <v>1.8999999999999986</v>
      </c>
      <c r="AW59" s="288">
        <f t="shared" si="56"/>
        <v>0.1293956000306544</v>
      </c>
      <c r="AX59" s="290">
        <f>AX57</f>
        <v>10948</v>
      </c>
      <c r="AY59" s="290">
        <f>AY58</f>
        <v>12367</v>
      </c>
      <c r="AZ59" s="290">
        <f>SUM(AZ57:AZ58)</f>
        <v>3636</v>
      </c>
      <c r="BA59" s="288">
        <f t="shared" si="57"/>
        <v>247.62231669024197</v>
      </c>
      <c r="BB59" s="290">
        <f>BB57</f>
        <v>37.6</v>
      </c>
      <c r="BC59" s="290">
        <f>BC58</f>
        <v>38</v>
      </c>
      <c r="BD59" s="290">
        <f>SUM(BD57:BD58)</f>
        <v>1.5</v>
      </c>
      <c r="BE59" s="288">
        <f t="shared" si="58"/>
        <v>0.10215442107683249</v>
      </c>
      <c r="BF59" s="290">
        <f>BF57</f>
        <v>0</v>
      </c>
      <c r="BG59" s="290">
        <f>BG58</f>
        <v>0</v>
      </c>
      <c r="BH59" s="290">
        <f>SUM(BH57:BH58)</f>
        <v>0</v>
      </c>
      <c r="BI59" s="288">
        <f t="shared" si="59"/>
        <v>0</v>
      </c>
      <c r="BJ59" s="282"/>
      <c r="BK59" s="282"/>
      <c r="BL59" s="282">
        <f>SUM(BL57:BL58)</f>
        <v>-5.0736170000000129</v>
      </c>
      <c r="BM59" s="459">
        <f>BM57</f>
        <v>0</v>
      </c>
      <c r="BN59" s="459">
        <f>BN58</f>
        <v>0</v>
      </c>
      <c r="BO59" s="459">
        <f>SUM(BO57:BO58)</f>
        <v>0</v>
      </c>
      <c r="BP59" s="459">
        <f>BP57</f>
        <v>37.6</v>
      </c>
      <c r="BQ59" s="459">
        <f>BQ58</f>
        <v>38</v>
      </c>
      <c r="BR59" s="459">
        <f>SUM(BR57:BR58)</f>
        <v>1.5</v>
      </c>
      <c r="BS59" s="282"/>
      <c r="BT59" s="282"/>
      <c r="BU59" s="282"/>
      <c r="BV59" s="282"/>
      <c r="BW59" s="298" t="s">
        <v>713</v>
      </c>
    </row>
    <row r="60" spans="1:87" ht="15" customHeight="1" x14ac:dyDescent="0.2">
      <c r="A60" s="297">
        <v>62009015</v>
      </c>
      <c r="B60" s="339" t="s">
        <v>616</v>
      </c>
      <c r="C60" s="297" t="s">
        <v>626</v>
      </c>
      <c r="D60" s="326" t="s">
        <v>822</v>
      </c>
      <c r="E60" s="283" t="s">
        <v>823</v>
      </c>
      <c r="F60" s="310" t="str">
        <f t="shared" si="49"/>
        <v>09/14/20</v>
      </c>
      <c r="G60" s="298" t="s">
        <v>824</v>
      </c>
      <c r="H60" s="298" t="s">
        <v>775</v>
      </c>
      <c r="I60" s="306"/>
      <c r="J60" s="299">
        <v>242.43111500000001</v>
      </c>
      <c r="K60" s="299">
        <v>525.23053300000004</v>
      </c>
      <c r="L60" s="299">
        <v>329.81518399999999</v>
      </c>
      <c r="M60" s="299">
        <v>244.887812</v>
      </c>
      <c r="N60" s="284">
        <v>3875</v>
      </c>
      <c r="O60" s="284">
        <v>28.39</v>
      </c>
      <c r="P60" s="284">
        <v>0.20169999999999999</v>
      </c>
      <c r="Q60" s="284">
        <v>1.932E-2</v>
      </c>
      <c r="R60" s="285">
        <v>8.8549300000000004E-3</v>
      </c>
      <c r="S60" s="285">
        <f>R60+R59</f>
        <v>14.69250723</v>
      </c>
      <c r="T60" s="314" t="s">
        <v>1151</v>
      </c>
      <c r="U60" s="314" t="s">
        <v>1152</v>
      </c>
      <c r="V60" s="289">
        <v>12376</v>
      </c>
      <c r="W60" s="289">
        <v>12347</v>
      </c>
      <c r="X60" s="289">
        <f>W60-V60</f>
        <v>-29</v>
      </c>
      <c r="Y60" s="289">
        <f t="shared" si="50"/>
        <v>-3275.0117731026671</v>
      </c>
      <c r="Z60" s="308">
        <v>382.9</v>
      </c>
      <c r="AA60" s="289">
        <v>555.1</v>
      </c>
      <c r="AB60" s="289">
        <f>AA60-Z60</f>
        <v>172.20000000000005</v>
      </c>
      <c r="AC60" s="289">
        <f t="shared" si="51"/>
        <v>19446.794045802737</v>
      </c>
      <c r="AD60" s="308">
        <v>327.74</v>
      </c>
      <c r="AE60" s="289">
        <v>460.4</v>
      </c>
      <c r="AF60" s="289">
        <f>AE60-AD60</f>
        <v>132.65999999999997</v>
      </c>
      <c r="AG60" s="289">
        <f t="shared" si="52"/>
        <v>14981.484890337921</v>
      </c>
      <c r="AH60" s="308">
        <v>5.35</v>
      </c>
      <c r="AI60" s="289">
        <v>-56.54</v>
      </c>
      <c r="AJ60" s="289">
        <f>AI60-AH60</f>
        <v>-61.89</v>
      </c>
      <c r="AK60" s="307">
        <f t="shared" si="53"/>
        <v>-6989.3268495628981</v>
      </c>
      <c r="AL60" s="308">
        <v>-34.9</v>
      </c>
      <c r="AM60" s="289">
        <v>-34.9</v>
      </c>
      <c r="AN60" s="289">
        <f>AM60-AL60</f>
        <v>0</v>
      </c>
      <c r="AO60" s="307">
        <f t="shared" si="54"/>
        <v>0</v>
      </c>
      <c r="AP60" s="308">
        <v>-41.9</v>
      </c>
      <c r="AQ60" s="289">
        <v>-42</v>
      </c>
      <c r="AR60" s="289">
        <f>AQ60-AP60</f>
        <v>-0.10000000000000142</v>
      </c>
      <c r="AS60" s="307">
        <f t="shared" si="55"/>
        <v>-11.293144045181771</v>
      </c>
      <c r="AT60" s="308">
        <v>13.6</v>
      </c>
      <c r="AU60" s="289">
        <v>29.7</v>
      </c>
      <c r="AV60" s="289">
        <f>AU60-AT60</f>
        <v>16.100000000000001</v>
      </c>
      <c r="AW60" s="307">
        <f t="shared" si="56"/>
        <v>1818.1961912742395</v>
      </c>
      <c r="AX60" s="308">
        <v>12367</v>
      </c>
      <c r="AY60" s="289">
        <v>-590</v>
      </c>
      <c r="AZ60" s="289">
        <f>AY60-AX60</f>
        <v>-12957</v>
      </c>
      <c r="BA60" s="307">
        <f t="shared" si="57"/>
        <v>-1463252.6739341812</v>
      </c>
      <c r="BB60" s="308">
        <v>38.799999999999997</v>
      </c>
      <c r="BC60" s="289">
        <v>14022.2</v>
      </c>
      <c r="BD60" s="289">
        <f>BC60-BB60</f>
        <v>13983.400000000001</v>
      </c>
      <c r="BE60" s="307">
        <f t="shared" si="58"/>
        <v>1579165.5044139253</v>
      </c>
      <c r="BF60" s="308">
        <v>0</v>
      </c>
      <c r="BG60" s="289">
        <v>-13942.8</v>
      </c>
      <c r="BH60" s="289">
        <f>BG60-BF60</f>
        <v>-13942.8</v>
      </c>
      <c r="BI60" s="307">
        <f t="shared" si="59"/>
        <v>-1574580.4879315814</v>
      </c>
      <c r="BJ60" s="281" t="s">
        <v>1151</v>
      </c>
      <c r="BK60" s="281" t="s">
        <v>1153</v>
      </c>
      <c r="BL60" s="281" t="e">
        <f>BK60-BJ60</f>
        <v>#VALUE!</v>
      </c>
      <c r="BM60" s="408">
        <v>0</v>
      </c>
      <c r="BN60" s="458">
        <v>-13942.8</v>
      </c>
      <c r="BO60" s="458">
        <f>BN60-BM60</f>
        <v>-13942.8</v>
      </c>
      <c r="BP60" s="408">
        <v>38.799999999999997</v>
      </c>
      <c r="BQ60" s="458">
        <v>14022.2</v>
      </c>
      <c r="BR60" s="458">
        <f>BQ60-BP60</f>
        <v>13983.400000000001</v>
      </c>
      <c r="BS60" s="281"/>
      <c r="BT60" s="281"/>
      <c r="BU60" s="281"/>
      <c r="BV60" s="281"/>
      <c r="BW60" s="298" t="s">
        <v>825</v>
      </c>
      <c r="BX60" s="422">
        <v>0</v>
      </c>
      <c r="BY60" s="422" t="s">
        <v>777</v>
      </c>
      <c r="BZ60" s="422">
        <v>0</v>
      </c>
      <c r="CA60" s="422">
        <v>0</v>
      </c>
      <c r="CB60" s="422">
        <v>0</v>
      </c>
      <c r="CC60" s="422">
        <v>0</v>
      </c>
      <c r="CD60" s="422" t="s">
        <v>777</v>
      </c>
      <c r="CE60" s="422">
        <v>0</v>
      </c>
      <c r="CF60" s="422">
        <v>0</v>
      </c>
      <c r="CG60" s="422" t="s">
        <v>777</v>
      </c>
      <c r="CH60" s="422" t="s">
        <v>777</v>
      </c>
      <c r="CI60" s="422" t="s">
        <v>777</v>
      </c>
    </row>
    <row r="61" spans="1:87" ht="15" customHeight="1" x14ac:dyDescent="0.2">
      <c r="A61" s="457" t="s">
        <v>828</v>
      </c>
      <c r="B61" s="334"/>
      <c r="C61" s="334"/>
      <c r="D61" s="472"/>
      <c r="E61" s="473"/>
      <c r="F61" s="473"/>
      <c r="G61" s="335"/>
      <c r="H61" s="335"/>
      <c r="I61" s="335"/>
      <c r="J61" s="335"/>
      <c r="K61" s="335"/>
      <c r="L61" s="335"/>
      <c r="M61" s="335"/>
      <c r="N61" s="335"/>
      <c r="O61" s="335"/>
      <c r="P61" s="336"/>
      <c r="Q61" s="337"/>
      <c r="R61" s="334"/>
      <c r="S61" s="334"/>
      <c r="T61" s="334"/>
      <c r="U61" s="334"/>
      <c r="V61" s="341"/>
      <c r="W61" s="341"/>
      <c r="X61" s="334"/>
      <c r="Y61" s="334"/>
      <c r="Z61" s="334"/>
      <c r="AA61" s="334"/>
      <c r="AB61" s="334"/>
      <c r="AC61" s="334"/>
      <c r="AD61" s="334"/>
      <c r="AE61" s="341"/>
      <c r="AF61" s="341"/>
      <c r="AG61" s="341"/>
      <c r="AH61" s="341"/>
      <c r="AI61" s="341"/>
      <c r="AJ61" s="334"/>
      <c r="AK61" s="334"/>
      <c r="AL61" s="334"/>
      <c r="AM61" s="334"/>
      <c r="AN61" s="334"/>
      <c r="AO61" s="334"/>
      <c r="AP61" s="341"/>
      <c r="AQ61" s="341"/>
      <c r="AR61" s="334"/>
      <c r="AS61" s="334"/>
      <c r="AT61" s="341"/>
      <c r="AU61" s="341"/>
      <c r="AV61" s="334"/>
      <c r="AW61" s="334"/>
      <c r="AX61" s="341"/>
      <c r="AY61" s="341"/>
      <c r="AZ61" s="334"/>
      <c r="BA61" s="334"/>
      <c r="BB61" s="341"/>
      <c r="BC61" s="341"/>
      <c r="BD61" s="334"/>
      <c r="BE61" s="334"/>
      <c r="BF61" s="341"/>
      <c r="BG61" s="341"/>
      <c r="BH61" s="334"/>
      <c r="BI61" s="334"/>
      <c r="BJ61" s="334"/>
      <c r="BK61" s="334"/>
      <c r="BL61" s="334"/>
      <c r="BM61" s="334"/>
      <c r="BN61" s="334"/>
      <c r="BO61" s="334"/>
      <c r="BP61" s="334"/>
      <c r="BQ61" s="334"/>
      <c r="BR61" s="334"/>
      <c r="BS61" s="334"/>
      <c r="BT61" s="334"/>
      <c r="BU61" s="334"/>
      <c r="BV61" s="334"/>
      <c r="BW61" s="334"/>
      <c r="BX61" s="334"/>
      <c r="BY61" s="334"/>
      <c r="BZ61" s="334"/>
      <c r="CA61" s="334"/>
      <c r="CB61" s="334"/>
      <c r="CC61" s="334"/>
      <c r="CD61" s="334"/>
      <c r="CE61" s="334"/>
      <c r="CF61" s="334"/>
      <c r="CG61" s="334"/>
      <c r="CH61" s="334"/>
      <c r="CI61" s="338"/>
    </row>
    <row r="62" spans="1:87" ht="15" customHeight="1" x14ac:dyDescent="0.2">
      <c r="A62" s="423">
        <v>62009016</v>
      </c>
      <c r="B62" s="297" t="s">
        <v>607</v>
      </c>
      <c r="C62" s="297" t="s">
        <v>626</v>
      </c>
      <c r="D62" s="326" t="s">
        <v>778</v>
      </c>
      <c r="E62" s="283" t="s">
        <v>826</v>
      </c>
      <c r="F62" s="310" t="str">
        <f t="shared" si="49"/>
        <v>09/15/20</v>
      </c>
      <c r="G62" s="298" t="s">
        <v>827</v>
      </c>
      <c r="H62" s="298" t="s">
        <v>775</v>
      </c>
      <c r="I62" s="306"/>
      <c r="J62" s="299">
        <v>24.157958000000001</v>
      </c>
      <c r="K62" s="299">
        <v>41.579532999999998</v>
      </c>
      <c r="L62" s="299">
        <v>29.580300000000001</v>
      </c>
      <c r="M62" s="299">
        <v>24.972743000000001</v>
      </c>
      <c r="N62" s="284">
        <v>3875</v>
      </c>
      <c r="O62" s="284">
        <v>28.39</v>
      </c>
      <c r="P62" s="284">
        <v>0.20169999999999999</v>
      </c>
      <c r="Q62" s="284">
        <v>1.932E-2</v>
      </c>
      <c r="R62" s="285">
        <v>3.5953424699999998</v>
      </c>
      <c r="S62" s="285">
        <f>R62+R60</f>
        <v>3.6041973999999999</v>
      </c>
      <c r="T62" s="314">
        <v>97.630133999999998</v>
      </c>
      <c r="U62" s="314">
        <v>96.725274999999996</v>
      </c>
      <c r="V62" s="289">
        <v>12363</v>
      </c>
      <c r="W62" s="289">
        <v>13049</v>
      </c>
      <c r="X62" s="289">
        <f>W62-V62</f>
        <v>686</v>
      </c>
      <c r="Y62" s="289">
        <f t="shared" ref="Y62:Y71" si="76">X62/$R62</f>
        <v>190.80240776061592</v>
      </c>
      <c r="Z62" s="308">
        <v>570.1</v>
      </c>
      <c r="AA62" s="289">
        <v>615.79999999999995</v>
      </c>
      <c r="AB62" s="289">
        <f>AA62-Z62</f>
        <v>45.699999999999932</v>
      </c>
      <c r="AC62" s="289">
        <f t="shared" ref="AC62:AC71" si="77">AB62/$R62</f>
        <v>12.710889263352966</v>
      </c>
      <c r="AD62" s="308">
        <v>469.58436899999998</v>
      </c>
      <c r="AE62" s="289">
        <v>510.27502299999998</v>
      </c>
      <c r="AF62" s="289">
        <f>AE62-AD62</f>
        <v>40.690653999999995</v>
      </c>
      <c r="AG62" s="289">
        <f t="shared" ref="AG62:AG71" si="78">AF62/$R62</f>
        <v>11.317601685938975</v>
      </c>
      <c r="AH62" s="308">
        <v>-56.02</v>
      </c>
      <c r="AI62" s="289">
        <v>-59.87</v>
      </c>
      <c r="AJ62" s="289">
        <f>AI62-AH62</f>
        <v>-3.8499999999999943</v>
      </c>
      <c r="AK62" s="307">
        <f t="shared" ref="AK62:AK71" si="79">AJ62/$R62</f>
        <v>-1.0708298394728428</v>
      </c>
      <c r="AL62" s="308">
        <v>-35.5</v>
      </c>
      <c r="AM62" s="289">
        <v>-37.799999999999997</v>
      </c>
      <c r="AN62" s="289">
        <f>AM62-AL62</f>
        <v>-2.2999999999999972</v>
      </c>
      <c r="AO62" s="307">
        <f t="shared" ref="AO62:AO71" si="80">AN62/$R62</f>
        <v>-0.63971652747728291</v>
      </c>
      <c r="AP62" s="308">
        <v>-42.4</v>
      </c>
      <c r="AQ62" s="289">
        <v>-45.2</v>
      </c>
      <c r="AR62" s="289">
        <f>AQ62-AP62</f>
        <v>-2.8000000000000043</v>
      </c>
      <c r="AS62" s="307">
        <f t="shared" ref="AS62:AS71" si="81">AR62/$R62</f>
        <v>-0.77878533779843351</v>
      </c>
      <c r="AT62" s="308">
        <v>29.9</v>
      </c>
      <c r="AU62" s="289">
        <v>30.8</v>
      </c>
      <c r="AV62" s="289">
        <f>AU62-AT62</f>
        <v>0.90000000000000213</v>
      </c>
      <c r="AW62" s="307">
        <f t="shared" ref="AW62:AW71" si="82">AV62/$R62</f>
        <v>0.25032385857806816</v>
      </c>
      <c r="AX62" s="308">
        <v>-573</v>
      </c>
      <c r="AY62" s="289">
        <v>112</v>
      </c>
      <c r="AZ62" s="289">
        <f>AY62-AX62</f>
        <v>685</v>
      </c>
      <c r="BA62" s="307">
        <f t="shared" ref="BA62:BA71" si="83">AZ62/$R62</f>
        <v>190.52427013997362</v>
      </c>
      <c r="BB62" s="308">
        <v>14078.6</v>
      </c>
      <c r="BC62" s="289">
        <v>14079.3</v>
      </c>
      <c r="BD62" s="289">
        <f>BC62-BB62</f>
        <v>0.69999999999890861</v>
      </c>
      <c r="BE62" s="307">
        <f t="shared" ref="BE62:BE71" si="84">BD62/$R62</f>
        <v>0.19469633444930454</v>
      </c>
      <c r="BF62" s="308">
        <v>-13942.8</v>
      </c>
      <c r="BG62" s="289">
        <v>-13942.8</v>
      </c>
      <c r="BH62" s="289">
        <f>BG62-BF62</f>
        <v>0</v>
      </c>
      <c r="BI62" s="307">
        <f t="shared" ref="BI62:BI71" si="85">BH62/$R62</f>
        <v>0</v>
      </c>
      <c r="BJ62" s="281">
        <v>97.630133999999998</v>
      </c>
      <c r="BK62" s="281">
        <v>96.725274999999996</v>
      </c>
      <c r="BL62" s="281">
        <f>BK62-BJ62</f>
        <v>-0.90485900000000186</v>
      </c>
      <c r="BM62" s="408">
        <v>-13942.8</v>
      </c>
      <c r="BN62" s="458">
        <v>-13942.8</v>
      </c>
      <c r="BO62" s="458">
        <f>BN62-BM62</f>
        <v>0</v>
      </c>
      <c r="BP62" s="408">
        <v>14078.6</v>
      </c>
      <c r="BQ62" s="458">
        <v>14079.3</v>
      </c>
      <c r="BR62" s="458">
        <f>BQ62-BP62</f>
        <v>0.69999999999890861</v>
      </c>
      <c r="BS62" s="281"/>
      <c r="BT62" s="281"/>
      <c r="BU62" s="281"/>
      <c r="BV62" s="281"/>
      <c r="BW62" s="298" t="s">
        <v>713</v>
      </c>
      <c r="BX62" s="422">
        <v>2205.9346222499998</v>
      </c>
      <c r="BY62" s="422">
        <v>-1.0550151999999999</v>
      </c>
      <c r="BZ62" s="422">
        <v>2027.2822914599999</v>
      </c>
      <c r="CA62" s="422">
        <v>2048.8984819000002</v>
      </c>
      <c r="CB62" s="422">
        <v>2.9476023499999999</v>
      </c>
      <c r="CC62" s="422">
        <v>2.9659658900000001</v>
      </c>
      <c r="CD62" s="422">
        <v>0.12019024</v>
      </c>
      <c r="CE62" s="422">
        <v>3.5952966100000001</v>
      </c>
      <c r="CF62" s="422">
        <v>3.5909806</v>
      </c>
      <c r="CG62" s="422">
        <v>-0.74393836999999996</v>
      </c>
      <c r="CH62" s="422">
        <v>-0.61914210000000003</v>
      </c>
      <c r="CI62" s="422">
        <v>0.59142656999999998</v>
      </c>
    </row>
    <row r="63" spans="1:87" ht="15" customHeight="1" x14ac:dyDescent="0.2">
      <c r="A63" s="423">
        <f>A62</f>
        <v>62009016</v>
      </c>
      <c r="B63" s="297" t="s">
        <v>608</v>
      </c>
      <c r="C63" s="297" t="s">
        <v>627</v>
      </c>
      <c r="D63" s="326" t="s">
        <v>778</v>
      </c>
      <c r="E63" s="283" t="s">
        <v>826</v>
      </c>
      <c r="F63" s="310" t="str">
        <f t="shared" si="49"/>
        <v>09/15/20</v>
      </c>
      <c r="G63" s="298" t="s">
        <v>827</v>
      </c>
      <c r="H63" s="298" t="s">
        <v>775</v>
      </c>
      <c r="I63" s="306"/>
      <c r="J63" s="299">
        <v>21.920007999999999</v>
      </c>
      <c r="K63" s="299">
        <v>46.311925000000002</v>
      </c>
      <c r="L63" s="299">
        <v>29.571764000000002</v>
      </c>
      <c r="M63" s="299">
        <v>26.809453999999999</v>
      </c>
      <c r="N63" s="284">
        <v>3875</v>
      </c>
      <c r="O63" s="284">
        <v>28.39</v>
      </c>
      <c r="P63" s="284">
        <v>0.20169999999999999</v>
      </c>
      <c r="Q63" s="284">
        <v>1.932E-2</v>
      </c>
      <c r="R63" s="285">
        <v>3.8604747499999998</v>
      </c>
      <c r="S63" s="285">
        <f>R63+R62</f>
        <v>7.4558172200000001</v>
      </c>
      <c r="T63" s="314">
        <v>96.725274999999996</v>
      </c>
      <c r="U63" s="314">
        <v>95.954695999999998</v>
      </c>
      <c r="V63" s="289">
        <v>13049</v>
      </c>
      <c r="W63" s="289">
        <v>13636</v>
      </c>
      <c r="X63" s="289">
        <f>W63-V63</f>
        <v>587</v>
      </c>
      <c r="Y63" s="289">
        <f t="shared" si="76"/>
        <v>152.05383741986657</v>
      </c>
      <c r="Z63" s="308">
        <v>615.79999999999995</v>
      </c>
      <c r="AA63" s="289">
        <v>690.1</v>
      </c>
      <c r="AB63" s="289">
        <f>AA63-Z63</f>
        <v>74.300000000000068</v>
      </c>
      <c r="AC63" s="289">
        <f t="shared" si="77"/>
        <v>19.246337513281254</v>
      </c>
      <c r="AD63" s="308">
        <v>510.28492599999998</v>
      </c>
      <c r="AE63" s="289">
        <v>576.36</v>
      </c>
      <c r="AF63" s="289">
        <f>AE63-AD63</f>
        <v>66.075074000000029</v>
      </c>
      <c r="AG63" s="289">
        <f t="shared" si="78"/>
        <v>17.115789709542856</v>
      </c>
      <c r="AH63" s="308">
        <v>-59.87</v>
      </c>
      <c r="AI63" s="289">
        <v>-63.76</v>
      </c>
      <c r="AJ63" s="289">
        <f>AI63-AH63</f>
        <v>-3.8900000000000006</v>
      </c>
      <c r="AK63" s="307">
        <f t="shared" si="79"/>
        <v>-1.007648087842046</v>
      </c>
      <c r="AL63" s="308">
        <v>-37.799999999999997</v>
      </c>
      <c r="AM63" s="289">
        <v>-41.6</v>
      </c>
      <c r="AN63" s="289">
        <f>AM63-AL63</f>
        <v>-3.8000000000000043</v>
      </c>
      <c r="AO63" s="307">
        <f t="shared" si="80"/>
        <v>-0.9843348930076552</v>
      </c>
      <c r="AP63" s="308">
        <v>-45.2</v>
      </c>
      <c r="AQ63" s="289">
        <v>-50</v>
      </c>
      <c r="AR63" s="289">
        <f>AQ63-AP63</f>
        <v>-4.7999999999999972</v>
      </c>
      <c r="AS63" s="307">
        <f t="shared" si="81"/>
        <v>-1.2433703911675624</v>
      </c>
      <c r="AT63" s="308">
        <v>30.8</v>
      </c>
      <c r="AU63" s="289">
        <v>32.299999999999997</v>
      </c>
      <c r="AV63" s="289">
        <f>AU63-AT63</f>
        <v>1.4999999999999964</v>
      </c>
      <c r="AW63" s="307">
        <f t="shared" si="82"/>
        <v>0.38855324723986251</v>
      </c>
      <c r="AX63" s="308">
        <v>112</v>
      </c>
      <c r="AY63" s="289">
        <v>697</v>
      </c>
      <c r="AZ63" s="289">
        <f>AY63-AX63</f>
        <v>585</v>
      </c>
      <c r="BA63" s="307">
        <f t="shared" si="83"/>
        <v>151.53576642354676</v>
      </c>
      <c r="BB63" s="308">
        <v>14079.3</v>
      </c>
      <c r="BC63" s="289">
        <v>14080.5</v>
      </c>
      <c r="BD63" s="289">
        <f>BC63-BB63</f>
        <v>1.2000000000007276</v>
      </c>
      <c r="BE63" s="307">
        <f t="shared" si="84"/>
        <v>0.31084259779207923</v>
      </c>
      <c r="BF63" s="308">
        <v>-13942.8</v>
      </c>
      <c r="BG63" s="289">
        <v>-13942.8</v>
      </c>
      <c r="BH63" s="289">
        <f>BG63-BF63</f>
        <v>0</v>
      </c>
      <c r="BI63" s="307">
        <f t="shared" si="85"/>
        <v>0</v>
      </c>
      <c r="BJ63" s="281">
        <v>96.725274999999996</v>
      </c>
      <c r="BK63" s="281">
        <v>95.954695999999998</v>
      </c>
      <c r="BL63" s="281">
        <f>BK63-BJ63</f>
        <v>-0.7705789999999979</v>
      </c>
      <c r="BM63" s="408">
        <v>-13942.8</v>
      </c>
      <c r="BN63" s="458">
        <v>-13942.8</v>
      </c>
      <c r="BO63" s="458">
        <f>BN63-BM63</f>
        <v>0</v>
      </c>
      <c r="BP63" s="408">
        <v>14079.3</v>
      </c>
      <c r="BQ63" s="458">
        <v>14080.5</v>
      </c>
      <c r="BR63" s="458">
        <f>BQ63-BP63</f>
        <v>1.2000000000007276</v>
      </c>
      <c r="BS63" s="281"/>
      <c r="BT63" s="281"/>
      <c r="BU63" s="281"/>
      <c r="BV63" s="281"/>
      <c r="BW63" s="298" t="s">
        <v>713</v>
      </c>
      <c r="BX63" s="422">
        <v>1349.81571104</v>
      </c>
      <c r="BY63" s="422">
        <v>-1.3790496999999999</v>
      </c>
      <c r="BZ63" s="422">
        <v>3369.1088820700002</v>
      </c>
      <c r="CA63" s="422">
        <v>3416.2202572800002</v>
      </c>
      <c r="CB63" s="422">
        <v>2.7135874200000001</v>
      </c>
      <c r="CC63" s="422">
        <v>2.7417852900000002</v>
      </c>
      <c r="CD63" s="422">
        <v>1.1665770000000001E-2</v>
      </c>
      <c r="CE63" s="422">
        <v>3.8602814400000001</v>
      </c>
      <c r="CF63" s="422">
        <v>3.8598311600000001</v>
      </c>
      <c r="CG63" s="422">
        <v>-1.05092316</v>
      </c>
      <c r="CH63" s="422">
        <v>-1.02844918</v>
      </c>
      <c r="CI63" s="422">
        <v>0.71726643000000001</v>
      </c>
    </row>
    <row r="64" spans="1:87" ht="15" customHeight="1" x14ac:dyDescent="0.2">
      <c r="A64" s="423">
        <f t="shared" ref="A64:A71" si="86">A63</f>
        <v>62009016</v>
      </c>
      <c r="B64" s="297" t="s">
        <v>609</v>
      </c>
      <c r="C64" s="297" t="s">
        <v>628</v>
      </c>
      <c r="D64" s="326" t="s">
        <v>778</v>
      </c>
      <c r="E64" s="283" t="s">
        <v>826</v>
      </c>
      <c r="F64" s="310" t="str">
        <f t="shared" si="49"/>
        <v>09/15/20</v>
      </c>
      <c r="G64" s="298" t="s">
        <v>827</v>
      </c>
      <c r="H64" s="298" t="s">
        <v>775</v>
      </c>
      <c r="I64" s="306"/>
      <c r="J64" s="300">
        <f>AVERAGE(J62:J63)</f>
        <v>23.038983000000002</v>
      </c>
      <c r="K64" s="300">
        <f>AVERAGE(K62:K63)</f>
        <v>43.945729</v>
      </c>
      <c r="L64" s="300">
        <f>AVERAGE(L62:L63)</f>
        <v>29.576032000000001</v>
      </c>
      <c r="M64" s="300">
        <f>AVERAGE(M62:M63)</f>
        <v>25.891098499999998</v>
      </c>
      <c r="N64" s="286"/>
      <c r="O64" s="284"/>
      <c r="P64" s="302"/>
      <c r="Q64" s="301"/>
      <c r="R64" s="287">
        <f>R63+R62</f>
        <v>7.4558172200000001</v>
      </c>
      <c r="S64" s="287">
        <f>S63</f>
        <v>7.4558172200000001</v>
      </c>
      <c r="T64" s="315">
        <f>T62</f>
        <v>97.630133999999998</v>
      </c>
      <c r="U64" s="315">
        <f>U63</f>
        <v>95.954695999999998</v>
      </c>
      <c r="V64" s="290">
        <f>V62</f>
        <v>12363</v>
      </c>
      <c r="W64" s="290">
        <f>W63</f>
        <v>13636</v>
      </c>
      <c r="X64" s="290">
        <f>SUM(X62:X63)</f>
        <v>1273</v>
      </c>
      <c r="Y64" s="290">
        <f t="shared" si="76"/>
        <v>170.73916412344667</v>
      </c>
      <c r="Z64" s="290">
        <f>Z62</f>
        <v>570.1</v>
      </c>
      <c r="AA64" s="290">
        <f>AA63</f>
        <v>690.1</v>
      </c>
      <c r="AB64" s="290">
        <f>SUM(AB62:AB63)</f>
        <v>120</v>
      </c>
      <c r="AC64" s="290">
        <f t="shared" si="77"/>
        <v>16.094815156962767</v>
      </c>
      <c r="AD64" s="290">
        <f>AD62</f>
        <v>469.58436899999998</v>
      </c>
      <c r="AE64" s="290">
        <f>AE63</f>
        <v>576.36</v>
      </c>
      <c r="AF64" s="290">
        <f>SUM(AF62:AF63)</f>
        <v>106.76572800000002</v>
      </c>
      <c r="AG64" s="290">
        <f t="shared" si="78"/>
        <v>14.319788810488037</v>
      </c>
      <c r="AH64" s="290">
        <f>AH62</f>
        <v>-56.02</v>
      </c>
      <c r="AI64" s="290">
        <f>AI63</f>
        <v>-63.76</v>
      </c>
      <c r="AJ64" s="290">
        <f>SUM(AJ62:AJ63)</f>
        <v>-7.7399999999999949</v>
      </c>
      <c r="AK64" s="288">
        <f t="shared" si="79"/>
        <v>-1.0381155776240978</v>
      </c>
      <c r="AL64" s="290">
        <f>AL62</f>
        <v>-35.5</v>
      </c>
      <c r="AM64" s="290">
        <f>AM63</f>
        <v>-41.6</v>
      </c>
      <c r="AN64" s="290">
        <f>SUM(AN62:AN63)</f>
        <v>-6.1000000000000014</v>
      </c>
      <c r="AO64" s="288">
        <f t="shared" si="80"/>
        <v>-0.81815310381227413</v>
      </c>
      <c r="AP64" s="290">
        <f>AP62</f>
        <v>-42.4</v>
      </c>
      <c r="AQ64" s="290">
        <f>AQ63</f>
        <v>-50</v>
      </c>
      <c r="AR64" s="290">
        <f>SUM(AR62:AR63)</f>
        <v>-7.6000000000000014</v>
      </c>
      <c r="AS64" s="288">
        <f t="shared" si="81"/>
        <v>-1.0193382932743087</v>
      </c>
      <c r="AT64" s="290">
        <f>AT62</f>
        <v>29.9</v>
      </c>
      <c r="AU64" s="290">
        <f>AU63</f>
        <v>32.299999999999997</v>
      </c>
      <c r="AV64" s="290">
        <f>SUM(AV62:AV63)</f>
        <v>2.3999999999999986</v>
      </c>
      <c r="AW64" s="288">
        <f t="shared" si="82"/>
        <v>0.32189630313925516</v>
      </c>
      <c r="AX64" s="290">
        <f>AX62</f>
        <v>-573</v>
      </c>
      <c r="AY64" s="290">
        <f>AY63</f>
        <v>697</v>
      </c>
      <c r="AZ64" s="290">
        <f>SUM(AZ62:AZ63)</f>
        <v>1270</v>
      </c>
      <c r="BA64" s="288">
        <f t="shared" si="83"/>
        <v>170.33679374452262</v>
      </c>
      <c r="BB64" s="290">
        <f>BB62</f>
        <v>14078.6</v>
      </c>
      <c r="BC64" s="290">
        <f>BC63</f>
        <v>14080.5</v>
      </c>
      <c r="BD64" s="290">
        <f>SUM(BD62:BD63)</f>
        <v>1.8999999999996362</v>
      </c>
      <c r="BE64" s="288">
        <f t="shared" si="84"/>
        <v>0.25483457331852832</v>
      </c>
      <c r="BF64" s="290">
        <f>BF62</f>
        <v>-13942.8</v>
      </c>
      <c r="BG64" s="290">
        <f>BG63</f>
        <v>-13942.8</v>
      </c>
      <c r="BH64" s="290">
        <f>SUM(BH62:BH63)</f>
        <v>0</v>
      </c>
      <c r="BI64" s="288">
        <f t="shared" si="85"/>
        <v>0</v>
      </c>
      <c r="BJ64" s="282"/>
      <c r="BK64" s="282"/>
      <c r="BL64" s="282">
        <f>SUM(BL62:BL63)</f>
        <v>-1.6754379999999998</v>
      </c>
      <c r="BM64" s="459">
        <f>BM62</f>
        <v>-13942.8</v>
      </c>
      <c r="BN64" s="459">
        <f>BN63</f>
        <v>-13942.8</v>
      </c>
      <c r="BO64" s="459">
        <f>SUM(BO62:BO63)</f>
        <v>0</v>
      </c>
      <c r="BP64" s="459">
        <f>BP62</f>
        <v>14078.6</v>
      </c>
      <c r="BQ64" s="459">
        <f>BQ63</f>
        <v>14080.5</v>
      </c>
      <c r="BR64" s="459">
        <f>SUM(BR62:BR63)</f>
        <v>1.8999999999996362</v>
      </c>
      <c r="BS64" s="282"/>
      <c r="BT64" s="282"/>
      <c r="BU64" s="282"/>
      <c r="BV64" s="282"/>
      <c r="BW64" s="298" t="s">
        <v>713</v>
      </c>
    </row>
    <row r="65" spans="1:87" ht="15" customHeight="1" x14ac:dyDescent="0.2">
      <c r="A65" s="423">
        <f t="shared" si="86"/>
        <v>62009016</v>
      </c>
      <c r="B65" s="297" t="s">
        <v>610</v>
      </c>
      <c r="C65" s="297" t="s">
        <v>629</v>
      </c>
      <c r="D65" s="326" t="s">
        <v>778</v>
      </c>
      <c r="E65" s="283" t="s">
        <v>826</v>
      </c>
      <c r="F65" s="310" t="str">
        <f t="shared" si="49"/>
        <v>09/15/20</v>
      </c>
      <c r="G65" s="298" t="s">
        <v>827</v>
      </c>
      <c r="H65" s="298" t="s">
        <v>775</v>
      </c>
      <c r="I65" s="306"/>
      <c r="J65" s="299">
        <v>24.952997</v>
      </c>
      <c r="K65" s="299">
        <v>38.706268000000001</v>
      </c>
      <c r="L65" s="299">
        <v>29.576810999999999</v>
      </c>
      <c r="M65" s="299">
        <v>28.062785000000002</v>
      </c>
      <c r="N65" s="284">
        <v>3875</v>
      </c>
      <c r="O65" s="284">
        <v>28.39</v>
      </c>
      <c r="P65" s="284">
        <v>0.20169999999999999</v>
      </c>
      <c r="Q65" s="284">
        <v>1.932E-2</v>
      </c>
      <c r="R65" s="285">
        <v>10.285887450000001</v>
      </c>
      <c r="S65" s="285">
        <f>R65+R64</f>
        <v>17.741704670000001</v>
      </c>
      <c r="T65" s="314">
        <v>95.95317</v>
      </c>
      <c r="U65" s="314">
        <v>93.276741000000001</v>
      </c>
      <c r="V65" s="289">
        <v>13638</v>
      </c>
      <c r="W65" s="289">
        <v>15651</v>
      </c>
      <c r="X65" s="289">
        <f>W65-V65</f>
        <v>2013</v>
      </c>
      <c r="Y65" s="289">
        <f t="shared" si="76"/>
        <v>195.70503855746543</v>
      </c>
      <c r="Z65" s="308">
        <v>691.5</v>
      </c>
      <c r="AA65" s="289">
        <v>756.7</v>
      </c>
      <c r="AB65" s="289">
        <f>AA65-Z65</f>
        <v>65.200000000000045</v>
      </c>
      <c r="AC65" s="289">
        <f t="shared" si="77"/>
        <v>6.3387821728498537</v>
      </c>
      <c r="AD65" s="308">
        <v>577.61</v>
      </c>
      <c r="AE65" s="289">
        <v>635.64275999999995</v>
      </c>
      <c r="AF65" s="289">
        <f>AE65-AD65</f>
        <v>58.032759999999939</v>
      </c>
      <c r="AG65" s="289">
        <f t="shared" si="78"/>
        <v>5.6419789038232127</v>
      </c>
      <c r="AH65" s="308">
        <v>-63.81</v>
      </c>
      <c r="AI65" s="289">
        <v>-65.78</v>
      </c>
      <c r="AJ65" s="289">
        <f>AI65-AH65</f>
        <v>-1.9699999999999989</v>
      </c>
      <c r="AK65" s="307">
        <f t="shared" si="79"/>
        <v>-0.19152455338211957</v>
      </c>
      <c r="AL65" s="308">
        <v>-41.7</v>
      </c>
      <c r="AM65" s="289">
        <v>-45</v>
      </c>
      <c r="AN65" s="289">
        <f>AM65-AL65</f>
        <v>-3.2999999999999972</v>
      </c>
      <c r="AO65" s="307">
        <f t="shared" si="80"/>
        <v>-0.32082793206141846</v>
      </c>
      <c r="AP65" s="308">
        <v>-50.1</v>
      </c>
      <c r="AQ65" s="289">
        <v>-54.237333</v>
      </c>
      <c r="AR65" s="289">
        <f>AQ65-AP65</f>
        <v>-4.1373329999999982</v>
      </c>
      <c r="AS65" s="307">
        <f t="shared" si="81"/>
        <v>-0.40223393655741368</v>
      </c>
      <c r="AT65" s="308">
        <v>33.799999999999997</v>
      </c>
      <c r="AU65" s="289">
        <v>34.6</v>
      </c>
      <c r="AV65" s="289">
        <f>AU65-AT65</f>
        <v>0.80000000000000426</v>
      </c>
      <c r="AW65" s="307">
        <f t="shared" si="82"/>
        <v>7.777646837852617E-2</v>
      </c>
      <c r="AX65" s="308">
        <v>2714</v>
      </c>
      <c r="AY65" s="289">
        <v>3341</v>
      </c>
      <c r="AZ65" s="289">
        <f>AY65-AX65</f>
        <v>627</v>
      </c>
      <c r="BA65" s="307">
        <f t="shared" si="83"/>
        <v>60.957307091669563</v>
      </c>
      <c r="BB65" s="308">
        <v>14082.4</v>
      </c>
      <c r="BC65" s="289">
        <v>14083.1</v>
      </c>
      <c r="BD65" s="289">
        <f>BC65-BB65</f>
        <v>0.7000000000007276</v>
      </c>
      <c r="BE65" s="307">
        <f t="shared" si="84"/>
        <v>6.8054409831280777E-2</v>
      </c>
      <c r="BF65" s="308">
        <v>-13942.8</v>
      </c>
      <c r="BG65" s="289">
        <v>-13942.8</v>
      </c>
      <c r="BH65" s="289">
        <f>BG65-BF65</f>
        <v>0</v>
      </c>
      <c r="BI65" s="307">
        <f t="shared" si="85"/>
        <v>0</v>
      </c>
      <c r="BJ65" s="281">
        <v>93.272163000000006</v>
      </c>
      <c r="BK65" s="281">
        <v>92.431393</v>
      </c>
      <c r="BL65" s="281">
        <f>BK65-BJ65</f>
        <v>-0.84077000000000623</v>
      </c>
      <c r="BM65" s="408">
        <v>-13942.8</v>
      </c>
      <c r="BN65" s="458">
        <v>-13942.8</v>
      </c>
      <c r="BO65" s="458">
        <f>BN65-BM65</f>
        <v>0</v>
      </c>
      <c r="BP65" s="408">
        <v>14082.4</v>
      </c>
      <c r="BQ65" s="458">
        <v>14083.1</v>
      </c>
      <c r="BR65" s="458">
        <f>BQ65-BP65</f>
        <v>0.7000000000007276</v>
      </c>
      <c r="BS65" s="281"/>
      <c r="BT65" s="281"/>
      <c r="BU65" s="281"/>
      <c r="BV65" s="281"/>
      <c r="BW65" s="298" t="s">
        <v>713</v>
      </c>
      <c r="BX65" s="422">
        <v>2196.40732961</v>
      </c>
      <c r="BY65" s="422">
        <v>-0.96818249000000001</v>
      </c>
      <c r="BZ65" s="422">
        <v>2028.8243977499999</v>
      </c>
      <c r="CA65" s="422">
        <v>2048.6591569799998</v>
      </c>
      <c r="CB65" s="422">
        <v>2.9488092799999999</v>
      </c>
      <c r="CC65" s="422">
        <v>2.96567172</v>
      </c>
      <c r="CD65" s="422">
        <v>0.14383051999999999</v>
      </c>
      <c r="CE65" s="422">
        <v>3.5961443200000001</v>
      </c>
      <c r="CF65" s="422">
        <v>3.5909794000000002</v>
      </c>
      <c r="CG65" s="422">
        <v>-0.71649185999999998</v>
      </c>
      <c r="CH65" s="422">
        <v>-0.56858746000000004</v>
      </c>
      <c r="CI65" s="422">
        <v>0.59138329999999995</v>
      </c>
    </row>
    <row r="66" spans="1:87" ht="15" customHeight="1" x14ac:dyDescent="0.2">
      <c r="A66" s="423">
        <f t="shared" si="86"/>
        <v>62009016</v>
      </c>
      <c r="B66" s="297" t="s">
        <v>611</v>
      </c>
      <c r="C66" s="297" t="s">
        <v>630</v>
      </c>
      <c r="D66" s="326" t="s">
        <v>778</v>
      </c>
      <c r="E66" s="283" t="s">
        <v>826</v>
      </c>
      <c r="F66" s="310" t="str">
        <f t="shared" si="49"/>
        <v>09/15/20</v>
      </c>
      <c r="G66" s="298" t="s">
        <v>827</v>
      </c>
      <c r="H66" s="298" t="s">
        <v>775</v>
      </c>
      <c r="I66" s="306"/>
      <c r="J66" s="299">
        <v>20.472218000000002</v>
      </c>
      <c r="K66" s="299">
        <v>51.650903999999997</v>
      </c>
      <c r="L66" s="299">
        <v>29.564692999999998</v>
      </c>
      <c r="M66" s="299">
        <v>27.555437000000001</v>
      </c>
      <c r="N66" s="284">
        <v>3875</v>
      </c>
      <c r="O66" s="284">
        <v>28.39</v>
      </c>
      <c r="P66" s="284">
        <v>0.20169999999999999</v>
      </c>
      <c r="Q66" s="284">
        <v>1.932E-2</v>
      </c>
      <c r="R66" s="285">
        <v>3.596241</v>
      </c>
      <c r="S66" s="285">
        <f>R66+R65</f>
        <v>13.88212845</v>
      </c>
      <c r="T66" s="314">
        <v>93.272163000000006</v>
      </c>
      <c r="U66" s="314">
        <v>92.431393</v>
      </c>
      <c r="V66" s="289">
        <v>15655</v>
      </c>
      <c r="W66" s="289">
        <v>16283</v>
      </c>
      <c r="X66" s="289">
        <f>W66-V66</f>
        <v>628</v>
      </c>
      <c r="Y66" s="289">
        <f t="shared" si="76"/>
        <v>174.62678391131183</v>
      </c>
      <c r="Z66" s="308">
        <v>760.8</v>
      </c>
      <c r="AA66" s="289">
        <v>782.1</v>
      </c>
      <c r="AB66" s="289">
        <f>AA66-Z66</f>
        <v>21.300000000000068</v>
      </c>
      <c r="AC66" s="289">
        <f t="shared" si="77"/>
        <v>5.9228511103677617</v>
      </c>
      <c r="AD66" s="308">
        <v>639.18395799999996</v>
      </c>
      <c r="AE66" s="289">
        <v>657.36</v>
      </c>
      <c r="AF66" s="289">
        <f>AE66-AD66</f>
        <v>18.176042000000052</v>
      </c>
      <c r="AG66" s="289">
        <f t="shared" si="78"/>
        <v>5.0541779597084986</v>
      </c>
      <c r="AH66" s="308">
        <v>-54.563958</v>
      </c>
      <c r="AI66" s="289">
        <v>-52.78</v>
      </c>
      <c r="AJ66" s="289">
        <f>AI66-AH66</f>
        <v>1.7839579999999984</v>
      </c>
      <c r="AK66" s="307">
        <f t="shared" si="79"/>
        <v>0.49606186014785947</v>
      </c>
      <c r="AL66" s="308">
        <v>-45.3</v>
      </c>
      <c r="AM66" s="289">
        <v>-47.5</v>
      </c>
      <c r="AN66" s="289">
        <f>AM66-AL66</f>
        <v>-2.2000000000000028</v>
      </c>
      <c r="AO66" s="307">
        <f t="shared" si="80"/>
        <v>-0.61174987994408681</v>
      </c>
      <c r="AP66" s="308">
        <v>-54.3</v>
      </c>
      <c r="AQ66" s="289">
        <v>-57</v>
      </c>
      <c r="AR66" s="289">
        <f>AQ66-AP66</f>
        <v>-2.7000000000000028</v>
      </c>
      <c r="AS66" s="307">
        <f t="shared" si="81"/>
        <v>-0.75078394356774281</v>
      </c>
      <c r="AT66" s="308">
        <v>33.799999999999997</v>
      </c>
      <c r="AU66" s="289">
        <v>34.6</v>
      </c>
      <c r="AV66" s="289">
        <f>AU66-AT66</f>
        <v>0.80000000000000426</v>
      </c>
      <c r="AW66" s="307">
        <f t="shared" si="82"/>
        <v>0.22245450179785067</v>
      </c>
      <c r="AX66" s="308">
        <v>2714</v>
      </c>
      <c r="AY66" s="289">
        <v>3341</v>
      </c>
      <c r="AZ66" s="289">
        <f>AY66-AX66</f>
        <v>627</v>
      </c>
      <c r="BA66" s="307">
        <f t="shared" si="83"/>
        <v>174.34871578406452</v>
      </c>
      <c r="BB66" s="308">
        <v>14082.4</v>
      </c>
      <c r="BC66" s="289">
        <v>14083.1</v>
      </c>
      <c r="BD66" s="289">
        <f>BC66-BB66</f>
        <v>0.7000000000007276</v>
      </c>
      <c r="BE66" s="307">
        <f t="shared" si="84"/>
        <v>0.19464768907332061</v>
      </c>
      <c r="BF66" s="308">
        <v>-13942.8</v>
      </c>
      <c r="BG66" s="289">
        <v>-13942.8</v>
      </c>
      <c r="BH66" s="289">
        <f>BG66-BF66</f>
        <v>0</v>
      </c>
      <c r="BI66" s="307">
        <f t="shared" si="85"/>
        <v>0</v>
      </c>
      <c r="BJ66" s="281">
        <v>93.272163000000006</v>
      </c>
      <c r="BK66" s="281">
        <v>92.431393</v>
      </c>
      <c r="BL66" s="281">
        <f>BK66-BJ66</f>
        <v>-0.84077000000000623</v>
      </c>
      <c r="BM66" s="408">
        <v>-13942.8</v>
      </c>
      <c r="BN66" s="458">
        <v>-13942.8</v>
      </c>
      <c r="BO66" s="458">
        <f>BN66-BM66</f>
        <v>0</v>
      </c>
      <c r="BP66" s="408">
        <v>14082.4</v>
      </c>
      <c r="BQ66" s="458">
        <v>14083.1</v>
      </c>
      <c r="BR66" s="458">
        <f>BQ66-BP66</f>
        <v>0.7000000000007276</v>
      </c>
      <c r="BS66" s="281"/>
      <c r="BT66" s="281"/>
      <c r="BU66" s="281"/>
      <c r="BV66" s="281"/>
      <c r="BW66" s="298" t="s">
        <v>713</v>
      </c>
      <c r="BX66" s="422">
        <v>2196.40732961</v>
      </c>
      <c r="BY66" s="422">
        <v>-0.96818249000000001</v>
      </c>
      <c r="BZ66" s="422">
        <v>2028.8243977499999</v>
      </c>
      <c r="CA66" s="422">
        <v>2048.6591569799998</v>
      </c>
      <c r="CB66" s="422">
        <v>2.9488092799999999</v>
      </c>
      <c r="CC66" s="422">
        <v>2.96567172</v>
      </c>
      <c r="CD66" s="422">
        <v>0.14383051999999999</v>
      </c>
      <c r="CE66" s="422">
        <v>3.5961443200000001</v>
      </c>
      <c r="CF66" s="422">
        <v>3.5909794000000002</v>
      </c>
      <c r="CG66" s="422">
        <v>-0.71649185999999998</v>
      </c>
      <c r="CH66" s="422">
        <v>-0.56858746000000004</v>
      </c>
      <c r="CI66" s="422">
        <v>0.59138329999999995</v>
      </c>
    </row>
    <row r="67" spans="1:87" ht="15" customHeight="1" x14ac:dyDescent="0.2">
      <c r="A67" s="423">
        <f t="shared" si="86"/>
        <v>62009016</v>
      </c>
      <c r="B67" s="297" t="s">
        <v>224</v>
      </c>
      <c r="C67" s="297" t="s">
        <v>631</v>
      </c>
      <c r="D67" s="326" t="s">
        <v>778</v>
      </c>
      <c r="E67" s="283" t="s">
        <v>826</v>
      </c>
      <c r="F67" s="310" t="str">
        <f t="shared" si="49"/>
        <v>09/15/20</v>
      </c>
      <c r="G67" s="298" t="s">
        <v>827</v>
      </c>
      <c r="H67" s="298" t="s">
        <v>775</v>
      </c>
      <c r="I67" s="306"/>
      <c r="J67" s="299">
        <v>19.875381000000001</v>
      </c>
      <c r="K67" s="299">
        <v>54.141787000000001</v>
      </c>
      <c r="L67" s="299">
        <v>29.567094000000001</v>
      </c>
      <c r="M67" s="299">
        <v>26.981762</v>
      </c>
      <c r="N67" s="284">
        <v>3875</v>
      </c>
      <c r="O67" s="284">
        <v>28.39</v>
      </c>
      <c r="P67" s="284">
        <v>0.20169999999999999</v>
      </c>
      <c r="Q67" s="284">
        <v>1.932E-2</v>
      </c>
      <c r="R67" s="285">
        <v>3.8588833899999999</v>
      </c>
      <c r="S67" s="285">
        <f>R67+R66</f>
        <v>7.4551243899999999</v>
      </c>
      <c r="T67" s="314">
        <v>92.431393</v>
      </c>
      <c r="U67" s="314">
        <v>91.709642000000002</v>
      </c>
      <c r="V67" s="289">
        <v>16283</v>
      </c>
      <c r="W67" s="289">
        <v>16823</v>
      </c>
      <c r="X67" s="289">
        <f>W67-V67</f>
        <v>540</v>
      </c>
      <c r="Y67" s="289">
        <f t="shared" si="76"/>
        <v>139.93685359847063</v>
      </c>
      <c r="Z67" s="308">
        <v>782.1</v>
      </c>
      <c r="AA67" s="289">
        <v>819.3</v>
      </c>
      <c r="AB67" s="289">
        <f>AA67-Z67</f>
        <v>37.199999999999932</v>
      </c>
      <c r="AC67" s="289">
        <f t="shared" si="77"/>
        <v>9.6400943590057366</v>
      </c>
      <c r="AD67" s="308">
        <v>657.37116700000001</v>
      </c>
      <c r="AE67" s="289">
        <v>689.08</v>
      </c>
      <c r="AF67" s="289">
        <f>AE67-AD67</f>
        <v>31.708833000000027</v>
      </c>
      <c r="AG67" s="289">
        <f t="shared" si="78"/>
        <v>8.2171005949988114</v>
      </c>
      <c r="AH67" s="308">
        <v>-52.78</v>
      </c>
      <c r="AI67" s="289">
        <v>-51.45</v>
      </c>
      <c r="AJ67" s="289">
        <f>AI67-AH67</f>
        <v>1.3299999999999983</v>
      </c>
      <c r="AK67" s="307">
        <f t="shared" si="79"/>
        <v>0.34465928756660313</v>
      </c>
      <c r="AL67" s="308">
        <v>-47.5</v>
      </c>
      <c r="AM67" s="289">
        <v>-51.3</v>
      </c>
      <c r="AN67" s="289">
        <f>AM67-AL67</f>
        <v>-3.7999999999999972</v>
      </c>
      <c r="AO67" s="307">
        <f t="shared" si="80"/>
        <v>-0.98474082161886656</v>
      </c>
      <c r="AP67" s="308">
        <v>-57</v>
      </c>
      <c r="AQ67" s="289">
        <v>-61.7</v>
      </c>
      <c r="AR67" s="289">
        <f>AQ67-AP67</f>
        <v>-4.7000000000000028</v>
      </c>
      <c r="AS67" s="307">
        <f t="shared" si="81"/>
        <v>-1.2179689109496525</v>
      </c>
      <c r="AT67" s="308">
        <v>34.6</v>
      </c>
      <c r="AU67" s="289">
        <v>36.1</v>
      </c>
      <c r="AV67" s="289">
        <f>AU67-AT67</f>
        <v>1.5</v>
      </c>
      <c r="AW67" s="307">
        <f t="shared" si="82"/>
        <v>0.38871348221797397</v>
      </c>
      <c r="AX67" s="308">
        <v>3341</v>
      </c>
      <c r="AY67" s="289">
        <v>3879</v>
      </c>
      <c r="AZ67" s="289">
        <f>AY67-AX67</f>
        <v>538</v>
      </c>
      <c r="BA67" s="307">
        <f t="shared" si="83"/>
        <v>139.41856895551334</v>
      </c>
      <c r="BB67" s="308">
        <v>14083.1</v>
      </c>
      <c r="BC67" s="289">
        <v>14084.4</v>
      </c>
      <c r="BD67" s="289">
        <f>BC67-BB67</f>
        <v>1.2999999999992724</v>
      </c>
      <c r="BE67" s="307">
        <f t="shared" si="84"/>
        <v>0.33688501792205555</v>
      </c>
      <c r="BF67" s="308">
        <v>-13942.8</v>
      </c>
      <c r="BG67" s="289">
        <v>-13942.8</v>
      </c>
      <c r="BH67" s="289">
        <f>BG67-BF67</f>
        <v>0</v>
      </c>
      <c r="BI67" s="307">
        <f t="shared" si="85"/>
        <v>0</v>
      </c>
      <c r="BJ67" s="281">
        <v>92.431393</v>
      </c>
      <c r="BK67" s="281">
        <v>91.709642000000002</v>
      </c>
      <c r="BL67" s="281">
        <f>BK67-BJ67</f>
        <v>-0.72175099999999759</v>
      </c>
      <c r="BM67" s="408">
        <v>-13942.8</v>
      </c>
      <c r="BN67" s="458">
        <v>-13942.8</v>
      </c>
      <c r="BO67" s="458">
        <f>BN67-BM67</f>
        <v>0</v>
      </c>
      <c r="BP67" s="408">
        <v>14083.1</v>
      </c>
      <c r="BQ67" s="458">
        <v>14084.4</v>
      </c>
      <c r="BR67" s="458">
        <f>BQ67-BP67</f>
        <v>1.2999999999992724</v>
      </c>
      <c r="BS67" s="281"/>
      <c r="BT67" s="281"/>
      <c r="BU67" s="281"/>
      <c r="BV67" s="281"/>
      <c r="BW67" s="298" t="s">
        <v>713</v>
      </c>
      <c r="BX67" s="422">
        <v>1348.1744017599999</v>
      </c>
      <c r="BY67" s="422">
        <v>-1.11807857</v>
      </c>
      <c r="BZ67" s="422">
        <v>3377.7991163900001</v>
      </c>
      <c r="CA67" s="422">
        <v>3415.9925975599999</v>
      </c>
      <c r="CB67" s="422">
        <v>2.7109221200000002</v>
      </c>
      <c r="CC67" s="422">
        <v>2.7414912199999999</v>
      </c>
      <c r="CD67" s="422">
        <v>-2.7384140000000001E-2</v>
      </c>
      <c r="CE67" s="422">
        <v>3.85877252</v>
      </c>
      <c r="CF67" s="422">
        <v>3.8598295</v>
      </c>
      <c r="CG67" s="422">
        <v>-1.09993466</v>
      </c>
      <c r="CH67" s="422">
        <v>-1.1150539399999999</v>
      </c>
      <c r="CI67" s="422">
        <v>0.71727976999999998</v>
      </c>
    </row>
    <row r="68" spans="1:87" ht="15" customHeight="1" x14ac:dyDescent="0.2">
      <c r="A68" s="423">
        <f t="shared" si="86"/>
        <v>62009016</v>
      </c>
      <c r="B68" s="297" t="s">
        <v>612</v>
      </c>
      <c r="C68" s="297" t="s">
        <v>632</v>
      </c>
      <c r="D68" s="326" t="s">
        <v>778</v>
      </c>
      <c r="E68" s="283" t="s">
        <v>826</v>
      </c>
      <c r="F68" s="310" t="str">
        <f t="shared" si="49"/>
        <v>09/15/20</v>
      </c>
      <c r="G68" s="298" t="s">
        <v>827</v>
      </c>
      <c r="H68" s="298" t="s">
        <v>775</v>
      </c>
      <c r="I68" s="306"/>
      <c r="J68" s="300">
        <f>AVERAGE(J66:J67)</f>
        <v>20.173799500000001</v>
      </c>
      <c r="K68" s="300">
        <f>AVERAGE(K66:K67)</f>
        <v>52.896345499999995</v>
      </c>
      <c r="L68" s="300">
        <f>AVERAGE(L66:L67)</f>
        <v>29.565893500000001</v>
      </c>
      <c r="M68" s="300">
        <f>AVERAGE(M66:M67)</f>
        <v>27.268599500000001</v>
      </c>
      <c r="N68" s="286"/>
      <c r="O68" s="284"/>
      <c r="P68" s="302"/>
      <c r="Q68" s="301"/>
      <c r="R68" s="287">
        <f>R67+R66</f>
        <v>7.4551243899999999</v>
      </c>
      <c r="S68" s="287">
        <f>S67</f>
        <v>7.4551243899999999</v>
      </c>
      <c r="T68" s="315">
        <f>T66</f>
        <v>93.272163000000006</v>
      </c>
      <c r="U68" s="315">
        <f>U67</f>
        <v>91.709642000000002</v>
      </c>
      <c r="V68" s="290">
        <f>V66</f>
        <v>15655</v>
      </c>
      <c r="W68" s="290">
        <f>W67</f>
        <v>16823</v>
      </c>
      <c r="X68" s="290">
        <f>SUM(X66:X67)</f>
        <v>1168</v>
      </c>
      <c r="Y68" s="290">
        <f t="shared" si="76"/>
        <v>156.67075945328392</v>
      </c>
      <c r="Z68" s="290">
        <f>Z66</f>
        <v>760.8</v>
      </c>
      <c r="AA68" s="290">
        <f>AA67</f>
        <v>819.3</v>
      </c>
      <c r="AB68" s="290">
        <f>SUM(AB66:AB67)</f>
        <v>58.5</v>
      </c>
      <c r="AC68" s="290">
        <f t="shared" si="77"/>
        <v>7.8469515650831418</v>
      </c>
      <c r="AD68" s="290">
        <f>AD66</f>
        <v>639.18395799999996</v>
      </c>
      <c r="AE68" s="290">
        <f>AE67</f>
        <v>689.08</v>
      </c>
      <c r="AF68" s="290">
        <f>SUM(AF66:AF67)</f>
        <v>49.884875000000079</v>
      </c>
      <c r="AG68" s="290">
        <f t="shared" si="78"/>
        <v>6.6913538112004698</v>
      </c>
      <c r="AH68" s="290">
        <f>AH66</f>
        <v>-54.563958</v>
      </c>
      <c r="AI68" s="290">
        <f>AI67</f>
        <v>-51.45</v>
      </c>
      <c r="AJ68" s="290">
        <f>SUM(AJ66:AJ67)</f>
        <v>3.1139579999999967</v>
      </c>
      <c r="AK68" s="288">
        <f t="shared" si="79"/>
        <v>0.41769363421714772</v>
      </c>
      <c r="AL68" s="290">
        <f>AL66</f>
        <v>-45.3</v>
      </c>
      <c r="AM68" s="290">
        <f>AM67</f>
        <v>-51.3</v>
      </c>
      <c r="AN68" s="290">
        <f>SUM(AN66:AN67)</f>
        <v>-6</v>
      </c>
      <c r="AO68" s="288">
        <f t="shared" si="80"/>
        <v>-0.80481554513673248</v>
      </c>
      <c r="AP68" s="290">
        <f>AP66</f>
        <v>-54.3</v>
      </c>
      <c r="AQ68" s="290">
        <f>AQ67</f>
        <v>-61.7</v>
      </c>
      <c r="AR68" s="290">
        <f>SUM(AR66:AR67)</f>
        <v>-7.4000000000000057</v>
      </c>
      <c r="AS68" s="288">
        <f t="shared" si="81"/>
        <v>-0.99260583900197075</v>
      </c>
      <c r="AT68" s="290">
        <f>AT66</f>
        <v>33.799999999999997</v>
      </c>
      <c r="AU68" s="290">
        <f>AU67</f>
        <v>36.1</v>
      </c>
      <c r="AV68" s="290">
        <f>SUM(AV66:AV67)</f>
        <v>2.3000000000000043</v>
      </c>
      <c r="AW68" s="288">
        <f t="shared" si="82"/>
        <v>0.30851262563574799</v>
      </c>
      <c r="AX68" s="290">
        <f>AX66</f>
        <v>2714</v>
      </c>
      <c r="AY68" s="290">
        <f>AY67</f>
        <v>3879</v>
      </c>
      <c r="AZ68" s="290">
        <f>SUM(AZ66:AZ67)</f>
        <v>1165</v>
      </c>
      <c r="BA68" s="288">
        <f t="shared" si="83"/>
        <v>156.26835168071554</v>
      </c>
      <c r="BB68" s="290">
        <f>BB66</f>
        <v>14082.4</v>
      </c>
      <c r="BC68" s="290">
        <f>BC67</f>
        <v>14084.4</v>
      </c>
      <c r="BD68" s="290">
        <f>SUM(BD66:BD67)</f>
        <v>2</v>
      </c>
      <c r="BE68" s="288">
        <f t="shared" si="84"/>
        <v>0.26827184837891083</v>
      </c>
      <c r="BF68" s="290">
        <f>BF66</f>
        <v>-13942.8</v>
      </c>
      <c r="BG68" s="290">
        <f>BG67</f>
        <v>-13942.8</v>
      </c>
      <c r="BH68" s="290">
        <f>SUM(BH66:BH67)</f>
        <v>0</v>
      </c>
      <c r="BI68" s="288">
        <f t="shared" si="85"/>
        <v>0</v>
      </c>
      <c r="BJ68" s="282"/>
      <c r="BK68" s="282"/>
      <c r="BL68" s="282">
        <f>SUM(BL66:BL67)</f>
        <v>-1.5625210000000038</v>
      </c>
      <c r="BM68" s="459">
        <f>BM66</f>
        <v>-13942.8</v>
      </c>
      <c r="BN68" s="459">
        <f>BN67</f>
        <v>-13942.8</v>
      </c>
      <c r="BO68" s="459">
        <f>SUM(BO66:BO67)</f>
        <v>0</v>
      </c>
      <c r="BP68" s="459">
        <f>BP66</f>
        <v>14082.4</v>
      </c>
      <c r="BQ68" s="459">
        <f>BQ67</f>
        <v>14084.4</v>
      </c>
      <c r="BR68" s="459">
        <f>SUM(BR66:BR67)</f>
        <v>2</v>
      </c>
      <c r="BS68" s="282"/>
      <c r="BT68" s="282"/>
      <c r="BU68" s="282"/>
      <c r="BV68" s="282"/>
      <c r="BW68" s="298" t="s">
        <v>713</v>
      </c>
    </row>
    <row r="69" spans="1:87" ht="15" customHeight="1" x14ac:dyDescent="0.2">
      <c r="A69" s="423">
        <f t="shared" si="86"/>
        <v>62009016</v>
      </c>
      <c r="B69" s="297" t="s">
        <v>613</v>
      </c>
      <c r="C69" s="297" t="s">
        <v>633</v>
      </c>
      <c r="D69" s="326" t="s">
        <v>778</v>
      </c>
      <c r="E69" s="283" t="s">
        <v>826</v>
      </c>
      <c r="F69" s="310" t="str">
        <f t="shared" si="49"/>
        <v>09/15/20</v>
      </c>
      <c r="G69" s="298" t="s">
        <v>827</v>
      </c>
      <c r="H69" s="298" t="s">
        <v>775</v>
      </c>
      <c r="I69" s="306"/>
      <c r="J69" s="299">
        <v>23.166187999999998</v>
      </c>
      <c r="K69" s="299">
        <v>43.248902999999999</v>
      </c>
      <c r="L69" s="299">
        <v>29.569578</v>
      </c>
      <c r="M69" s="299">
        <v>29.320295999999999</v>
      </c>
      <c r="N69" s="284">
        <v>3875</v>
      </c>
      <c r="O69" s="284">
        <v>28.39</v>
      </c>
      <c r="P69" s="284">
        <v>0.20169999999999999</v>
      </c>
      <c r="Q69" s="284">
        <v>1.932E-2</v>
      </c>
      <c r="R69" s="285">
        <v>1.77163275</v>
      </c>
      <c r="S69" s="285">
        <f>R69+R68</f>
        <v>9.2267571400000001</v>
      </c>
      <c r="T69" s="314">
        <v>91.702011999999996</v>
      </c>
      <c r="U69" s="314">
        <v>88.830269000000001</v>
      </c>
      <c r="V69" s="289">
        <v>16828</v>
      </c>
      <c r="W69" s="289">
        <v>18938</v>
      </c>
      <c r="X69" s="289">
        <f>W69-V69-X70</f>
        <v>449</v>
      </c>
      <c r="Y69" s="289">
        <f t="shared" si="76"/>
        <v>253.4385300791036</v>
      </c>
      <c r="Z69" s="308">
        <v>823.5</v>
      </c>
      <c r="AA69" s="289">
        <v>850.7</v>
      </c>
      <c r="AB69" s="289">
        <f>AA69-Z69-AB70</f>
        <v>10.600000000000023</v>
      </c>
      <c r="AC69" s="289">
        <f t="shared" si="77"/>
        <v>5.9831813337160442</v>
      </c>
      <c r="AD69" s="308">
        <v>692.68</v>
      </c>
      <c r="AE69" s="289">
        <v>716.00296900000001</v>
      </c>
      <c r="AF69" s="289">
        <f>AE69-AD69-AF70</f>
        <v>9.0499060000000782</v>
      </c>
      <c r="AG69" s="289">
        <f t="shared" si="78"/>
        <v>5.1082291180269035</v>
      </c>
      <c r="AH69" s="308">
        <v>-51.33</v>
      </c>
      <c r="AI69" s="289">
        <v>-50.56</v>
      </c>
      <c r="AJ69" s="289">
        <f>AI69-AH69-AJ70</f>
        <v>0.30999999999999517</v>
      </c>
      <c r="AK69" s="307">
        <f t="shared" si="79"/>
        <v>0.17497983145773027</v>
      </c>
      <c r="AL69" s="308">
        <v>-51.7</v>
      </c>
      <c r="AM69" s="289">
        <v>-54.3</v>
      </c>
      <c r="AN69" s="289">
        <f>AM69-AL69-AN70</f>
        <v>-0.99999999999999289</v>
      </c>
      <c r="AO69" s="307">
        <f t="shared" si="80"/>
        <v>-0.56445106921848953</v>
      </c>
      <c r="AP69" s="308">
        <v>-62.2</v>
      </c>
      <c r="AQ69" s="289">
        <v>-65.3</v>
      </c>
      <c r="AR69" s="289">
        <f>AQ69-AP69-AR70</f>
        <v>-1.1999999999999886</v>
      </c>
      <c r="AS69" s="307">
        <f t="shared" si="81"/>
        <v>-0.67734128306218577</v>
      </c>
      <c r="AT69" s="308">
        <v>36.299999999999997</v>
      </c>
      <c r="AU69" s="289">
        <v>37.299999999999997</v>
      </c>
      <c r="AV69" s="289">
        <f>AU69-AT69-AV70</f>
        <v>0.39999999999999858</v>
      </c>
      <c r="AW69" s="307">
        <f t="shared" si="82"/>
        <v>0.22578042768739659</v>
      </c>
      <c r="AX69" s="308">
        <v>3884</v>
      </c>
      <c r="AY69" s="289">
        <v>5994</v>
      </c>
      <c r="AZ69" s="289">
        <f>AY69-AX69-AZ70</f>
        <v>449</v>
      </c>
      <c r="BA69" s="307">
        <f t="shared" si="83"/>
        <v>253.4385300791036</v>
      </c>
      <c r="BB69" s="308">
        <v>14084.5</v>
      </c>
      <c r="BC69" s="289">
        <v>14085.3</v>
      </c>
      <c r="BD69" s="289">
        <f>BC69-BB69-BD70</f>
        <v>0.2999999999992724</v>
      </c>
      <c r="BE69" s="307">
        <f t="shared" si="84"/>
        <v>0.16933532076513735</v>
      </c>
      <c r="BF69" s="308">
        <v>-13942.8</v>
      </c>
      <c r="BG69" s="289">
        <v>-13942.8</v>
      </c>
      <c r="BH69" s="289">
        <f>BG69-BF69-BH70</f>
        <v>0</v>
      </c>
      <c r="BI69" s="307">
        <f t="shared" si="85"/>
        <v>0</v>
      </c>
      <c r="BJ69" s="281">
        <v>91.702011999999996</v>
      </c>
      <c r="BK69" s="281">
        <v>88.830269000000001</v>
      </c>
      <c r="BL69" s="281">
        <f>BK69-BJ69-BL70</f>
        <v>-0.61951499999999271</v>
      </c>
      <c r="BM69" s="408">
        <v>-13942.8</v>
      </c>
      <c r="BN69" s="458">
        <v>-13942.8</v>
      </c>
      <c r="BO69" s="458">
        <f>BN69-BM69-BO70</f>
        <v>0</v>
      </c>
      <c r="BP69" s="408">
        <v>14084.5</v>
      </c>
      <c r="BQ69" s="458">
        <v>14085.3</v>
      </c>
      <c r="BR69" s="458">
        <f>BQ69-BP69-BR70</f>
        <v>0.2999999999992724</v>
      </c>
      <c r="BS69" s="281"/>
      <c r="BT69" s="281"/>
      <c r="BU69" s="281"/>
      <c r="BV69" s="281"/>
      <c r="BW69" s="298" t="s">
        <v>713</v>
      </c>
      <c r="BX69" s="422">
        <v>5067.8406486499998</v>
      </c>
      <c r="BY69" s="422">
        <v>-2.6956501099999999</v>
      </c>
      <c r="BZ69" s="422">
        <v>2392.96656308</v>
      </c>
      <c r="CA69" s="422">
        <v>2459.2595970000002</v>
      </c>
      <c r="CB69" s="422">
        <v>2.8724581300000001</v>
      </c>
      <c r="CC69" s="422">
        <v>2.9251866299999998</v>
      </c>
      <c r="CD69" s="422">
        <v>-2.8851399999999999E-2</v>
      </c>
      <c r="CE69" s="422">
        <v>1.77159248</v>
      </c>
      <c r="CF69" s="422">
        <v>1.77210376</v>
      </c>
      <c r="CG69" s="422">
        <v>-1.8062766299999999</v>
      </c>
      <c r="CH69" s="422">
        <v>-1.8025686599999999</v>
      </c>
      <c r="CI69" s="422">
        <v>0.81463428999999998</v>
      </c>
    </row>
    <row r="70" spans="1:87" ht="15" customHeight="1" x14ac:dyDescent="0.2">
      <c r="A70" s="423">
        <f t="shared" si="86"/>
        <v>62009016</v>
      </c>
      <c r="B70" s="297" t="s">
        <v>614</v>
      </c>
      <c r="C70" s="297" t="s">
        <v>634</v>
      </c>
      <c r="D70" s="326" t="s">
        <v>778</v>
      </c>
      <c r="E70" s="283" t="s">
        <v>826</v>
      </c>
      <c r="F70" s="310" t="str">
        <f t="shared" si="49"/>
        <v>09/15/20</v>
      </c>
      <c r="G70" s="298" t="s">
        <v>827</v>
      </c>
      <c r="H70" s="298" t="s">
        <v>775</v>
      </c>
      <c r="I70" s="306"/>
      <c r="J70" s="299">
        <v>27.155826000000001</v>
      </c>
      <c r="K70" s="299">
        <v>34.583374999999997</v>
      </c>
      <c r="L70" s="299">
        <v>29.598386999999999</v>
      </c>
      <c r="M70" s="299">
        <v>29.605847000000001</v>
      </c>
      <c r="N70" s="284">
        <v>3875</v>
      </c>
      <c r="O70" s="284">
        <v>28.39</v>
      </c>
      <c r="P70" s="284">
        <v>0.20169999999999999</v>
      </c>
      <c r="Q70" s="284">
        <v>1.932E-2</v>
      </c>
      <c r="R70" s="285">
        <v>6.2510000899999998</v>
      </c>
      <c r="S70" s="285">
        <f>R70+R69</f>
        <v>8.02263284</v>
      </c>
      <c r="T70" s="314">
        <v>91.276285999999999</v>
      </c>
      <c r="U70" s="314">
        <v>89.024057999999997</v>
      </c>
      <c r="V70" s="289">
        <v>17139</v>
      </c>
      <c r="W70" s="289">
        <v>18800</v>
      </c>
      <c r="X70" s="289">
        <f>W70-V70</f>
        <v>1661</v>
      </c>
      <c r="Y70" s="289">
        <f t="shared" si="76"/>
        <v>265.71748137664804</v>
      </c>
      <c r="Z70" s="308">
        <v>829.4</v>
      </c>
      <c r="AA70" s="289">
        <v>846</v>
      </c>
      <c r="AB70" s="289">
        <f>AA70-Z70</f>
        <v>16.600000000000023</v>
      </c>
      <c r="AC70" s="289">
        <f t="shared" si="77"/>
        <v>2.6555750697485632</v>
      </c>
      <c r="AD70" s="308">
        <v>697.69</v>
      </c>
      <c r="AE70" s="289">
        <v>711.96306300000003</v>
      </c>
      <c r="AF70" s="289">
        <f>AE70-AD70</f>
        <v>14.273062999999979</v>
      </c>
      <c r="AG70" s="289">
        <f t="shared" si="78"/>
        <v>2.2833247151656941</v>
      </c>
      <c r="AH70" s="308">
        <v>-51.15</v>
      </c>
      <c r="AI70" s="289">
        <v>-50.69</v>
      </c>
      <c r="AJ70" s="289">
        <f>AI70-AH70</f>
        <v>0.46000000000000085</v>
      </c>
      <c r="AK70" s="307">
        <f t="shared" si="79"/>
        <v>7.3588224824357798E-2</v>
      </c>
      <c r="AL70" s="308">
        <v>-52.3</v>
      </c>
      <c r="AM70" s="289">
        <v>-53.9</v>
      </c>
      <c r="AN70" s="289">
        <f>AM70-AL70</f>
        <v>-1.6000000000000014</v>
      </c>
      <c r="AO70" s="307">
        <f t="shared" si="80"/>
        <v>-0.25595904286733123</v>
      </c>
      <c r="AP70" s="308">
        <v>-62.8</v>
      </c>
      <c r="AQ70" s="289">
        <v>-64.7</v>
      </c>
      <c r="AR70" s="289">
        <f>AQ70-AP70</f>
        <v>-1.9000000000000057</v>
      </c>
      <c r="AS70" s="307">
        <f t="shared" si="81"/>
        <v>-0.30395136340495649</v>
      </c>
      <c r="AT70" s="308">
        <v>36.5</v>
      </c>
      <c r="AU70" s="289">
        <v>37.1</v>
      </c>
      <c r="AV70" s="289">
        <f>AU70-AT70</f>
        <v>0.60000000000000142</v>
      </c>
      <c r="AW70" s="307">
        <f t="shared" si="82"/>
        <v>9.5984641075249358E-2</v>
      </c>
      <c r="AX70" s="308">
        <v>4195</v>
      </c>
      <c r="AY70" s="289">
        <v>5856</v>
      </c>
      <c r="AZ70" s="289">
        <f>AY70-AX70</f>
        <v>1661</v>
      </c>
      <c r="BA70" s="307">
        <f t="shared" si="83"/>
        <v>265.71748137664804</v>
      </c>
      <c r="BB70" s="308">
        <v>14084.7</v>
      </c>
      <c r="BC70" s="289">
        <v>14085.2</v>
      </c>
      <c r="BD70" s="289">
        <f>BC70-BB70</f>
        <v>0.5</v>
      </c>
      <c r="BE70" s="307">
        <f t="shared" si="84"/>
        <v>7.9987200896040944E-2</v>
      </c>
      <c r="BF70" s="308">
        <v>-13942.8</v>
      </c>
      <c r="BG70" s="289">
        <v>-13942.8</v>
      </c>
      <c r="BH70" s="289">
        <f>BG70-BF70</f>
        <v>0</v>
      </c>
      <c r="BI70" s="307">
        <f t="shared" si="85"/>
        <v>0</v>
      </c>
      <c r="BJ70" s="281">
        <v>91.276285999999999</v>
      </c>
      <c r="BK70" s="281">
        <v>89.024057999999997</v>
      </c>
      <c r="BL70" s="281">
        <f>BK70-BJ70</f>
        <v>-2.2522280000000023</v>
      </c>
      <c r="BM70" s="408">
        <v>-13942.8</v>
      </c>
      <c r="BN70" s="458">
        <v>-13942.8</v>
      </c>
      <c r="BO70" s="458">
        <f>BN70-BM70</f>
        <v>0</v>
      </c>
      <c r="BP70" s="408">
        <v>14084.7</v>
      </c>
      <c r="BQ70" s="458">
        <v>14085.2</v>
      </c>
      <c r="BR70" s="458">
        <f>BQ70-BP70</f>
        <v>0.5</v>
      </c>
      <c r="BS70" s="281"/>
      <c r="BT70" s="281"/>
      <c r="BU70" s="281"/>
      <c r="BV70" s="281"/>
      <c r="BW70" s="298" t="s">
        <v>713</v>
      </c>
      <c r="BX70" s="422">
        <v>10785.414815710001</v>
      </c>
      <c r="BY70" s="422">
        <v>-7.0147030700000004</v>
      </c>
      <c r="BZ70" s="422">
        <v>1058.3532872400001</v>
      </c>
      <c r="CA70" s="422">
        <v>1138.19423308</v>
      </c>
      <c r="CB70" s="422">
        <v>6.4370652799999997</v>
      </c>
      <c r="CC70" s="422">
        <v>6.5094140100000004</v>
      </c>
      <c r="CD70" s="422">
        <v>0.25991626000000001</v>
      </c>
      <c r="CE70" s="422">
        <v>6.25106377</v>
      </c>
      <c r="CF70" s="422">
        <v>6.2348583599999996</v>
      </c>
      <c r="CG70" s="422">
        <v>-1.3867771600000001</v>
      </c>
      <c r="CH70" s="422">
        <v>-1.1114476</v>
      </c>
      <c r="CI70" s="422">
        <v>0.34618212999999998</v>
      </c>
    </row>
    <row r="71" spans="1:87" ht="15" customHeight="1" x14ac:dyDescent="0.2">
      <c r="A71" s="423">
        <f t="shared" si="86"/>
        <v>62009016</v>
      </c>
      <c r="B71" s="297" t="s">
        <v>615</v>
      </c>
      <c r="C71" s="297" t="s">
        <v>635</v>
      </c>
      <c r="D71" s="326" t="s">
        <v>778</v>
      </c>
      <c r="E71" s="283" t="s">
        <v>826</v>
      </c>
      <c r="F71" s="310" t="str">
        <f t="shared" si="49"/>
        <v>09/15/20</v>
      </c>
      <c r="G71" s="298" t="s">
        <v>827</v>
      </c>
      <c r="H71" s="298" t="s">
        <v>775</v>
      </c>
      <c r="I71" s="306"/>
      <c r="J71" s="300">
        <f>AVERAGE(J69:J70)</f>
        <v>25.161006999999998</v>
      </c>
      <c r="K71" s="300">
        <f>AVERAGE(K69:K70)</f>
        <v>38.916139000000001</v>
      </c>
      <c r="L71" s="300">
        <f>AVERAGE(L69:L70)</f>
        <v>29.583982499999998</v>
      </c>
      <c r="M71" s="300">
        <f>AVERAGE(M69:M70)</f>
        <v>29.463071499999998</v>
      </c>
      <c r="N71" s="286"/>
      <c r="O71" s="284"/>
      <c r="P71" s="302"/>
      <c r="Q71" s="301"/>
      <c r="R71" s="287">
        <f>R70+R69</f>
        <v>8.02263284</v>
      </c>
      <c r="S71" s="287">
        <f>S70</f>
        <v>8.02263284</v>
      </c>
      <c r="T71" s="315">
        <f>T69</f>
        <v>91.702011999999996</v>
      </c>
      <c r="U71" s="315">
        <f>U70</f>
        <v>89.024057999999997</v>
      </c>
      <c r="V71" s="290">
        <f>V69</f>
        <v>16828</v>
      </c>
      <c r="W71" s="290">
        <f>W70</f>
        <v>18800</v>
      </c>
      <c r="X71" s="290">
        <f>SUM(X69:X70)</f>
        <v>2110</v>
      </c>
      <c r="Y71" s="290">
        <f t="shared" si="76"/>
        <v>263.00592861233321</v>
      </c>
      <c r="Z71" s="290">
        <f>Z69</f>
        <v>823.5</v>
      </c>
      <c r="AA71" s="290">
        <f>AA70</f>
        <v>846</v>
      </c>
      <c r="AB71" s="290">
        <f>SUM(AB69:AB70)</f>
        <v>27.200000000000045</v>
      </c>
      <c r="AC71" s="290">
        <f t="shared" si="77"/>
        <v>3.3904081792679976</v>
      </c>
      <c r="AD71" s="290">
        <f>AD69</f>
        <v>692.68</v>
      </c>
      <c r="AE71" s="290">
        <f>AE70</f>
        <v>711.96306300000003</v>
      </c>
      <c r="AF71" s="290">
        <f>SUM(AF69:AF70)</f>
        <v>23.322969000000057</v>
      </c>
      <c r="AG71" s="290">
        <f t="shared" si="78"/>
        <v>2.907146502294633</v>
      </c>
      <c r="AH71" s="290">
        <f>AH69</f>
        <v>-51.33</v>
      </c>
      <c r="AI71" s="290">
        <f>AI70</f>
        <v>-50.69</v>
      </c>
      <c r="AJ71" s="290">
        <f>SUM(AJ69:AJ70)</f>
        <v>0.76999999999999602</v>
      </c>
      <c r="AK71" s="288">
        <f t="shared" si="79"/>
        <v>9.5978466839571341E-2</v>
      </c>
      <c r="AL71" s="290">
        <f>AL69</f>
        <v>-51.7</v>
      </c>
      <c r="AM71" s="290">
        <f>AM70</f>
        <v>-53.9</v>
      </c>
      <c r="AN71" s="290">
        <f>SUM(AN69:AN70)</f>
        <v>-2.5999999999999943</v>
      </c>
      <c r="AO71" s="288">
        <f t="shared" si="80"/>
        <v>-0.32408313478296913</v>
      </c>
      <c r="AP71" s="290">
        <f>AP69</f>
        <v>-62.2</v>
      </c>
      <c r="AQ71" s="290">
        <f>AQ70</f>
        <v>-64.7</v>
      </c>
      <c r="AR71" s="290">
        <f>SUM(AR69:AR70)</f>
        <v>-3.0999999999999943</v>
      </c>
      <c r="AS71" s="288">
        <f t="shared" si="81"/>
        <v>-0.38640681454892484</v>
      </c>
      <c r="AT71" s="290">
        <f>AT69</f>
        <v>36.299999999999997</v>
      </c>
      <c r="AU71" s="290">
        <f>AU70</f>
        <v>37.1</v>
      </c>
      <c r="AV71" s="290">
        <f>SUM(AV69:AV70)</f>
        <v>1</v>
      </c>
      <c r="AW71" s="288">
        <f t="shared" si="82"/>
        <v>0.12464735953191147</v>
      </c>
      <c r="AX71" s="290">
        <f>AX69</f>
        <v>3884</v>
      </c>
      <c r="AY71" s="290">
        <f>AY70</f>
        <v>5856</v>
      </c>
      <c r="AZ71" s="290">
        <f>SUM(AZ69:AZ70)</f>
        <v>2110</v>
      </c>
      <c r="BA71" s="288">
        <f t="shared" si="83"/>
        <v>263.00592861233321</v>
      </c>
      <c r="BB71" s="290">
        <f>BB69</f>
        <v>14084.5</v>
      </c>
      <c r="BC71" s="290">
        <f>BC70</f>
        <v>14085.2</v>
      </c>
      <c r="BD71" s="290">
        <f>SUM(BD69:BD70)</f>
        <v>0.7999999999992724</v>
      </c>
      <c r="BE71" s="288">
        <f t="shared" si="84"/>
        <v>9.9717887625438484E-2</v>
      </c>
      <c r="BF71" s="290">
        <f>BF69</f>
        <v>-13942.8</v>
      </c>
      <c r="BG71" s="290">
        <f>BG70</f>
        <v>-13942.8</v>
      </c>
      <c r="BH71" s="290">
        <f>SUM(BH69:BH70)</f>
        <v>0</v>
      </c>
      <c r="BI71" s="288">
        <f t="shared" si="85"/>
        <v>0</v>
      </c>
      <c r="BJ71" s="282"/>
      <c r="BK71" s="282"/>
      <c r="BL71" s="282">
        <f>SUM(BL69:BL70)</f>
        <v>-2.871742999999995</v>
      </c>
      <c r="BM71" s="459">
        <f>BM69</f>
        <v>-13942.8</v>
      </c>
      <c r="BN71" s="459">
        <f>BN70</f>
        <v>-13942.8</v>
      </c>
      <c r="BO71" s="459">
        <f>SUM(BO69:BO70)</f>
        <v>0</v>
      </c>
      <c r="BP71" s="459">
        <f>BP69</f>
        <v>14084.5</v>
      </c>
      <c r="BQ71" s="459">
        <f>BQ70</f>
        <v>14085.2</v>
      </c>
      <c r="BR71" s="459">
        <f>SUM(BR69:BR70)</f>
        <v>0.7999999999992724</v>
      </c>
      <c r="BS71" s="282"/>
      <c r="BT71" s="282"/>
      <c r="BU71" s="282"/>
      <c r="BV71" s="282"/>
      <c r="BW71" s="298" t="s">
        <v>713</v>
      </c>
    </row>
    <row r="72" spans="1:87" s="485" customFormat="1" ht="15" customHeight="1" x14ac:dyDescent="0.2">
      <c r="A72" s="478" t="s">
        <v>812</v>
      </c>
      <c r="B72" s="479"/>
      <c r="C72" s="479"/>
      <c r="D72" s="480"/>
      <c r="E72" s="479"/>
      <c r="F72" s="479"/>
      <c r="G72" s="480"/>
      <c r="H72" s="480"/>
      <c r="I72" s="480"/>
      <c r="J72" s="480"/>
      <c r="K72" s="480"/>
      <c r="L72" s="480"/>
      <c r="M72" s="480"/>
      <c r="N72" s="480"/>
      <c r="O72" s="480"/>
      <c r="P72" s="481"/>
      <c r="Q72" s="482"/>
      <c r="R72" s="479"/>
      <c r="S72" s="479"/>
      <c r="T72" s="479"/>
      <c r="U72" s="479"/>
      <c r="V72" s="483"/>
      <c r="W72" s="483"/>
      <c r="X72" s="479"/>
      <c r="Y72" s="479"/>
      <c r="Z72" s="479"/>
      <c r="AA72" s="479"/>
      <c r="AB72" s="479"/>
      <c r="AC72" s="479"/>
      <c r="AD72" s="479"/>
      <c r="AE72" s="483"/>
      <c r="AF72" s="483"/>
      <c r="AG72" s="483"/>
      <c r="AH72" s="483"/>
      <c r="AI72" s="483"/>
      <c r="AJ72" s="479"/>
      <c r="AK72" s="479"/>
      <c r="AL72" s="479"/>
      <c r="AM72" s="479"/>
      <c r="AN72" s="479"/>
      <c r="AO72" s="479"/>
      <c r="AP72" s="483"/>
      <c r="AQ72" s="483"/>
      <c r="AR72" s="479"/>
      <c r="AS72" s="479"/>
      <c r="AT72" s="483"/>
      <c r="AU72" s="483"/>
      <c r="AV72" s="479"/>
      <c r="AW72" s="479"/>
      <c r="AX72" s="483"/>
      <c r="AY72" s="483"/>
      <c r="AZ72" s="479"/>
      <c r="BA72" s="479"/>
      <c r="BB72" s="483"/>
      <c r="BC72" s="483"/>
      <c r="BD72" s="479"/>
      <c r="BE72" s="479"/>
      <c r="BF72" s="483"/>
      <c r="BG72" s="483"/>
      <c r="BH72" s="479"/>
      <c r="BI72" s="479"/>
      <c r="BJ72" s="479"/>
      <c r="BK72" s="479"/>
      <c r="BL72" s="479"/>
      <c r="BM72" s="479"/>
      <c r="BN72" s="479"/>
      <c r="BO72" s="479"/>
      <c r="BP72" s="479"/>
      <c r="BQ72" s="479"/>
      <c r="BR72" s="479"/>
      <c r="BS72" s="479"/>
      <c r="BT72" s="479"/>
      <c r="BU72" s="479"/>
      <c r="BV72" s="479"/>
      <c r="BW72" s="479"/>
      <c r="BX72" s="479"/>
      <c r="BY72" s="479"/>
      <c r="BZ72" s="479"/>
      <c r="CA72" s="479"/>
      <c r="CB72" s="479"/>
      <c r="CC72" s="479"/>
      <c r="CD72" s="479"/>
      <c r="CE72" s="479"/>
      <c r="CF72" s="479"/>
      <c r="CG72" s="479"/>
      <c r="CH72" s="479"/>
      <c r="CI72" s="484"/>
    </row>
    <row r="73" spans="1:87" ht="15" customHeight="1" x14ac:dyDescent="0.2">
      <c r="A73" s="423">
        <v>62009018</v>
      </c>
      <c r="B73" s="297" t="s">
        <v>813</v>
      </c>
      <c r="C73" s="297" t="s">
        <v>626</v>
      </c>
      <c r="D73" s="326" t="s">
        <v>829</v>
      </c>
      <c r="E73" s="283" t="s">
        <v>830</v>
      </c>
      <c r="F73" s="310" t="str">
        <f t="shared" si="49"/>
        <v>09/15/20</v>
      </c>
      <c r="G73" s="298" t="s">
        <v>831</v>
      </c>
      <c r="H73" s="298" t="s">
        <v>832</v>
      </c>
      <c r="I73" s="306"/>
      <c r="J73" s="299">
        <v>25.409745000000001</v>
      </c>
      <c r="K73" s="299">
        <v>39.089295</v>
      </c>
      <c r="L73" s="299">
        <v>29.502300999999999</v>
      </c>
      <c r="M73" s="299">
        <v>29.512169</v>
      </c>
      <c r="N73" s="284">
        <v>3875</v>
      </c>
      <c r="O73" s="284">
        <v>28.39</v>
      </c>
      <c r="P73" s="284">
        <v>0.20169999999999999</v>
      </c>
      <c r="Q73" s="284">
        <v>1.932E-2</v>
      </c>
      <c r="R73" s="285">
        <v>10.28584671</v>
      </c>
      <c r="S73" s="285">
        <f>R73+R72</f>
        <v>10.28584671</v>
      </c>
      <c r="T73" s="314">
        <v>21.852414</v>
      </c>
      <c r="U73" s="314">
        <v>18.815873</v>
      </c>
      <c r="V73" s="289">
        <v>64056</v>
      </c>
      <c r="W73" s="289">
        <v>65982</v>
      </c>
      <c r="X73" s="289">
        <f>W73-V73</f>
        <v>1926</v>
      </c>
      <c r="Y73" s="289">
        <f>X73/$R73</f>
        <v>187.24758926530805</v>
      </c>
      <c r="Z73" s="308">
        <v>1719.1</v>
      </c>
      <c r="AA73" s="289">
        <v>1751.7</v>
      </c>
      <c r="AB73" s="289">
        <f>AA73-Z73</f>
        <v>32.600000000000136</v>
      </c>
      <c r="AC73" s="289">
        <f>AB73/$R73</f>
        <v>3.1694036396931815</v>
      </c>
      <c r="AD73" s="308">
        <v>1494.37</v>
      </c>
      <c r="AE73" s="289">
        <v>1522.6</v>
      </c>
      <c r="AF73" s="289">
        <f>AE73-AD73</f>
        <v>28.230000000000018</v>
      </c>
      <c r="AG73" s="289">
        <f>AF73/$R73</f>
        <v>2.7445479984214174</v>
      </c>
      <c r="AH73" s="308">
        <v>-63.05</v>
      </c>
      <c r="AI73" s="289">
        <v>-60.71</v>
      </c>
      <c r="AJ73" s="289">
        <f>AI73-AH73</f>
        <v>2.3399999999999963</v>
      </c>
      <c r="AK73" s="307">
        <f>AJ73/$R73</f>
        <v>0.22749707107000008</v>
      </c>
      <c r="AL73" s="308">
        <v>-94</v>
      </c>
      <c r="AM73" s="289">
        <v>-96.7</v>
      </c>
      <c r="AN73" s="289">
        <f>AM73-AL73</f>
        <v>-2.7000000000000028</v>
      </c>
      <c r="AO73" s="307">
        <f>AN73/$R73</f>
        <v>-0.26249662046538541</v>
      </c>
      <c r="AP73" s="308">
        <v>-113.6</v>
      </c>
      <c r="AQ73" s="289">
        <v>-117</v>
      </c>
      <c r="AR73" s="289">
        <f>AQ73-AP73</f>
        <v>-3.4000000000000057</v>
      </c>
      <c r="AS73" s="307">
        <f>AR73/$R73</f>
        <v>-0.33055129984530035</v>
      </c>
      <c r="AT73" s="308">
        <v>53.3</v>
      </c>
      <c r="AU73" s="289">
        <v>54.3</v>
      </c>
      <c r="AV73" s="289">
        <f>AU73-AT73</f>
        <v>1</v>
      </c>
      <c r="AW73" s="307">
        <f>AV73/$R73</f>
        <v>9.7220970542735222E-2</v>
      </c>
      <c r="AX73" s="308">
        <v>51117</v>
      </c>
      <c r="AY73" s="289">
        <v>53043</v>
      </c>
      <c r="AZ73" s="289">
        <f>AY73-AX73</f>
        <v>1926</v>
      </c>
      <c r="BA73" s="307">
        <f>AZ73/$R73</f>
        <v>187.24758926530805</v>
      </c>
      <c r="BB73" s="308">
        <v>14102.5</v>
      </c>
      <c r="BC73" s="289">
        <v>14103.6</v>
      </c>
      <c r="BD73" s="289">
        <f>BC73-BB73</f>
        <v>1.1000000000003638</v>
      </c>
      <c r="BE73" s="307">
        <f>BD73/$R73</f>
        <v>0.10694306759704413</v>
      </c>
      <c r="BF73" s="308">
        <v>-13942.8</v>
      </c>
      <c r="BG73" s="289">
        <v>-13942.8</v>
      </c>
      <c r="BH73" s="289">
        <f>BG73-BF73</f>
        <v>0</v>
      </c>
      <c r="BI73" s="307">
        <f>BH73/$R73</f>
        <v>0</v>
      </c>
      <c r="BJ73" s="281">
        <v>21.852414</v>
      </c>
      <c r="BK73" s="281">
        <v>18.815873</v>
      </c>
      <c r="BL73" s="281">
        <f>BK73-BJ73</f>
        <v>-3.0365409999999997</v>
      </c>
      <c r="BM73" s="408">
        <v>-13942.8</v>
      </c>
      <c r="BN73" s="458">
        <v>-13942.8</v>
      </c>
      <c r="BO73" s="458">
        <f>BN73-BM73</f>
        <v>0</v>
      </c>
      <c r="BP73" s="408">
        <v>14102.5</v>
      </c>
      <c r="BQ73" s="458">
        <v>14103.6</v>
      </c>
      <c r="BR73" s="458">
        <f>BQ73-BP73</f>
        <v>1.1000000000003638</v>
      </c>
      <c r="BS73" s="281"/>
      <c r="BT73" s="281"/>
      <c r="BU73" s="281"/>
      <c r="BV73" s="281"/>
      <c r="BW73" s="298" t="s">
        <v>713</v>
      </c>
      <c r="BX73" s="422">
        <v>1773.2109118200001</v>
      </c>
      <c r="BY73" s="422">
        <v>1.6434520800000001</v>
      </c>
      <c r="BZ73" s="422">
        <v>1328.26211096</v>
      </c>
      <c r="CA73" s="422">
        <v>1306.78571401</v>
      </c>
      <c r="CB73" s="422">
        <v>7.3612130899999997</v>
      </c>
      <c r="CC73" s="422">
        <v>7.3155367699999996</v>
      </c>
      <c r="CD73" s="422">
        <v>0.28513893000000001</v>
      </c>
      <c r="CE73" s="422">
        <v>10.28592637</v>
      </c>
      <c r="CF73" s="422">
        <v>10.256680579999999</v>
      </c>
      <c r="CG73" s="422">
        <v>0.33713033999999997</v>
      </c>
      <c r="CH73" s="422">
        <v>0.62437421999999998</v>
      </c>
      <c r="CI73" s="422">
        <v>0.28266077000000001</v>
      </c>
    </row>
    <row r="74" spans="1:87" ht="15" customHeight="1" x14ac:dyDescent="0.2">
      <c r="A74" s="423">
        <v>62009018</v>
      </c>
      <c r="B74" s="297" t="s">
        <v>813</v>
      </c>
      <c r="C74" s="297" t="s">
        <v>627</v>
      </c>
      <c r="D74" s="326" t="s">
        <v>829</v>
      </c>
      <c r="E74" s="283" t="s">
        <v>830</v>
      </c>
      <c r="F74" s="310" t="str">
        <f t="shared" si="49"/>
        <v>09/15/20</v>
      </c>
      <c r="G74" s="298" t="s">
        <v>831</v>
      </c>
      <c r="H74" s="298" t="s">
        <v>832</v>
      </c>
      <c r="I74" s="306"/>
      <c r="J74" s="299">
        <v>25.096675000000001</v>
      </c>
      <c r="K74" s="299">
        <v>38.130678000000003</v>
      </c>
      <c r="L74" s="299">
        <v>29.486705000000001</v>
      </c>
      <c r="M74" s="299">
        <v>30.502687000000002</v>
      </c>
      <c r="N74" s="284">
        <v>3875</v>
      </c>
      <c r="O74" s="284">
        <v>28.39</v>
      </c>
      <c r="P74" s="284">
        <v>0.20169999999999999</v>
      </c>
      <c r="Q74" s="284">
        <v>1.932E-2</v>
      </c>
      <c r="R74" s="285">
        <v>10.28542611</v>
      </c>
      <c r="S74" s="285">
        <f>R74+R73</f>
        <v>20.571272819999997</v>
      </c>
      <c r="T74" s="314">
        <v>18.814630000000001</v>
      </c>
      <c r="U74" s="314">
        <v>15.805272</v>
      </c>
      <c r="V74" s="289">
        <v>65983</v>
      </c>
      <c r="W74" s="289">
        <v>67874</v>
      </c>
      <c r="X74" s="289">
        <f>W74-V74</f>
        <v>1891</v>
      </c>
      <c r="Y74" s="289">
        <f>X74/$R74</f>
        <v>183.85237322948404</v>
      </c>
      <c r="Z74" s="308">
        <v>1752.3</v>
      </c>
      <c r="AA74" s="289">
        <v>1786.2</v>
      </c>
      <c r="AB74" s="289">
        <f>AA74-Z74</f>
        <v>33.900000000000091</v>
      </c>
      <c r="AC74" s="289">
        <f>AB74/$R74</f>
        <v>3.2959256755576547</v>
      </c>
      <c r="AD74" s="308">
        <v>1523.1586339999999</v>
      </c>
      <c r="AE74" s="289">
        <v>1552.66</v>
      </c>
      <c r="AF74" s="289">
        <f>AE74-AD74</f>
        <v>29.501366000000189</v>
      </c>
      <c r="AG74" s="289">
        <f>AF74/$R74</f>
        <v>2.8682687216349261</v>
      </c>
      <c r="AH74" s="308">
        <v>-60.68</v>
      </c>
      <c r="AI74" s="289">
        <v>-59.63</v>
      </c>
      <c r="AJ74" s="289">
        <f>AI74-AH74</f>
        <v>1.0499999999999972</v>
      </c>
      <c r="AK74" s="307">
        <f>AJ74/$R74</f>
        <v>0.10208619349072327</v>
      </c>
      <c r="AL74" s="308">
        <v>-96.8</v>
      </c>
      <c r="AM74" s="289">
        <v>-99.5</v>
      </c>
      <c r="AN74" s="289">
        <f>AM74-AL74</f>
        <v>-2.7000000000000028</v>
      </c>
      <c r="AO74" s="307">
        <f>AN74/$R74</f>
        <v>-0.26250735469043224</v>
      </c>
      <c r="AP74" s="308">
        <v>-117.1</v>
      </c>
      <c r="AQ74" s="289">
        <v>-120.4</v>
      </c>
      <c r="AR74" s="289">
        <f>AQ74-AP74</f>
        <v>-3.3000000000000114</v>
      </c>
      <c r="AS74" s="307">
        <f>AR74/$R74</f>
        <v>-0.32084232239941796</v>
      </c>
      <c r="AT74" s="308">
        <v>54.4</v>
      </c>
      <c r="AU74" s="289">
        <v>55.5</v>
      </c>
      <c r="AV74" s="289">
        <f>AU74-AT74</f>
        <v>1.1000000000000014</v>
      </c>
      <c r="AW74" s="307">
        <f>AV74/$R74</f>
        <v>0.10694744079980577</v>
      </c>
      <c r="AX74" s="308">
        <v>53044</v>
      </c>
      <c r="AY74" s="289">
        <v>54935</v>
      </c>
      <c r="AZ74" s="289">
        <f>AY74-AX74</f>
        <v>1891</v>
      </c>
      <c r="BA74" s="307">
        <f>AZ74/$R74</f>
        <v>183.85237322948404</v>
      </c>
      <c r="BB74" s="308">
        <v>14103.6</v>
      </c>
      <c r="BC74" s="289">
        <v>14104.6</v>
      </c>
      <c r="BD74" s="289">
        <f>BC74-BB74</f>
        <v>1</v>
      </c>
      <c r="BE74" s="307">
        <f>BD74/$R74</f>
        <v>9.7224946181641472E-2</v>
      </c>
      <c r="BF74" s="308">
        <v>-13942.8</v>
      </c>
      <c r="BG74" s="289">
        <v>-13942.8</v>
      </c>
      <c r="BH74" s="289">
        <f>BG74-BF74</f>
        <v>0</v>
      </c>
      <c r="BI74" s="307">
        <f>BH74/$R74</f>
        <v>0</v>
      </c>
      <c r="BJ74" s="281">
        <v>18.814630000000001</v>
      </c>
      <c r="BK74" s="281">
        <v>15.805272</v>
      </c>
      <c r="BL74" s="281">
        <f>BK74-BJ74</f>
        <v>-3.0093580000000006</v>
      </c>
      <c r="BM74" s="408">
        <v>-13942.8</v>
      </c>
      <c r="BN74" s="458">
        <v>-13942.8</v>
      </c>
      <c r="BO74" s="458">
        <f>BN74-BM74</f>
        <v>0</v>
      </c>
      <c r="BP74" s="408">
        <v>14103.6</v>
      </c>
      <c r="BQ74" s="458">
        <v>14104.6</v>
      </c>
      <c r="BR74" s="458">
        <f>BQ74-BP74</f>
        <v>1</v>
      </c>
      <c r="BS74" s="281"/>
      <c r="BT74" s="281"/>
      <c r="BU74" s="281"/>
      <c r="BV74" s="281"/>
      <c r="BW74" s="298" t="s">
        <v>713</v>
      </c>
      <c r="BX74" s="422">
        <v>1769.7856830400001</v>
      </c>
      <c r="BY74" s="422">
        <v>1.5738816900000001</v>
      </c>
      <c r="BZ74" s="422">
        <v>1327.31221306</v>
      </c>
      <c r="CA74" s="422">
        <v>1306.7455835799999</v>
      </c>
      <c r="CB74" s="422">
        <v>7.3579279900000003</v>
      </c>
      <c r="CC74" s="422">
        <v>7.3154503699999998</v>
      </c>
      <c r="CD74" s="422">
        <v>0.28099129</v>
      </c>
      <c r="CE74" s="422">
        <v>10.28550076</v>
      </c>
      <c r="CF74" s="422">
        <v>10.256680380000001</v>
      </c>
      <c r="CG74" s="422">
        <v>0.29793503999999998</v>
      </c>
      <c r="CH74" s="422">
        <v>0.58065632</v>
      </c>
      <c r="CI74" s="422">
        <v>0.28265424</v>
      </c>
    </row>
    <row r="75" spans="1:87" ht="15" customHeight="1" x14ac:dyDescent="0.2">
      <c r="A75" s="457" t="s">
        <v>844</v>
      </c>
      <c r="B75" s="334"/>
      <c r="C75" s="334"/>
      <c r="D75" s="335"/>
      <c r="E75" s="334"/>
      <c r="F75" s="334"/>
      <c r="G75" s="335"/>
      <c r="H75" s="335"/>
      <c r="I75" s="335"/>
      <c r="J75" s="335"/>
      <c r="K75" s="335"/>
      <c r="L75" s="335"/>
      <c r="M75" s="335"/>
      <c r="N75" s="335"/>
      <c r="O75" s="335"/>
      <c r="P75" s="336"/>
      <c r="Q75" s="337"/>
      <c r="R75" s="334"/>
      <c r="S75" s="334"/>
      <c r="T75" s="334"/>
      <c r="U75" s="334"/>
      <c r="V75" s="341"/>
      <c r="W75" s="341"/>
      <c r="X75" s="334"/>
      <c r="Y75" s="334"/>
      <c r="Z75" s="341"/>
      <c r="AA75" s="341"/>
      <c r="AB75" s="334"/>
      <c r="AC75" s="334"/>
      <c r="AD75" s="341"/>
      <c r="AE75" s="341"/>
      <c r="AF75" s="334"/>
      <c r="AG75" s="334"/>
      <c r="AH75" s="334"/>
      <c r="AI75" s="334"/>
      <c r="AJ75" s="334"/>
      <c r="AK75" s="334"/>
      <c r="AL75" s="341"/>
      <c r="AM75" s="341"/>
      <c r="AN75" s="334"/>
      <c r="AO75" s="334"/>
      <c r="AP75" s="334"/>
      <c r="AQ75" s="334"/>
      <c r="AR75" s="334"/>
      <c r="AS75" s="334"/>
      <c r="AT75" s="334"/>
      <c r="AU75" s="334"/>
      <c r="AV75" s="334"/>
      <c r="AW75" s="334"/>
      <c r="AX75" s="334"/>
      <c r="AY75" s="334"/>
      <c r="AZ75" s="334"/>
      <c r="BA75" s="334"/>
      <c r="BB75" s="334"/>
      <c r="BC75" s="334"/>
      <c r="BD75" s="334"/>
      <c r="BE75" s="334"/>
      <c r="BF75" s="334"/>
      <c r="BG75" s="334"/>
      <c r="BH75" s="334"/>
      <c r="BI75" s="334"/>
      <c r="BJ75" s="334"/>
      <c r="BK75" s="334"/>
      <c r="BL75" s="338"/>
    </row>
    <row r="76" spans="1:87" ht="15" customHeight="1" x14ac:dyDescent="0.2">
      <c r="A76" s="297">
        <v>62009019</v>
      </c>
      <c r="B76" s="297" t="s">
        <v>607</v>
      </c>
      <c r="C76" s="297" t="s">
        <v>626</v>
      </c>
      <c r="D76" s="326" t="s">
        <v>778</v>
      </c>
      <c r="E76" s="283" t="s">
        <v>846</v>
      </c>
      <c r="F76" s="310" t="str">
        <f t="shared" ref="F76:F139" si="87">LEFT(E76,8)</f>
        <v>09/16/20</v>
      </c>
      <c r="G76" s="298" t="s">
        <v>847</v>
      </c>
      <c r="H76" s="298" t="s">
        <v>775</v>
      </c>
      <c r="I76" s="306"/>
      <c r="J76" s="299">
        <v>24.273512</v>
      </c>
      <c r="K76" s="299">
        <v>40.129361000000003</v>
      </c>
      <c r="L76" s="299">
        <v>29.350095</v>
      </c>
      <c r="M76" s="299">
        <v>25.205639000000001</v>
      </c>
      <c r="N76" s="284">
        <v>3875</v>
      </c>
      <c r="O76" s="284">
        <v>28.39</v>
      </c>
      <c r="P76" s="284">
        <v>0.20169999999999999</v>
      </c>
      <c r="Q76" s="284">
        <v>1.932E-2</v>
      </c>
      <c r="R76" s="285">
        <v>3.5803091600000001</v>
      </c>
      <c r="S76" s="285">
        <f>R76+R75</f>
        <v>3.5803091600000001</v>
      </c>
      <c r="T76" s="314">
        <v>97.326480000000004</v>
      </c>
      <c r="U76" s="314">
        <v>96.438406000000001</v>
      </c>
      <c r="V76" s="289">
        <v>9</v>
      </c>
      <c r="W76" s="289">
        <v>712</v>
      </c>
      <c r="X76" s="289">
        <f>W76-V76</f>
        <v>703</v>
      </c>
      <c r="Y76" s="289">
        <f t="shared" ref="Y76:Y98" si="88">X76/$R76</f>
        <v>196.35175862857608</v>
      </c>
      <c r="Z76" s="308">
        <v>8.6999999999999993</v>
      </c>
      <c r="AA76" s="289">
        <v>30.5</v>
      </c>
      <c r="AB76" s="289">
        <f>AA76-Z76</f>
        <v>21.8</v>
      </c>
      <c r="AC76" s="289">
        <f t="shared" ref="AC76:AC98" si="89">AB76/$R76</f>
        <v>6.0888596559074806</v>
      </c>
      <c r="AD76" s="308">
        <v>7.73</v>
      </c>
      <c r="AE76" s="289">
        <v>26.31</v>
      </c>
      <c r="AF76" s="289">
        <f>AE76-AD76</f>
        <v>18.579999999999998</v>
      </c>
      <c r="AG76" s="289">
        <f t="shared" ref="AG76:AG98" si="90">AF76/$R76</f>
        <v>5.1894959819615121</v>
      </c>
      <c r="AH76" s="308">
        <v>0.70839099999999999</v>
      </c>
      <c r="AI76" s="289">
        <v>2.13</v>
      </c>
      <c r="AJ76" s="289">
        <f>AI76-AH76</f>
        <v>1.4216089999999999</v>
      </c>
      <c r="AK76" s="307">
        <f t="shared" ref="AK76:AK98" si="91">AJ76/$R76</f>
        <v>0.39706319663187967</v>
      </c>
      <c r="AL76" s="308">
        <v>-0.3</v>
      </c>
      <c r="AM76" s="289">
        <v>-2.4</v>
      </c>
      <c r="AN76" s="289">
        <f>AM76-AL76</f>
        <v>-2.1</v>
      </c>
      <c r="AO76" s="307">
        <f t="shared" ref="AO76:AO98" si="92">AN76/$R76</f>
        <v>-0.58654152648650038</v>
      </c>
      <c r="AP76" s="308">
        <v>-0.2</v>
      </c>
      <c r="AQ76" s="289">
        <v>-2.9</v>
      </c>
      <c r="AR76" s="289">
        <f>AQ76-AP76</f>
        <v>-2.6999999999999997</v>
      </c>
      <c r="AS76" s="307">
        <f t="shared" ref="AS76:AS98" si="93">AR76/$R76</f>
        <v>-0.75412481976835755</v>
      </c>
      <c r="AT76" s="308">
        <v>0.1</v>
      </c>
      <c r="AU76" s="289">
        <v>1</v>
      </c>
      <c r="AV76" s="289">
        <f>AU76-AT76</f>
        <v>0.9</v>
      </c>
      <c r="AW76" s="307">
        <f t="shared" ref="AW76:AW98" si="94">AV76/$R76</f>
        <v>0.25137493992278587</v>
      </c>
      <c r="AX76" s="308">
        <v>9</v>
      </c>
      <c r="AY76" s="289">
        <v>711</v>
      </c>
      <c r="AZ76" s="289">
        <f>AY76-AX76</f>
        <v>702</v>
      </c>
      <c r="BA76" s="307">
        <f t="shared" ref="BA76:BA98" si="95">AZ76/$R76</f>
        <v>196.07245313977299</v>
      </c>
      <c r="BB76" s="308">
        <v>0.2</v>
      </c>
      <c r="BC76" s="289">
        <v>0.9</v>
      </c>
      <c r="BD76" s="289">
        <f>BC76-BB76</f>
        <v>0.7</v>
      </c>
      <c r="BE76" s="307">
        <f t="shared" ref="BE76:BE98" si="96">BD76/$R76</f>
        <v>0.19551384216216677</v>
      </c>
      <c r="BF76" s="308">
        <v>0</v>
      </c>
      <c r="BG76" s="289">
        <v>0</v>
      </c>
      <c r="BH76" s="289">
        <f>BG76-BF76</f>
        <v>0</v>
      </c>
      <c r="BI76" s="307">
        <f t="shared" ref="BI76:BI98" si="97">BH76/$R76</f>
        <v>0</v>
      </c>
      <c r="BJ76" s="281">
        <v>97.326480000000004</v>
      </c>
      <c r="BK76" s="281">
        <v>96.438406000000001</v>
      </c>
      <c r="BL76" s="281">
        <f>BK76-BJ76</f>
        <v>-0.88807400000000314</v>
      </c>
      <c r="BM76" s="408">
        <v>0</v>
      </c>
      <c r="BN76" s="458">
        <v>0</v>
      </c>
      <c r="BO76" s="458">
        <f>BN76-BM76</f>
        <v>0</v>
      </c>
      <c r="BP76" s="408">
        <v>0.2</v>
      </c>
      <c r="BQ76" s="458">
        <v>0.9</v>
      </c>
      <c r="BR76" s="458">
        <f>BQ76-BP76</f>
        <v>0.7</v>
      </c>
      <c r="BS76" s="281"/>
      <c r="BT76" s="281"/>
      <c r="BU76" s="281"/>
      <c r="BV76" s="281"/>
      <c r="BW76" s="298" t="s">
        <v>713</v>
      </c>
      <c r="BX76" s="422">
        <v>2204.0860786100002</v>
      </c>
      <c r="BY76" s="422">
        <v>-0.89634084999999997</v>
      </c>
      <c r="BZ76" s="422">
        <v>2030.4899324</v>
      </c>
      <c r="CA76" s="422">
        <v>2048.8546536099998</v>
      </c>
      <c r="CB76" s="422">
        <v>2.93267788</v>
      </c>
      <c r="CC76" s="422">
        <v>2.96591666</v>
      </c>
      <c r="CD76" s="422">
        <v>-0.29920403000000001</v>
      </c>
      <c r="CE76" s="422">
        <v>3.5802357300000001</v>
      </c>
      <c r="CF76" s="422">
        <v>3.59098008</v>
      </c>
      <c r="CG76" s="422">
        <v>-0.8307985</v>
      </c>
      <c r="CH76" s="422">
        <v>-1.1206918400000001</v>
      </c>
      <c r="CI76" s="422">
        <v>0.59141734999999995</v>
      </c>
    </row>
    <row r="77" spans="1:87" ht="15" customHeight="1" x14ac:dyDescent="0.2">
      <c r="A77" s="297">
        <f>A76</f>
        <v>62009019</v>
      </c>
      <c r="B77" s="297" t="s">
        <v>608</v>
      </c>
      <c r="C77" s="297" t="s">
        <v>627</v>
      </c>
      <c r="D77" s="326" t="s">
        <v>778</v>
      </c>
      <c r="E77" s="283" t="s">
        <v>846</v>
      </c>
      <c r="F77" s="310" t="str">
        <f t="shared" si="87"/>
        <v>09/16/20</v>
      </c>
      <c r="G77" s="298" t="s">
        <v>847</v>
      </c>
      <c r="H77" s="298" t="s">
        <v>775</v>
      </c>
      <c r="I77" s="306"/>
      <c r="J77" s="299">
        <v>21.862000999999999</v>
      </c>
      <c r="K77" s="299">
        <v>46.301977000000001</v>
      </c>
      <c r="L77" s="299">
        <v>29.340585999999998</v>
      </c>
      <c r="M77" s="299">
        <v>26.964535999999999</v>
      </c>
      <c r="N77" s="284">
        <v>3875</v>
      </c>
      <c r="O77" s="284">
        <v>28.39</v>
      </c>
      <c r="P77" s="284">
        <v>0.20169999999999999</v>
      </c>
      <c r="Q77" s="284">
        <v>1.932E-2</v>
      </c>
      <c r="R77" s="285">
        <v>3.84620373</v>
      </c>
      <c r="S77" s="285">
        <f>R77+R76</f>
        <v>7.4265128899999997</v>
      </c>
      <c r="T77" s="314">
        <v>96.438406000000001</v>
      </c>
      <c r="U77" s="314">
        <v>95.678507999999994</v>
      </c>
      <c r="V77" s="289">
        <v>712</v>
      </c>
      <c r="W77" s="289">
        <v>1284</v>
      </c>
      <c r="X77" s="289">
        <f>W77-V77</f>
        <v>572</v>
      </c>
      <c r="Y77" s="289">
        <f t="shared" si="88"/>
        <v>148.71807115636071</v>
      </c>
      <c r="Z77" s="308">
        <v>30.5</v>
      </c>
      <c r="AA77" s="289">
        <v>68.599999999999994</v>
      </c>
      <c r="AB77" s="289">
        <f>AA77-Z77</f>
        <v>38.099999999999994</v>
      </c>
      <c r="AC77" s="289">
        <f t="shared" si="89"/>
        <v>9.9058715228275211</v>
      </c>
      <c r="AD77" s="308">
        <v>26.315241</v>
      </c>
      <c r="AE77" s="289">
        <v>58.88</v>
      </c>
      <c r="AF77" s="289">
        <f>AE77-AD77</f>
        <v>32.564759000000002</v>
      </c>
      <c r="AG77" s="289">
        <f t="shared" si="90"/>
        <v>8.4667275282373051</v>
      </c>
      <c r="AH77" s="308">
        <v>2.13</v>
      </c>
      <c r="AI77" s="289">
        <v>2.84</v>
      </c>
      <c r="AJ77" s="289">
        <f>AI77-AH77</f>
        <v>0.71</v>
      </c>
      <c r="AK77" s="307">
        <f t="shared" si="91"/>
        <v>0.1845976058059722</v>
      </c>
      <c r="AL77" s="308">
        <v>-2.4</v>
      </c>
      <c r="AM77" s="289">
        <v>-6.2</v>
      </c>
      <c r="AN77" s="289">
        <f>AM77-AL77</f>
        <v>-3.8000000000000003</v>
      </c>
      <c r="AO77" s="307">
        <f t="shared" si="92"/>
        <v>-0.98798718600379498</v>
      </c>
      <c r="AP77" s="308">
        <v>-2.9</v>
      </c>
      <c r="AQ77" s="289">
        <v>-7.7</v>
      </c>
      <c r="AR77" s="289">
        <f>AQ77-AP77</f>
        <v>-4.8000000000000007</v>
      </c>
      <c r="AS77" s="307">
        <f t="shared" si="93"/>
        <v>-1.2479838138995307</v>
      </c>
      <c r="AT77" s="308">
        <v>1</v>
      </c>
      <c r="AU77" s="289">
        <v>2.5</v>
      </c>
      <c r="AV77" s="289">
        <f>AU77-AT77</f>
        <v>1.5</v>
      </c>
      <c r="AW77" s="307">
        <f t="shared" si="94"/>
        <v>0.38999494184360328</v>
      </c>
      <c r="AX77" s="308">
        <v>711</v>
      </c>
      <c r="AY77" s="289">
        <v>1281</v>
      </c>
      <c r="AZ77" s="289">
        <f>AY77-AX77</f>
        <v>570</v>
      </c>
      <c r="BA77" s="307">
        <f t="shared" si="95"/>
        <v>148.19807790056925</v>
      </c>
      <c r="BB77" s="308">
        <v>0.9</v>
      </c>
      <c r="BC77" s="289">
        <v>2.1</v>
      </c>
      <c r="BD77" s="289">
        <f>BC77-BB77</f>
        <v>1.2000000000000002</v>
      </c>
      <c r="BE77" s="307">
        <f t="shared" si="96"/>
        <v>0.31199595347488268</v>
      </c>
      <c r="BF77" s="308">
        <v>0</v>
      </c>
      <c r="BG77" s="289">
        <v>0</v>
      </c>
      <c r="BH77" s="289">
        <f>BG77-BF77</f>
        <v>0</v>
      </c>
      <c r="BI77" s="307">
        <f t="shared" si="97"/>
        <v>0</v>
      </c>
      <c r="BJ77" s="281">
        <v>96.438406000000001</v>
      </c>
      <c r="BK77" s="281">
        <v>95.678507999999994</v>
      </c>
      <c r="BL77" s="281">
        <f>BK77-BJ77</f>
        <v>-0.75989800000000685</v>
      </c>
      <c r="BM77" s="408">
        <v>0</v>
      </c>
      <c r="BN77" s="458">
        <v>0</v>
      </c>
      <c r="BO77" s="458">
        <f>BN77-BM77</f>
        <v>0</v>
      </c>
      <c r="BP77" s="408">
        <v>0.9</v>
      </c>
      <c r="BQ77" s="458">
        <v>2.1</v>
      </c>
      <c r="BR77" s="458">
        <f>BQ77-BP77</f>
        <v>1.2000000000000002</v>
      </c>
      <c r="BS77" s="281"/>
      <c r="BT77" s="281"/>
      <c r="BU77" s="281"/>
      <c r="BV77" s="281"/>
      <c r="BW77" s="298" t="s">
        <v>713</v>
      </c>
      <c r="BX77" s="422">
        <v>1349.58595279</v>
      </c>
      <c r="BY77" s="422">
        <v>-1.5394281700000001</v>
      </c>
      <c r="BZ77" s="422">
        <v>3363.5849543700001</v>
      </c>
      <c r="CA77" s="422">
        <v>3416.1745070000002</v>
      </c>
      <c r="CB77" s="422">
        <v>2.69794</v>
      </c>
      <c r="CC77" s="422">
        <v>2.7417277499999999</v>
      </c>
      <c r="CD77" s="422">
        <v>-0.35807140999999998</v>
      </c>
      <c r="CE77" s="422">
        <v>3.8460099400000001</v>
      </c>
      <c r="CF77" s="422">
        <v>3.85983089</v>
      </c>
      <c r="CG77" s="422">
        <v>-1.2591240500000001</v>
      </c>
      <c r="CH77" s="422">
        <v>-1.5970861700000001</v>
      </c>
      <c r="CI77" s="422">
        <v>0.71726880999999998</v>
      </c>
    </row>
    <row r="78" spans="1:87" ht="15" customHeight="1" x14ac:dyDescent="0.2">
      <c r="A78" s="297">
        <f>A77</f>
        <v>62009019</v>
      </c>
      <c r="B78" s="297" t="s">
        <v>609</v>
      </c>
      <c r="C78" s="297" t="s">
        <v>628</v>
      </c>
      <c r="D78" s="326" t="s">
        <v>778</v>
      </c>
      <c r="E78" s="283" t="s">
        <v>846</v>
      </c>
      <c r="F78" s="310" t="str">
        <f t="shared" si="87"/>
        <v>09/16/20</v>
      </c>
      <c r="G78" s="298" t="s">
        <v>847</v>
      </c>
      <c r="H78" s="298" t="s">
        <v>775</v>
      </c>
      <c r="I78" s="306"/>
      <c r="J78" s="300">
        <f>AVERAGE(J76:J77)</f>
        <v>23.067756500000002</v>
      </c>
      <c r="K78" s="300">
        <f>AVERAGE(K76:K77)</f>
        <v>43.215669000000005</v>
      </c>
      <c r="L78" s="300">
        <f>AVERAGE(L76:L77)</f>
        <v>29.345340499999999</v>
      </c>
      <c r="M78" s="300">
        <f>AVERAGE(M76:M77)</f>
        <v>26.0850875</v>
      </c>
      <c r="N78" s="286"/>
      <c r="O78" s="284"/>
      <c r="P78" s="302"/>
      <c r="Q78" s="301"/>
      <c r="R78" s="287">
        <f>R77+R76</f>
        <v>7.4265128899999997</v>
      </c>
      <c r="S78" s="287">
        <f>S77</f>
        <v>7.4265128899999997</v>
      </c>
      <c r="T78" s="315">
        <f>T76</f>
        <v>97.326480000000004</v>
      </c>
      <c r="U78" s="315">
        <f>U77</f>
        <v>95.678507999999994</v>
      </c>
      <c r="V78" s="290">
        <f>V76</f>
        <v>9</v>
      </c>
      <c r="W78" s="290">
        <f>W77</f>
        <v>1284</v>
      </c>
      <c r="X78" s="290">
        <f>SUM(X76:X77)</f>
        <v>1275</v>
      </c>
      <c r="Y78" s="290">
        <f t="shared" si="88"/>
        <v>171.68219040147656</v>
      </c>
      <c r="Z78" s="290">
        <f>Z76</f>
        <v>8.6999999999999993</v>
      </c>
      <c r="AA78" s="290">
        <f>AA77</f>
        <v>68.599999999999994</v>
      </c>
      <c r="AB78" s="290">
        <f>SUM(AB76:AB77)</f>
        <v>59.899999999999991</v>
      </c>
      <c r="AC78" s="290">
        <f t="shared" si="89"/>
        <v>8.065696631410546</v>
      </c>
      <c r="AD78" s="290">
        <f>AD76</f>
        <v>7.73</v>
      </c>
      <c r="AE78" s="290">
        <f>AE77</f>
        <v>58.88</v>
      </c>
      <c r="AF78" s="290">
        <f>SUM(AF76:AF77)</f>
        <v>51.144759000000001</v>
      </c>
      <c r="AG78" s="290">
        <f t="shared" si="90"/>
        <v>6.8867798060201038</v>
      </c>
      <c r="AH78" s="290">
        <f>AH76</f>
        <v>0.70839099999999999</v>
      </c>
      <c r="AI78" s="290">
        <f>AI77</f>
        <v>2.84</v>
      </c>
      <c r="AJ78" s="290">
        <f>SUM(AJ76:AJ77)</f>
        <v>2.1316090000000001</v>
      </c>
      <c r="AK78" s="288">
        <f t="shared" si="91"/>
        <v>0.28702690368588318</v>
      </c>
      <c r="AL78" s="290">
        <f>AL76</f>
        <v>-0.3</v>
      </c>
      <c r="AM78" s="290">
        <f>AM77</f>
        <v>-6.2</v>
      </c>
      <c r="AN78" s="290">
        <f>SUM(AN76:AN77)</f>
        <v>-5.9</v>
      </c>
      <c r="AO78" s="288">
        <f t="shared" si="92"/>
        <v>-0.79445092028918574</v>
      </c>
      <c r="AP78" s="290">
        <f>AP76</f>
        <v>-0.2</v>
      </c>
      <c r="AQ78" s="290">
        <f>AQ77</f>
        <v>-7.7</v>
      </c>
      <c r="AR78" s="290">
        <f>SUM(AR76:AR77)</f>
        <v>-7.5</v>
      </c>
      <c r="AS78" s="288">
        <f t="shared" si="93"/>
        <v>-1.0098952376557446</v>
      </c>
      <c r="AT78" s="290">
        <f>AT76</f>
        <v>0.1</v>
      </c>
      <c r="AU78" s="290">
        <f>AU77</f>
        <v>2.5</v>
      </c>
      <c r="AV78" s="290">
        <f>SUM(AV76:AV77)</f>
        <v>2.4</v>
      </c>
      <c r="AW78" s="288">
        <f t="shared" si="94"/>
        <v>0.32316647604983822</v>
      </c>
      <c r="AX78" s="290">
        <f>AX76</f>
        <v>9</v>
      </c>
      <c r="AY78" s="290">
        <f>AY77</f>
        <v>1281</v>
      </c>
      <c r="AZ78" s="290">
        <f>SUM(AZ76:AZ77)</f>
        <v>1272</v>
      </c>
      <c r="BA78" s="288">
        <f t="shared" si="95"/>
        <v>171.27823230641428</v>
      </c>
      <c r="BB78" s="290">
        <f>BB76</f>
        <v>0.2</v>
      </c>
      <c r="BC78" s="290">
        <f>BC77</f>
        <v>2.1</v>
      </c>
      <c r="BD78" s="290">
        <f>SUM(BD76:BD77)</f>
        <v>1.9000000000000001</v>
      </c>
      <c r="BE78" s="288">
        <f t="shared" si="96"/>
        <v>0.25584012687278862</v>
      </c>
      <c r="BF78" s="290">
        <f>BF76</f>
        <v>0</v>
      </c>
      <c r="BG78" s="290">
        <f>BG77</f>
        <v>0</v>
      </c>
      <c r="BH78" s="290">
        <f>SUM(BH76:BH77)</f>
        <v>0</v>
      </c>
      <c r="BI78" s="288">
        <f t="shared" si="97"/>
        <v>0</v>
      </c>
      <c r="BJ78" s="282"/>
      <c r="BK78" s="282"/>
      <c r="BL78" s="282">
        <f>SUM(BL76:BL77)</f>
        <v>-1.64797200000001</v>
      </c>
      <c r="BM78" s="459">
        <f>BM76</f>
        <v>0</v>
      </c>
      <c r="BN78" s="459">
        <f>BN77</f>
        <v>0</v>
      </c>
      <c r="BO78" s="459">
        <f>SUM(BO76:BO77)</f>
        <v>0</v>
      </c>
      <c r="BP78" s="459">
        <f>BP76</f>
        <v>0.2</v>
      </c>
      <c r="BQ78" s="459">
        <f>BQ77</f>
        <v>2.1</v>
      </c>
      <c r="BR78" s="459">
        <f>SUM(BR76:BR77)</f>
        <v>1.9000000000000001</v>
      </c>
      <c r="BS78" s="282"/>
      <c r="BT78" s="282"/>
      <c r="BU78" s="282"/>
      <c r="BV78" s="282"/>
      <c r="BW78" s="298" t="s">
        <v>713</v>
      </c>
    </row>
    <row r="79" spans="1:87" ht="15" customHeight="1" x14ac:dyDescent="0.2">
      <c r="A79" s="297">
        <f t="shared" ref="A79:A85" si="98">A78</f>
        <v>62009019</v>
      </c>
      <c r="B79" s="297" t="s">
        <v>610</v>
      </c>
      <c r="C79" s="297" t="s">
        <v>629</v>
      </c>
      <c r="D79" s="326" t="s">
        <v>778</v>
      </c>
      <c r="E79" s="283" t="s">
        <v>846</v>
      </c>
      <c r="F79" s="310" t="str">
        <f t="shared" si="87"/>
        <v>09/16/20</v>
      </c>
      <c r="G79" s="298" t="s">
        <v>847</v>
      </c>
      <c r="H79" s="298" t="s">
        <v>775</v>
      </c>
      <c r="I79" s="306"/>
      <c r="J79" s="299">
        <v>24.913674</v>
      </c>
      <c r="K79" s="299">
        <v>39.097014000000001</v>
      </c>
      <c r="L79" s="299">
        <v>29.345827</v>
      </c>
      <c r="M79" s="299">
        <v>28.144957000000002</v>
      </c>
      <c r="N79" s="284">
        <v>3875</v>
      </c>
      <c r="O79" s="284">
        <v>28.39</v>
      </c>
      <c r="P79" s="284">
        <v>0.20169999999999999</v>
      </c>
      <c r="Q79" s="284">
        <v>1.932E-2</v>
      </c>
      <c r="R79" s="285">
        <v>10.24731203</v>
      </c>
      <c r="S79" s="285">
        <f>R79+R78</f>
        <v>17.673824920000001</v>
      </c>
      <c r="T79" s="314">
        <v>95.676981999999995</v>
      </c>
      <c r="U79" s="314">
        <v>92.916629</v>
      </c>
      <c r="V79" s="289">
        <v>1285</v>
      </c>
      <c r="W79" s="289">
        <v>3349</v>
      </c>
      <c r="X79" s="289">
        <f>W79-V79</f>
        <v>2064</v>
      </c>
      <c r="Y79" s="289">
        <f t="shared" si="88"/>
        <v>201.41867388808302</v>
      </c>
      <c r="Z79" s="308">
        <v>69.400000000000006</v>
      </c>
      <c r="AA79" s="289">
        <v>104.6</v>
      </c>
      <c r="AB79" s="289">
        <f>AA79-Z79</f>
        <v>35.199999999999989</v>
      </c>
      <c r="AC79" s="289">
        <f t="shared" si="89"/>
        <v>3.4350471515797092</v>
      </c>
      <c r="AD79" s="308">
        <v>59.524906000000001</v>
      </c>
      <c r="AE79" s="289">
        <v>89.69</v>
      </c>
      <c r="AF79" s="289">
        <f>AE79-AD79</f>
        <v>30.165093999999996</v>
      </c>
      <c r="AG79" s="289">
        <f t="shared" si="90"/>
        <v>2.9437079608475627</v>
      </c>
      <c r="AH79" s="308">
        <v>2.85</v>
      </c>
      <c r="AI79" s="289">
        <v>3.35</v>
      </c>
      <c r="AJ79" s="289">
        <f>AI79-AH79</f>
        <v>0.5</v>
      </c>
      <c r="AK79" s="307">
        <f t="shared" si="91"/>
        <v>4.8793283403120891E-2</v>
      </c>
      <c r="AL79" s="308">
        <v>-6.2</v>
      </c>
      <c r="AM79" s="289">
        <v>-9.5</v>
      </c>
      <c r="AN79" s="289">
        <f>AM79-AL79</f>
        <v>-3.3</v>
      </c>
      <c r="AO79" s="307">
        <f t="shared" si="92"/>
        <v>-0.32203567046059783</v>
      </c>
      <c r="AP79" s="308">
        <v>-7.8</v>
      </c>
      <c r="AQ79" s="289">
        <v>-11.9</v>
      </c>
      <c r="AR79" s="289">
        <f>AQ79-AP79</f>
        <v>-4.1000000000000005</v>
      </c>
      <c r="AS79" s="307">
        <f t="shared" si="93"/>
        <v>-0.40010492390559133</v>
      </c>
      <c r="AT79" s="308">
        <v>2.6</v>
      </c>
      <c r="AU79" s="289">
        <v>3.9</v>
      </c>
      <c r="AV79" s="289">
        <f>AU79-AT79</f>
        <v>1.2999999999999998</v>
      </c>
      <c r="AW79" s="307">
        <f t="shared" si="94"/>
        <v>0.1268625368481143</v>
      </c>
      <c r="AX79" s="308">
        <v>1282</v>
      </c>
      <c r="AY79" s="289">
        <v>3345</v>
      </c>
      <c r="AZ79" s="289">
        <f>AY79-AX79</f>
        <v>2063</v>
      </c>
      <c r="BA79" s="307">
        <f t="shared" si="95"/>
        <v>201.32108732127679</v>
      </c>
      <c r="BB79" s="308">
        <v>2.1</v>
      </c>
      <c r="BC79" s="289">
        <v>3.2</v>
      </c>
      <c r="BD79" s="289">
        <f>BC79-BB79</f>
        <v>1.1000000000000001</v>
      </c>
      <c r="BE79" s="307">
        <f t="shared" si="96"/>
        <v>0.10734522348686597</v>
      </c>
      <c r="BF79" s="308">
        <v>0</v>
      </c>
      <c r="BG79" s="289">
        <v>0</v>
      </c>
      <c r="BH79" s="289">
        <f>BG79-BF79</f>
        <v>0</v>
      </c>
      <c r="BI79" s="307">
        <f t="shared" si="97"/>
        <v>0</v>
      </c>
      <c r="BJ79" s="281">
        <v>95.676981999999995</v>
      </c>
      <c r="BK79" s="281">
        <v>92.916629</v>
      </c>
      <c r="BL79" s="281">
        <f>BK79-BJ79</f>
        <v>-2.7603529999999949</v>
      </c>
      <c r="BM79" s="408">
        <v>0</v>
      </c>
      <c r="BN79" s="458">
        <v>0</v>
      </c>
      <c r="BO79" s="458">
        <f>BN79-BM79</f>
        <v>0</v>
      </c>
      <c r="BP79" s="408">
        <v>2.1</v>
      </c>
      <c r="BQ79" s="458">
        <v>3.2</v>
      </c>
      <c r="BR79" s="458">
        <f>BQ79-BP79</f>
        <v>1.1000000000000001</v>
      </c>
      <c r="BS79" s="281"/>
      <c r="BT79" s="281"/>
      <c r="BU79" s="281"/>
      <c r="BV79" s="281"/>
      <c r="BW79" s="298" t="s">
        <v>713</v>
      </c>
      <c r="BX79" s="422">
        <v>1773.3726735499999</v>
      </c>
      <c r="BY79" s="422">
        <v>1.3277825599999999</v>
      </c>
      <c r="BZ79" s="422">
        <v>1324.0786258799999</v>
      </c>
      <c r="CA79" s="422">
        <v>1306.72811787</v>
      </c>
      <c r="CB79" s="422">
        <v>7.3020220599999996</v>
      </c>
      <c r="CC79" s="422">
        <v>7.3154071299999996</v>
      </c>
      <c r="CD79" s="422">
        <v>-9.0477109999999999E-2</v>
      </c>
      <c r="CE79" s="422">
        <v>10.247400300000001</v>
      </c>
      <c r="CF79" s="422">
        <v>10.25668025</v>
      </c>
      <c r="CG79" s="422">
        <v>-9.2663350000000005E-2</v>
      </c>
      <c r="CH79" s="422">
        <v>-0.18297092000000001</v>
      </c>
      <c r="CI79" s="422">
        <v>0.28265163999999998</v>
      </c>
    </row>
    <row r="80" spans="1:87" ht="15" customHeight="1" x14ac:dyDescent="0.2">
      <c r="A80" s="297">
        <f t="shared" si="98"/>
        <v>62009019</v>
      </c>
      <c r="B80" s="297" t="s">
        <v>611</v>
      </c>
      <c r="C80" s="297" t="s">
        <v>630</v>
      </c>
      <c r="D80" s="326" t="s">
        <v>778</v>
      </c>
      <c r="E80" s="283" t="s">
        <v>846</v>
      </c>
      <c r="F80" s="310" t="str">
        <f t="shared" si="87"/>
        <v>09/16/20</v>
      </c>
      <c r="G80" s="298" t="s">
        <v>847</v>
      </c>
      <c r="H80" s="298" t="s">
        <v>775</v>
      </c>
      <c r="I80" s="306"/>
      <c r="J80" s="299">
        <v>20.431985999999998</v>
      </c>
      <c r="K80" s="299">
        <v>52.388984000000001</v>
      </c>
      <c r="L80" s="299">
        <v>29.335747999999999</v>
      </c>
      <c r="M80" s="299">
        <v>27.674181999999998</v>
      </c>
      <c r="N80" s="284">
        <v>3875</v>
      </c>
      <c r="O80" s="284">
        <v>28.39</v>
      </c>
      <c r="P80" s="284">
        <v>0.20169999999999999</v>
      </c>
      <c r="Q80" s="284">
        <v>1.932E-2</v>
      </c>
      <c r="R80" s="285">
        <v>3.58287171</v>
      </c>
      <c r="S80" s="285">
        <f>R80+R79</f>
        <v>13.830183739999999</v>
      </c>
      <c r="T80" s="314">
        <v>92.908998999999994</v>
      </c>
      <c r="U80" s="314">
        <v>92.025503</v>
      </c>
      <c r="V80" s="289">
        <v>3356</v>
      </c>
      <c r="W80" s="289">
        <v>4010</v>
      </c>
      <c r="X80" s="289">
        <f>W80-V80</f>
        <v>654</v>
      </c>
      <c r="Y80" s="289">
        <f t="shared" si="88"/>
        <v>182.53514301800107</v>
      </c>
      <c r="Z80" s="308">
        <v>111.4</v>
      </c>
      <c r="AA80" s="289">
        <v>133.69999999999999</v>
      </c>
      <c r="AB80" s="289">
        <f>AA80-Z80</f>
        <v>22.299999999999983</v>
      </c>
      <c r="AC80" s="289">
        <f t="shared" si="89"/>
        <v>6.2240576289012548</v>
      </c>
      <c r="AD80" s="308">
        <v>95.73</v>
      </c>
      <c r="AE80" s="289">
        <v>114.813936</v>
      </c>
      <c r="AF80" s="289">
        <f>AE80-AD80</f>
        <v>19.083935999999994</v>
      </c>
      <c r="AG80" s="289">
        <f t="shared" si="90"/>
        <v>5.3264357601014956</v>
      </c>
      <c r="AH80" s="308">
        <v>13.914097</v>
      </c>
      <c r="AI80" s="289">
        <v>14.77</v>
      </c>
      <c r="AJ80" s="289">
        <f>AI80-AH80</f>
        <v>0.85590299999999964</v>
      </c>
      <c r="AK80" s="307">
        <f t="shared" si="91"/>
        <v>0.23888742586320502</v>
      </c>
      <c r="AL80" s="308">
        <v>-9.8000000000000007</v>
      </c>
      <c r="AM80" s="289">
        <v>-12</v>
      </c>
      <c r="AN80" s="289">
        <f>AM80-AL80</f>
        <v>-2.1999999999999993</v>
      </c>
      <c r="AO80" s="307">
        <f t="shared" si="92"/>
        <v>-0.61403259119205222</v>
      </c>
      <c r="AP80" s="308">
        <v>-12</v>
      </c>
      <c r="AQ80" s="289">
        <v>-14.8</v>
      </c>
      <c r="AR80" s="289">
        <f>AQ80-AP80</f>
        <v>-2.8000000000000007</v>
      </c>
      <c r="AS80" s="307">
        <f t="shared" si="93"/>
        <v>-0.78149602515352157</v>
      </c>
      <c r="AT80" s="308">
        <v>4</v>
      </c>
      <c r="AU80" s="289">
        <v>4.9000000000000004</v>
      </c>
      <c r="AV80" s="289">
        <f>AU80-AT80</f>
        <v>0.90000000000000036</v>
      </c>
      <c r="AW80" s="307">
        <f t="shared" si="94"/>
        <v>0.2511951509422034</v>
      </c>
      <c r="AX80" s="308">
        <v>3352</v>
      </c>
      <c r="AY80" s="289">
        <v>4005</v>
      </c>
      <c r="AZ80" s="289">
        <f>AY80-AX80</f>
        <v>653</v>
      </c>
      <c r="BA80" s="307">
        <f t="shared" si="95"/>
        <v>182.25603729473193</v>
      </c>
      <c r="BB80" s="308">
        <v>4</v>
      </c>
      <c r="BC80" s="289">
        <v>4.7</v>
      </c>
      <c r="BD80" s="289">
        <f>BC80-BB80</f>
        <v>0.70000000000000018</v>
      </c>
      <c r="BE80" s="307">
        <f t="shared" si="96"/>
        <v>0.19537400628838039</v>
      </c>
      <c r="BF80" s="308">
        <v>0</v>
      </c>
      <c r="BG80" s="289">
        <v>0</v>
      </c>
      <c r="BH80" s="289">
        <f>BG80-BF80</f>
        <v>0</v>
      </c>
      <c r="BI80" s="307">
        <f t="shared" si="97"/>
        <v>0</v>
      </c>
      <c r="BJ80" s="281">
        <v>92.908998999999994</v>
      </c>
      <c r="BK80" s="281">
        <v>92.025503</v>
      </c>
      <c r="BL80" s="281">
        <f>BK80-BJ80</f>
        <v>-0.88349599999999384</v>
      </c>
      <c r="BM80" s="408">
        <v>0</v>
      </c>
      <c r="BN80" s="458">
        <v>0</v>
      </c>
      <c r="BO80" s="458">
        <f>BN80-BM80</f>
        <v>0</v>
      </c>
      <c r="BP80" s="408">
        <v>4</v>
      </c>
      <c r="BQ80" s="458">
        <v>4.7</v>
      </c>
      <c r="BR80" s="458">
        <f>BQ80-BP80</f>
        <v>0.70000000000000018</v>
      </c>
      <c r="BS80" s="281"/>
      <c r="BT80" s="281"/>
      <c r="BU80" s="281"/>
      <c r="BV80" s="281"/>
      <c r="BW80" s="298" t="s">
        <v>713</v>
      </c>
      <c r="BX80" s="422">
        <v>2196.24492835</v>
      </c>
      <c r="BY80" s="422">
        <v>-1.07532077</v>
      </c>
      <c r="BZ80" s="422">
        <v>2026.6226950400001</v>
      </c>
      <c r="CA80" s="422">
        <v>2048.6522784200001</v>
      </c>
      <c r="CB80" s="422">
        <v>2.9312067599999998</v>
      </c>
      <c r="CC80" s="422">
        <v>2.9656598999999999</v>
      </c>
      <c r="CD80" s="422">
        <v>-0.23034400999999999</v>
      </c>
      <c r="CE80" s="422">
        <v>3.5827109699999999</v>
      </c>
      <c r="CF80" s="422">
        <v>3.5909825899999999</v>
      </c>
      <c r="CG80" s="422">
        <v>-0.94233975999999997</v>
      </c>
      <c r="CH80" s="422">
        <v>-1.16173627</v>
      </c>
      <c r="CI80" s="422">
        <v>0.59138225</v>
      </c>
    </row>
    <row r="81" spans="1:87" ht="15" customHeight="1" x14ac:dyDescent="0.2">
      <c r="A81" s="297">
        <f t="shared" si="98"/>
        <v>62009019</v>
      </c>
      <c r="B81" s="297" t="s">
        <v>224</v>
      </c>
      <c r="C81" s="297" t="s">
        <v>631</v>
      </c>
      <c r="D81" s="326" t="s">
        <v>778</v>
      </c>
      <c r="E81" s="283" t="s">
        <v>846</v>
      </c>
      <c r="F81" s="310" t="str">
        <f t="shared" si="87"/>
        <v>09/16/20</v>
      </c>
      <c r="G81" s="298" t="s">
        <v>847</v>
      </c>
      <c r="H81" s="298" t="s">
        <v>775</v>
      </c>
      <c r="I81" s="306"/>
      <c r="J81" s="299">
        <v>19.908556999999998</v>
      </c>
      <c r="K81" s="299">
        <v>55.180821000000002</v>
      </c>
      <c r="L81" s="299">
        <v>29.338146999999999</v>
      </c>
      <c r="M81" s="299">
        <v>27.108041</v>
      </c>
      <c r="N81" s="284">
        <v>3875</v>
      </c>
      <c r="O81" s="284">
        <v>28.39</v>
      </c>
      <c r="P81" s="284">
        <v>0.20169999999999999</v>
      </c>
      <c r="Q81" s="284">
        <v>1.932E-2</v>
      </c>
      <c r="R81" s="285">
        <v>3.8460589199999999</v>
      </c>
      <c r="S81" s="285">
        <f>R81+R80</f>
        <v>7.42893063</v>
      </c>
      <c r="T81" s="314">
        <v>92.025503</v>
      </c>
      <c r="U81" s="314">
        <v>91.265604999999994</v>
      </c>
      <c r="V81" s="289">
        <v>4010</v>
      </c>
      <c r="W81" s="289">
        <v>4574</v>
      </c>
      <c r="X81" s="289">
        <f>W81-V81</f>
        <v>564</v>
      </c>
      <c r="Y81" s="289">
        <f t="shared" si="88"/>
        <v>146.64361928183877</v>
      </c>
      <c r="Z81" s="308">
        <v>133.69999999999999</v>
      </c>
      <c r="AA81" s="289">
        <v>172.2</v>
      </c>
      <c r="AB81" s="289">
        <f>AA81-Z81</f>
        <v>38.5</v>
      </c>
      <c r="AC81" s="289">
        <f t="shared" si="89"/>
        <v>10.010247060905661</v>
      </c>
      <c r="AD81" s="308">
        <v>114.82</v>
      </c>
      <c r="AE81" s="289">
        <v>147.72999999999999</v>
      </c>
      <c r="AF81" s="289">
        <f>AE81-AD81</f>
        <v>32.909999999999997</v>
      </c>
      <c r="AG81" s="289">
        <f t="shared" si="90"/>
        <v>8.5568111889455913</v>
      </c>
      <c r="AH81" s="308">
        <v>14.77</v>
      </c>
      <c r="AI81" s="289">
        <v>14.92</v>
      </c>
      <c r="AJ81" s="289">
        <f>AI81-AH81</f>
        <v>0.15000000000000036</v>
      </c>
      <c r="AK81" s="307">
        <f t="shared" si="91"/>
        <v>3.9000962574957214E-2</v>
      </c>
      <c r="AL81" s="308">
        <v>-12</v>
      </c>
      <c r="AM81" s="289">
        <v>-15.8</v>
      </c>
      <c r="AN81" s="289">
        <f>AM81-AL81</f>
        <v>-3.8000000000000007</v>
      </c>
      <c r="AO81" s="307">
        <f t="shared" si="92"/>
        <v>-0.98802438523224723</v>
      </c>
      <c r="AP81" s="308">
        <v>-14.8</v>
      </c>
      <c r="AQ81" s="289">
        <v>-19.399999999999999</v>
      </c>
      <c r="AR81" s="289">
        <f>AQ81-AP81</f>
        <v>-4.5999999999999979</v>
      </c>
      <c r="AS81" s="307">
        <f t="shared" si="93"/>
        <v>-1.1960295189653511</v>
      </c>
      <c r="AT81" s="308">
        <v>4.9000000000000004</v>
      </c>
      <c r="AU81" s="289">
        <v>6.4</v>
      </c>
      <c r="AV81" s="289">
        <f>AU81-AT81</f>
        <v>1.5</v>
      </c>
      <c r="AW81" s="307">
        <f t="shared" si="94"/>
        <v>0.39000962574957121</v>
      </c>
      <c r="AX81" s="308">
        <v>4005</v>
      </c>
      <c r="AY81" s="289">
        <v>4567</v>
      </c>
      <c r="AZ81" s="289">
        <f>AY81-AX81</f>
        <v>562</v>
      </c>
      <c r="BA81" s="307">
        <f t="shared" si="95"/>
        <v>146.12360644750601</v>
      </c>
      <c r="BB81" s="308">
        <v>4.7</v>
      </c>
      <c r="BC81" s="289">
        <v>5.8</v>
      </c>
      <c r="BD81" s="289">
        <f>BC81-BB81</f>
        <v>1.0999999999999996</v>
      </c>
      <c r="BE81" s="307">
        <f t="shared" si="96"/>
        <v>0.28600705888301881</v>
      </c>
      <c r="BF81" s="308">
        <v>0</v>
      </c>
      <c r="BG81" s="289">
        <v>0</v>
      </c>
      <c r="BH81" s="289">
        <f>BG81-BF81</f>
        <v>0</v>
      </c>
      <c r="BI81" s="307">
        <f t="shared" si="97"/>
        <v>0</v>
      </c>
      <c r="BJ81" s="281">
        <v>92.025503</v>
      </c>
      <c r="BK81" s="281">
        <v>91.265604999999994</v>
      </c>
      <c r="BL81" s="281">
        <f>BK81-BJ81</f>
        <v>-0.75989800000000685</v>
      </c>
      <c r="BM81" s="408">
        <v>0</v>
      </c>
      <c r="BN81" s="458">
        <v>0</v>
      </c>
      <c r="BO81" s="458">
        <f>BN81-BM81</f>
        <v>0</v>
      </c>
      <c r="BP81" s="408">
        <v>4.7</v>
      </c>
      <c r="BQ81" s="458">
        <v>5.8</v>
      </c>
      <c r="BR81" s="458">
        <f>BQ81-BP81</f>
        <v>1.0999999999999996</v>
      </c>
      <c r="BS81" s="281"/>
      <c r="BT81" s="281"/>
      <c r="BU81" s="281"/>
      <c r="BV81" s="281"/>
      <c r="BW81" s="298" t="s">
        <v>713</v>
      </c>
      <c r="BX81" s="422">
        <v>1348.1576591800001</v>
      </c>
      <c r="BY81" s="422">
        <v>-1.44200379</v>
      </c>
      <c r="BZ81" s="422">
        <v>3366.7317023400001</v>
      </c>
      <c r="CA81" s="422">
        <v>3415.9904137399999</v>
      </c>
      <c r="CB81" s="422">
        <v>2.70230243</v>
      </c>
      <c r="CC81" s="422">
        <v>2.74148068</v>
      </c>
      <c r="CD81" s="422">
        <v>-0.36260395000000001</v>
      </c>
      <c r="CE81" s="422">
        <v>3.84583334</v>
      </c>
      <c r="CF81" s="422">
        <v>3.8598292299999999</v>
      </c>
      <c r="CG81" s="422">
        <v>-1.08194911</v>
      </c>
      <c r="CH81" s="422">
        <v>-1.42909102</v>
      </c>
      <c r="CI81" s="422">
        <v>0.71728175000000005</v>
      </c>
    </row>
    <row r="82" spans="1:87" ht="15" customHeight="1" x14ac:dyDescent="0.2">
      <c r="A82" s="297">
        <f t="shared" si="98"/>
        <v>62009019</v>
      </c>
      <c r="B82" s="297" t="s">
        <v>612</v>
      </c>
      <c r="C82" s="297" t="s">
        <v>632</v>
      </c>
      <c r="D82" s="326" t="s">
        <v>778</v>
      </c>
      <c r="E82" s="283" t="s">
        <v>846</v>
      </c>
      <c r="F82" s="310" t="str">
        <f t="shared" si="87"/>
        <v>09/16/20</v>
      </c>
      <c r="G82" s="298" t="s">
        <v>847</v>
      </c>
      <c r="H82" s="298" t="s">
        <v>775</v>
      </c>
      <c r="I82" s="306"/>
      <c r="J82" s="300">
        <f>AVERAGE(J80:J81)</f>
        <v>20.170271499999998</v>
      </c>
      <c r="K82" s="300">
        <f>AVERAGE(K80:K81)</f>
        <v>53.784902500000001</v>
      </c>
      <c r="L82" s="300">
        <f>AVERAGE(L80:L81)</f>
        <v>29.336947500000001</v>
      </c>
      <c r="M82" s="300">
        <f>AVERAGE(M80:M81)</f>
        <v>27.391111500000001</v>
      </c>
      <c r="N82" s="286"/>
      <c r="O82" s="284"/>
      <c r="P82" s="302"/>
      <c r="Q82" s="301"/>
      <c r="R82" s="287">
        <f>R81+R80</f>
        <v>7.42893063</v>
      </c>
      <c r="S82" s="287">
        <f>S81</f>
        <v>7.42893063</v>
      </c>
      <c r="T82" s="315">
        <f>T80</f>
        <v>92.908998999999994</v>
      </c>
      <c r="U82" s="315">
        <f>U81</f>
        <v>91.265604999999994</v>
      </c>
      <c r="V82" s="290">
        <f>V80</f>
        <v>3356</v>
      </c>
      <c r="W82" s="290">
        <f>W81</f>
        <v>4574</v>
      </c>
      <c r="X82" s="290">
        <f>SUM(X80:X81)</f>
        <v>1218</v>
      </c>
      <c r="Y82" s="290">
        <f t="shared" si="88"/>
        <v>163.95361064234356</v>
      </c>
      <c r="Z82" s="290">
        <f>Z80</f>
        <v>111.4</v>
      </c>
      <c r="AA82" s="290">
        <f>AA81</f>
        <v>172.2</v>
      </c>
      <c r="AB82" s="290">
        <f>SUM(AB80:AB81)</f>
        <v>60.799999999999983</v>
      </c>
      <c r="AC82" s="290">
        <f t="shared" si="89"/>
        <v>8.1842196445439122</v>
      </c>
      <c r="AD82" s="290">
        <f>AD80</f>
        <v>95.73</v>
      </c>
      <c r="AE82" s="290">
        <f>AE81</f>
        <v>147.72999999999999</v>
      </c>
      <c r="AF82" s="290">
        <f>SUM(AF80:AF81)</f>
        <v>51.993935999999991</v>
      </c>
      <c r="AG82" s="290">
        <f t="shared" si="90"/>
        <v>6.9988452698743249</v>
      </c>
      <c r="AH82" s="290">
        <f>AH80</f>
        <v>13.914097</v>
      </c>
      <c r="AI82" s="290">
        <f>AI81</f>
        <v>14.92</v>
      </c>
      <c r="AJ82" s="290">
        <f>SUM(AJ80:AJ81)</f>
        <v>1.005903</v>
      </c>
      <c r="AK82" s="288">
        <f t="shared" si="91"/>
        <v>0.13540347192607988</v>
      </c>
      <c r="AL82" s="290">
        <f>AL80</f>
        <v>-9.8000000000000007</v>
      </c>
      <c r="AM82" s="290">
        <f>AM81</f>
        <v>-15.8</v>
      </c>
      <c r="AN82" s="290">
        <f>SUM(AN80:AN81)</f>
        <v>-6</v>
      </c>
      <c r="AO82" s="288">
        <f t="shared" si="92"/>
        <v>-0.80765325439578106</v>
      </c>
      <c r="AP82" s="290">
        <f>AP80</f>
        <v>-12</v>
      </c>
      <c r="AQ82" s="290">
        <f>AQ81</f>
        <v>-19.399999999999999</v>
      </c>
      <c r="AR82" s="290">
        <f>SUM(AR80:AR81)</f>
        <v>-7.3999999999999986</v>
      </c>
      <c r="AS82" s="288">
        <f t="shared" si="93"/>
        <v>-0.99610568042146308</v>
      </c>
      <c r="AT82" s="290">
        <f>AT80</f>
        <v>4</v>
      </c>
      <c r="AU82" s="290">
        <f>AU81</f>
        <v>6.4</v>
      </c>
      <c r="AV82" s="290">
        <f>SUM(AV80:AV81)</f>
        <v>2.4000000000000004</v>
      </c>
      <c r="AW82" s="288">
        <f t="shared" si="94"/>
        <v>0.32306130175831249</v>
      </c>
      <c r="AX82" s="290">
        <f>AX80</f>
        <v>3352</v>
      </c>
      <c r="AY82" s="290">
        <f>AY81</f>
        <v>4567</v>
      </c>
      <c r="AZ82" s="290">
        <f>SUM(AZ80:AZ81)</f>
        <v>1215</v>
      </c>
      <c r="BA82" s="288">
        <f t="shared" si="95"/>
        <v>163.54978401514566</v>
      </c>
      <c r="BB82" s="290">
        <f>BB80</f>
        <v>4</v>
      </c>
      <c r="BC82" s="290">
        <f>BC81</f>
        <v>5.8</v>
      </c>
      <c r="BD82" s="290">
        <f>SUM(BD80:BD81)</f>
        <v>1.7999999999999998</v>
      </c>
      <c r="BE82" s="288">
        <f t="shared" si="96"/>
        <v>0.24229597631873429</v>
      </c>
      <c r="BF82" s="290">
        <f>BF80</f>
        <v>0</v>
      </c>
      <c r="BG82" s="290">
        <f>BG81</f>
        <v>0</v>
      </c>
      <c r="BH82" s="290">
        <f>SUM(BH80:BH81)</f>
        <v>0</v>
      </c>
      <c r="BI82" s="288">
        <f t="shared" si="97"/>
        <v>0</v>
      </c>
      <c r="BJ82" s="282"/>
      <c r="BK82" s="282"/>
      <c r="BL82" s="282">
        <f>SUM(BL80:BL81)</f>
        <v>-1.6433940000000007</v>
      </c>
      <c r="BM82" s="459">
        <f>BM80</f>
        <v>0</v>
      </c>
      <c r="BN82" s="459">
        <f>BN81</f>
        <v>0</v>
      </c>
      <c r="BO82" s="459">
        <f>SUM(BO80:BO81)</f>
        <v>0</v>
      </c>
      <c r="BP82" s="459">
        <f>BP80</f>
        <v>4</v>
      </c>
      <c r="BQ82" s="459">
        <f>BQ81</f>
        <v>5.8</v>
      </c>
      <c r="BR82" s="459">
        <f>SUM(BR80:BR81)</f>
        <v>1.7999999999999998</v>
      </c>
      <c r="BS82" s="282"/>
      <c r="BT82" s="282"/>
      <c r="BU82" s="282"/>
      <c r="BV82" s="282"/>
      <c r="BW82" s="298" t="s">
        <v>713</v>
      </c>
    </row>
    <row r="83" spans="1:87" ht="15" customHeight="1" x14ac:dyDescent="0.2">
      <c r="A83" s="297">
        <f t="shared" si="98"/>
        <v>62009019</v>
      </c>
      <c r="B83" s="297" t="s">
        <v>613</v>
      </c>
      <c r="C83" s="297" t="s">
        <v>633</v>
      </c>
      <c r="D83" s="326" t="s">
        <v>778</v>
      </c>
      <c r="E83" s="283" t="s">
        <v>846</v>
      </c>
      <c r="F83" s="310" t="str">
        <f t="shared" si="87"/>
        <v>09/16/20</v>
      </c>
      <c r="G83" s="298" t="s">
        <v>847</v>
      </c>
      <c r="H83" s="298" t="s">
        <v>775</v>
      </c>
      <c r="I83" s="306"/>
      <c r="J83" s="299">
        <v>23.156977999999999</v>
      </c>
      <c r="K83" s="299">
        <v>43.710915</v>
      </c>
      <c r="L83" s="299">
        <v>29.337413000000002</v>
      </c>
      <c r="M83" s="299">
        <v>29.385732000000001</v>
      </c>
      <c r="N83" s="284">
        <v>3875</v>
      </c>
      <c r="O83" s="284">
        <v>28.39</v>
      </c>
      <c r="P83" s="284">
        <v>0.20169999999999999</v>
      </c>
      <c r="Q83" s="284">
        <v>1.932E-2</v>
      </c>
      <c r="R83" s="285">
        <v>1.7643849700000001</v>
      </c>
      <c r="S83" s="285">
        <f>R83+R82</f>
        <v>9.1933156</v>
      </c>
      <c r="T83" s="314">
        <v>91.257975000000002</v>
      </c>
      <c r="U83" s="314">
        <v>88.306884999999994</v>
      </c>
      <c r="V83" s="289">
        <v>4579</v>
      </c>
      <c r="W83" s="289">
        <v>6737</v>
      </c>
      <c r="X83" s="289">
        <f>W83-V83-X84</f>
        <v>461</v>
      </c>
      <c r="Y83" s="289">
        <f t="shared" si="88"/>
        <v>261.28084734251615</v>
      </c>
      <c r="Z83" s="308">
        <v>176.53613899999999</v>
      </c>
      <c r="AA83" s="289">
        <v>204.5</v>
      </c>
      <c r="AB83" s="289">
        <f>AA83-Z83-AB84</f>
        <v>10.963861000000009</v>
      </c>
      <c r="AC83" s="289">
        <f t="shared" si="89"/>
        <v>6.2139845818342057</v>
      </c>
      <c r="AD83" s="308">
        <v>151.43361400000001</v>
      </c>
      <c r="AE83" s="289">
        <v>175.43</v>
      </c>
      <c r="AF83" s="289">
        <f>AE83-AD83-AF84</f>
        <v>9.3163859999999943</v>
      </c>
      <c r="AG83" s="289">
        <f t="shared" si="90"/>
        <v>5.2802456144250618</v>
      </c>
      <c r="AH83" s="308">
        <v>14.93</v>
      </c>
      <c r="AI83" s="289">
        <v>15.04</v>
      </c>
      <c r="AJ83" s="289">
        <f>AI83-AH83-AJ84</f>
        <v>5.0000000000000711E-2</v>
      </c>
      <c r="AK83" s="307">
        <f t="shared" si="91"/>
        <v>2.8338486696585671E-2</v>
      </c>
      <c r="AL83" s="308">
        <v>-16.2</v>
      </c>
      <c r="AM83" s="289">
        <v>-18.7</v>
      </c>
      <c r="AN83" s="289">
        <f>AM83-AL83-AN84</f>
        <v>-0.89999999999999858</v>
      </c>
      <c r="AO83" s="307">
        <f t="shared" si="92"/>
        <v>-0.51009276053853403</v>
      </c>
      <c r="AP83" s="308">
        <v>-19.899999999999999</v>
      </c>
      <c r="AQ83" s="289">
        <v>-23</v>
      </c>
      <c r="AR83" s="289">
        <f>AQ83-AP83-AR84</f>
        <v>-1.2000000000000028</v>
      </c>
      <c r="AS83" s="307">
        <f t="shared" si="93"/>
        <v>-0.68012368071804807</v>
      </c>
      <c r="AT83" s="308">
        <v>6.5</v>
      </c>
      <c r="AU83" s="289">
        <v>7.6</v>
      </c>
      <c r="AV83" s="289">
        <f>AU83-AT83-AV84</f>
        <v>0.49999999999999911</v>
      </c>
      <c r="AW83" s="307">
        <f t="shared" si="94"/>
        <v>0.28338486696585219</v>
      </c>
      <c r="AX83" s="308">
        <v>4572</v>
      </c>
      <c r="AY83" s="289">
        <v>6730</v>
      </c>
      <c r="AZ83" s="289">
        <f>AY83-AX83-AZ84</f>
        <v>461</v>
      </c>
      <c r="BA83" s="307">
        <f t="shared" si="95"/>
        <v>261.28084734251615</v>
      </c>
      <c r="BB83" s="308">
        <v>6</v>
      </c>
      <c r="BC83" s="289">
        <v>6.8</v>
      </c>
      <c r="BD83" s="289">
        <f>BC83-BB83-BD84</f>
        <v>0.29999999999999982</v>
      </c>
      <c r="BE83" s="307">
        <f t="shared" si="96"/>
        <v>0.17003092017951152</v>
      </c>
      <c r="BF83" s="308">
        <v>0</v>
      </c>
      <c r="BG83" s="289">
        <v>0</v>
      </c>
      <c r="BH83" s="289">
        <f>BG83-BF83-BH84</f>
        <v>0</v>
      </c>
      <c r="BI83" s="307">
        <f t="shared" si="97"/>
        <v>0</v>
      </c>
      <c r="BJ83" s="281">
        <v>91.257975000000002</v>
      </c>
      <c r="BK83" s="281">
        <v>88.306884999999994</v>
      </c>
      <c r="BL83" s="281">
        <f>BK83-BJ83-BL84</f>
        <v>-0.637826000000004</v>
      </c>
      <c r="BM83" s="408">
        <v>0</v>
      </c>
      <c r="BN83" s="458">
        <v>0</v>
      </c>
      <c r="BO83" s="458">
        <f>BN83-BM83-BO84</f>
        <v>0</v>
      </c>
      <c r="BP83" s="408">
        <v>6</v>
      </c>
      <c r="BQ83" s="458">
        <v>6.8</v>
      </c>
      <c r="BR83" s="458">
        <f>BQ83-BP83-BR84</f>
        <v>0.29999999999999982</v>
      </c>
      <c r="BS83" s="281"/>
      <c r="BT83" s="281"/>
      <c r="BU83" s="281"/>
      <c r="BV83" s="281"/>
      <c r="BW83" s="298" t="s">
        <v>713</v>
      </c>
      <c r="BX83" s="422">
        <v>5068.4656014399998</v>
      </c>
      <c r="BY83" s="422">
        <v>-2.9428099200000002</v>
      </c>
      <c r="BZ83" s="422">
        <v>2386.91172994</v>
      </c>
      <c r="CA83" s="422">
        <v>2459.28377697</v>
      </c>
      <c r="CB83" s="422">
        <v>2.8529596499999998</v>
      </c>
      <c r="CC83" s="422">
        <v>2.92520384</v>
      </c>
      <c r="CD83" s="422">
        <v>-0.43741825000000001</v>
      </c>
      <c r="CE83" s="422">
        <v>1.76435294</v>
      </c>
      <c r="CF83" s="422">
        <v>1.7721044500000001</v>
      </c>
      <c r="CG83" s="422">
        <v>-2.0837595900000001</v>
      </c>
      <c r="CH83" s="422">
        <v>-2.4697149199999999</v>
      </c>
      <c r="CI83" s="422">
        <v>0.81463595</v>
      </c>
    </row>
    <row r="84" spans="1:87" ht="15" customHeight="1" x14ac:dyDescent="0.2">
      <c r="A84" s="297">
        <f t="shared" si="98"/>
        <v>62009019</v>
      </c>
      <c r="B84" s="297" t="s">
        <v>614</v>
      </c>
      <c r="C84" s="297" t="s">
        <v>634</v>
      </c>
      <c r="D84" s="326" t="s">
        <v>778</v>
      </c>
      <c r="E84" s="283" t="s">
        <v>846</v>
      </c>
      <c r="F84" s="310" t="str">
        <f t="shared" si="87"/>
        <v>09/16/20</v>
      </c>
      <c r="G84" s="298" t="s">
        <v>847</v>
      </c>
      <c r="H84" s="298" t="s">
        <v>775</v>
      </c>
      <c r="I84" s="306"/>
      <c r="J84" s="299">
        <v>27.133032</v>
      </c>
      <c r="K84" s="299">
        <v>34.533636999999999</v>
      </c>
      <c r="L84" s="299">
        <v>29.365555000000001</v>
      </c>
      <c r="M84" s="299">
        <v>29.660903999999999</v>
      </c>
      <c r="N84" s="284">
        <v>3875</v>
      </c>
      <c r="O84" s="284">
        <v>28.39</v>
      </c>
      <c r="P84" s="284">
        <v>0.20169999999999999</v>
      </c>
      <c r="Q84" s="284">
        <v>1.932E-2</v>
      </c>
      <c r="R84" s="285">
        <v>6.2278789100000003</v>
      </c>
      <c r="S84" s="285">
        <f>R84+R83</f>
        <v>7.9922638800000003</v>
      </c>
      <c r="T84" s="314">
        <v>90.818516000000002</v>
      </c>
      <c r="U84" s="314">
        <v>88.505251999999999</v>
      </c>
      <c r="V84" s="289">
        <v>4899</v>
      </c>
      <c r="W84" s="289">
        <v>6596</v>
      </c>
      <c r="X84" s="289">
        <f>W84-V84</f>
        <v>1697</v>
      </c>
      <c r="Y84" s="289">
        <f t="shared" si="88"/>
        <v>272.48442439610631</v>
      </c>
      <c r="Z84" s="308">
        <v>182.6</v>
      </c>
      <c r="AA84" s="289">
        <v>199.6</v>
      </c>
      <c r="AB84" s="289">
        <f>AA84-Z84</f>
        <v>17</v>
      </c>
      <c r="AC84" s="289">
        <f t="shared" si="89"/>
        <v>2.7296612933021844</v>
      </c>
      <c r="AD84" s="308">
        <v>156.59</v>
      </c>
      <c r="AE84" s="289">
        <v>171.27</v>
      </c>
      <c r="AF84" s="289">
        <f>AE84-AD84</f>
        <v>14.680000000000007</v>
      </c>
      <c r="AG84" s="289">
        <f t="shared" si="90"/>
        <v>2.3571428109221229</v>
      </c>
      <c r="AH84" s="308">
        <v>14.96</v>
      </c>
      <c r="AI84" s="289">
        <v>15.02</v>
      </c>
      <c r="AJ84" s="289">
        <f>AI84-AH84</f>
        <v>5.9999999999998721E-2</v>
      </c>
      <c r="AK84" s="307">
        <f t="shared" si="91"/>
        <v>9.6340986822427994E-3</v>
      </c>
      <c r="AL84" s="308">
        <v>-16.7</v>
      </c>
      <c r="AM84" s="289">
        <v>-18.3</v>
      </c>
      <c r="AN84" s="289">
        <f>AM84-AL84</f>
        <v>-1.6000000000000014</v>
      </c>
      <c r="AO84" s="307">
        <f t="shared" si="92"/>
        <v>-0.25690929819314701</v>
      </c>
      <c r="AP84" s="308">
        <v>-20.6</v>
      </c>
      <c r="AQ84" s="289">
        <v>-22.5</v>
      </c>
      <c r="AR84" s="289">
        <f>AQ84-AP84</f>
        <v>-1.8999999999999986</v>
      </c>
      <c r="AS84" s="307">
        <f t="shared" si="93"/>
        <v>-0.30507979160436155</v>
      </c>
      <c r="AT84" s="308">
        <v>6.8</v>
      </c>
      <c r="AU84" s="289">
        <v>7.4</v>
      </c>
      <c r="AV84" s="289">
        <f>AU84-AT84</f>
        <v>0.60000000000000053</v>
      </c>
      <c r="AW84" s="307">
        <f t="shared" si="94"/>
        <v>9.6340986822430127E-2</v>
      </c>
      <c r="AX84" s="308">
        <v>4892</v>
      </c>
      <c r="AY84" s="289">
        <v>6589</v>
      </c>
      <c r="AZ84" s="289">
        <f>AY84-AX84</f>
        <v>1697</v>
      </c>
      <c r="BA84" s="307">
        <f t="shared" si="95"/>
        <v>272.48442439610631</v>
      </c>
      <c r="BB84" s="308">
        <v>6.1</v>
      </c>
      <c r="BC84" s="289">
        <v>6.6</v>
      </c>
      <c r="BD84" s="289">
        <f>BC84-BB84</f>
        <v>0.5</v>
      </c>
      <c r="BE84" s="307">
        <f t="shared" si="96"/>
        <v>8.0284155685358363E-2</v>
      </c>
      <c r="BF84" s="308">
        <v>0</v>
      </c>
      <c r="BG84" s="289">
        <v>0</v>
      </c>
      <c r="BH84" s="289">
        <f>BG84-BF84</f>
        <v>0</v>
      </c>
      <c r="BI84" s="307">
        <f t="shared" si="97"/>
        <v>0</v>
      </c>
      <c r="BJ84" s="281">
        <v>90.818516000000002</v>
      </c>
      <c r="BK84" s="281">
        <v>88.505251999999999</v>
      </c>
      <c r="BL84" s="281">
        <f>BK84-BJ84</f>
        <v>-2.3132640000000038</v>
      </c>
      <c r="BM84" s="408">
        <v>0</v>
      </c>
      <c r="BN84" s="458">
        <v>0</v>
      </c>
      <c r="BO84" s="458">
        <f>BN84-BM84</f>
        <v>0</v>
      </c>
      <c r="BP84" s="408">
        <v>6.1</v>
      </c>
      <c r="BQ84" s="458">
        <v>6.6</v>
      </c>
      <c r="BR84" s="458">
        <f>BQ84-BP84</f>
        <v>0.5</v>
      </c>
      <c r="BS84" s="281"/>
      <c r="BT84" s="281"/>
      <c r="BU84" s="281"/>
      <c r="BV84" s="281"/>
      <c r="BW84" s="298" t="s">
        <v>713</v>
      </c>
      <c r="BX84" s="422">
        <v>10787.21317314</v>
      </c>
      <c r="BY84" s="422">
        <v>-6.9340507300000001</v>
      </c>
      <c r="BZ84" s="422">
        <v>1059.3204292200001</v>
      </c>
      <c r="CA84" s="422">
        <v>1138.2470576000001</v>
      </c>
      <c r="CB84" s="422">
        <v>6.3871995200000002</v>
      </c>
      <c r="CC84" s="422">
        <v>6.5094763999999996</v>
      </c>
      <c r="CD84" s="422">
        <v>-0.11114781999999999</v>
      </c>
      <c r="CE84" s="422">
        <v>6.2279283599999999</v>
      </c>
      <c r="CF84" s="422">
        <v>6.2348582700000001</v>
      </c>
      <c r="CG84" s="422">
        <v>-1.80112954</v>
      </c>
      <c r="CH84" s="422">
        <v>-1.87844415</v>
      </c>
      <c r="CI84" s="422">
        <v>0.34619926000000001</v>
      </c>
    </row>
    <row r="85" spans="1:87" ht="15" customHeight="1" x14ac:dyDescent="0.2">
      <c r="A85" s="297">
        <f t="shared" si="98"/>
        <v>62009019</v>
      </c>
      <c r="B85" s="297" t="s">
        <v>615</v>
      </c>
      <c r="C85" s="297" t="s">
        <v>635</v>
      </c>
      <c r="D85" s="326" t="s">
        <v>778</v>
      </c>
      <c r="E85" s="283" t="s">
        <v>846</v>
      </c>
      <c r="F85" s="310" t="str">
        <f t="shared" si="87"/>
        <v>09/16/20</v>
      </c>
      <c r="G85" s="298" t="s">
        <v>847</v>
      </c>
      <c r="H85" s="298" t="s">
        <v>775</v>
      </c>
      <c r="I85" s="306"/>
      <c r="J85" s="300">
        <f>AVERAGE(J83:J84)</f>
        <v>25.145004999999998</v>
      </c>
      <c r="K85" s="300">
        <f>AVERAGE(K83:K84)</f>
        <v>39.122275999999999</v>
      </c>
      <c r="L85" s="300">
        <f>AVERAGE(L83:L84)</f>
        <v>29.351483999999999</v>
      </c>
      <c r="M85" s="300">
        <f>AVERAGE(M83:M84)</f>
        <v>29.523318</v>
      </c>
      <c r="N85" s="286"/>
      <c r="O85" s="284"/>
      <c r="P85" s="302"/>
      <c r="Q85" s="301"/>
      <c r="R85" s="287">
        <f>R84+R83</f>
        <v>7.9922638800000003</v>
      </c>
      <c r="S85" s="287">
        <f>S84</f>
        <v>7.9922638800000003</v>
      </c>
      <c r="T85" s="315">
        <f>T83</f>
        <v>91.257975000000002</v>
      </c>
      <c r="U85" s="315">
        <f>U84</f>
        <v>88.505251999999999</v>
      </c>
      <c r="V85" s="290">
        <f>V83</f>
        <v>4579</v>
      </c>
      <c r="W85" s="290">
        <f>W84</f>
        <v>6596</v>
      </c>
      <c r="X85" s="290">
        <f>SUM(X83:X84)</f>
        <v>2158</v>
      </c>
      <c r="Y85" s="290">
        <f t="shared" si="88"/>
        <v>270.01110478849705</v>
      </c>
      <c r="Z85" s="290">
        <f>Z83</f>
        <v>176.53613899999999</v>
      </c>
      <c r="AA85" s="290">
        <f>AA84</f>
        <v>199.6</v>
      </c>
      <c r="AB85" s="290">
        <f>SUM(AB83:AB84)</f>
        <v>27.963861000000009</v>
      </c>
      <c r="AC85" s="290">
        <f t="shared" si="89"/>
        <v>3.4988660809833032</v>
      </c>
      <c r="AD85" s="290">
        <f>AD83</f>
        <v>151.43361400000001</v>
      </c>
      <c r="AE85" s="290">
        <f>AE84</f>
        <v>171.27</v>
      </c>
      <c r="AF85" s="290">
        <f>SUM(AF83:AF84)</f>
        <v>23.996386000000001</v>
      </c>
      <c r="AG85" s="290">
        <f t="shared" si="90"/>
        <v>3.0024516657976013</v>
      </c>
      <c r="AH85" s="290">
        <f>AH83</f>
        <v>14.93</v>
      </c>
      <c r="AI85" s="290">
        <f>AI84</f>
        <v>15.02</v>
      </c>
      <c r="AJ85" s="290">
        <f>SUM(AJ83:AJ84)</f>
        <v>0.10999999999999943</v>
      </c>
      <c r="AK85" s="288">
        <f t="shared" si="91"/>
        <v>1.3763309326568361E-2</v>
      </c>
      <c r="AL85" s="290">
        <f>AL83</f>
        <v>-16.2</v>
      </c>
      <c r="AM85" s="290">
        <f>AM84</f>
        <v>-18.3</v>
      </c>
      <c r="AN85" s="290">
        <f>SUM(AN83:AN84)</f>
        <v>-2.5</v>
      </c>
      <c r="AO85" s="288">
        <f t="shared" si="92"/>
        <v>-0.31280248469473709</v>
      </c>
      <c r="AP85" s="290">
        <f>AP83</f>
        <v>-19.899999999999999</v>
      </c>
      <c r="AQ85" s="290">
        <f>AQ84</f>
        <v>-22.5</v>
      </c>
      <c r="AR85" s="290">
        <f>SUM(AR83:AR84)</f>
        <v>-3.1000000000000014</v>
      </c>
      <c r="AS85" s="288">
        <f t="shared" si="93"/>
        <v>-0.38787508102147417</v>
      </c>
      <c r="AT85" s="290">
        <f>AT83</f>
        <v>6.5</v>
      </c>
      <c r="AU85" s="290">
        <f>AU84</f>
        <v>7.4</v>
      </c>
      <c r="AV85" s="290">
        <f>SUM(AV83:AV84)</f>
        <v>1.0999999999999996</v>
      </c>
      <c r="AW85" s="288">
        <f t="shared" si="94"/>
        <v>0.13763309326568426</v>
      </c>
      <c r="AX85" s="290">
        <f>AX83</f>
        <v>4572</v>
      </c>
      <c r="AY85" s="290">
        <f>AY84</f>
        <v>6589</v>
      </c>
      <c r="AZ85" s="290">
        <f>SUM(AZ83:AZ84)</f>
        <v>2158</v>
      </c>
      <c r="BA85" s="288">
        <f t="shared" si="95"/>
        <v>270.01110478849705</v>
      </c>
      <c r="BB85" s="290">
        <f>BB83</f>
        <v>6</v>
      </c>
      <c r="BC85" s="290">
        <f>BC84</f>
        <v>6.6</v>
      </c>
      <c r="BD85" s="290">
        <f>SUM(BD83:BD84)</f>
        <v>0.79999999999999982</v>
      </c>
      <c r="BE85" s="288">
        <f t="shared" si="96"/>
        <v>0.10009679510231584</v>
      </c>
      <c r="BF85" s="290">
        <f>BF83</f>
        <v>0</v>
      </c>
      <c r="BG85" s="290">
        <f>BG84</f>
        <v>0</v>
      </c>
      <c r="BH85" s="290">
        <f>SUM(BH83:BH84)</f>
        <v>0</v>
      </c>
      <c r="BI85" s="288">
        <f t="shared" si="97"/>
        <v>0</v>
      </c>
      <c r="BJ85" s="282"/>
      <c r="BK85" s="282"/>
      <c r="BL85" s="282">
        <f>SUM(BL83:BL84)</f>
        <v>-2.9510900000000078</v>
      </c>
      <c r="BM85" s="459">
        <f>BM83</f>
        <v>0</v>
      </c>
      <c r="BN85" s="459">
        <f>BN84</f>
        <v>0</v>
      </c>
      <c r="BO85" s="459">
        <f>SUM(BO83:BO84)</f>
        <v>0</v>
      </c>
      <c r="BP85" s="459">
        <f>BP83</f>
        <v>6</v>
      </c>
      <c r="BQ85" s="459">
        <f>BQ84</f>
        <v>6.6</v>
      </c>
      <c r="BR85" s="459">
        <f>SUM(BR83:BR84)</f>
        <v>0.79999999999999982</v>
      </c>
      <c r="BS85" s="282"/>
      <c r="BT85" s="282"/>
      <c r="BU85" s="282"/>
      <c r="BV85" s="282"/>
      <c r="BW85" s="298" t="s">
        <v>713</v>
      </c>
    </row>
    <row r="86" spans="1:87" ht="15" customHeight="1" x14ac:dyDescent="0.2">
      <c r="A86" s="297">
        <f>A85+1</f>
        <v>62009020</v>
      </c>
      <c r="B86" s="297" t="s">
        <v>833</v>
      </c>
      <c r="C86" s="297" t="s">
        <v>626</v>
      </c>
      <c r="D86" s="326" t="s">
        <v>848</v>
      </c>
      <c r="E86" s="283" t="s">
        <v>849</v>
      </c>
      <c r="F86" s="310" t="str">
        <f t="shared" si="87"/>
        <v>09/16/20</v>
      </c>
      <c r="G86" s="298" t="s">
        <v>850</v>
      </c>
      <c r="H86" s="298" t="s">
        <v>775</v>
      </c>
      <c r="I86" s="306"/>
      <c r="J86" s="299">
        <v>-86.297572000000002</v>
      </c>
      <c r="K86" s="299">
        <v>-114.689707</v>
      </c>
      <c r="L86" s="299">
        <v>-95.521788000000001</v>
      </c>
      <c r="M86" s="299">
        <v>-101.007965</v>
      </c>
      <c r="N86" s="284">
        <v>3875</v>
      </c>
      <c r="O86" s="284">
        <v>28.39</v>
      </c>
      <c r="P86" s="284">
        <v>0.20169999999999999</v>
      </c>
      <c r="Q86" s="284">
        <v>1.932E-2</v>
      </c>
      <c r="R86" s="285">
        <v>180.23081862000001</v>
      </c>
      <c r="S86" s="285">
        <f>R86+R85</f>
        <v>188.2230825</v>
      </c>
      <c r="T86" s="314">
        <v>88.297729000000004</v>
      </c>
      <c r="U86" s="314">
        <v>19.859589</v>
      </c>
      <c r="V86" s="289">
        <v>6745</v>
      </c>
      <c r="W86" s="289">
        <v>52789</v>
      </c>
      <c r="X86" s="289">
        <f>W86-V86</f>
        <v>46044</v>
      </c>
      <c r="Y86" s="289">
        <f t="shared" si="88"/>
        <v>255.47240118283827</v>
      </c>
      <c r="Z86" s="308">
        <v>211.53559300000001</v>
      </c>
      <c r="AA86" s="289">
        <v>695.5</v>
      </c>
      <c r="AB86" s="289">
        <f>AA86-Z86</f>
        <v>483.96440699999999</v>
      </c>
      <c r="AC86" s="289">
        <f t="shared" si="89"/>
        <v>2.6852477878402925</v>
      </c>
      <c r="AD86" s="308">
        <v>181.64355900000001</v>
      </c>
      <c r="AE86" s="289">
        <v>603.04</v>
      </c>
      <c r="AF86" s="289">
        <f>AE86-AD86</f>
        <v>421.39644099999998</v>
      </c>
      <c r="AG86" s="289">
        <f t="shared" si="90"/>
        <v>2.338093142041791</v>
      </c>
      <c r="AH86" s="308">
        <v>21.136441000000001</v>
      </c>
      <c r="AI86" s="289">
        <v>4.76</v>
      </c>
      <c r="AJ86" s="289">
        <f>AI86-AH86</f>
        <v>-16.376441</v>
      </c>
      <c r="AK86" s="307">
        <f t="shared" si="91"/>
        <v>-9.086371090911044E-2</v>
      </c>
      <c r="AL86" s="308">
        <v>-19</v>
      </c>
      <c r="AM86" s="289">
        <v>-57.3</v>
      </c>
      <c r="AN86" s="289">
        <f>AM86-AL86</f>
        <v>-38.299999999999997</v>
      </c>
      <c r="AO86" s="307">
        <f t="shared" si="92"/>
        <v>-0.21250527680702599</v>
      </c>
      <c r="AP86" s="308">
        <v>-23.2</v>
      </c>
      <c r="AQ86" s="289">
        <v>-71</v>
      </c>
      <c r="AR86" s="289">
        <f>AQ86-AP86</f>
        <v>-47.8</v>
      </c>
      <c r="AS86" s="307">
        <f t="shared" si="93"/>
        <v>-0.26521546296020476</v>
      </c>
      <c r="AT86" s="308">
        <v>7.7</v>
      </c>
      <c r="AU86" s="289">
        <v>23.4</v>
      </c>
      <c r="AV86" s="289">
        <f>AU86-AT86</f>
        <v>15.7</v>
      </c>
      <c r="AW86" s="307">
        <f t="shared" si="94"/>
        <v>8.7110518168937556E-2</v>
      </c>
      <c r="AX86" s="308">
        <v>6738</v>
      </c>
      <c r="AY86" s="289">
        <v>52788</v>
      </c>
      <c r="AZ86" s="289">
        <f>AY86-AX86</f>
        <v>46050</v>
      </c>
      <c r="BA86" s="307">
        <f t="shared" si="95"/>
        <v>255.5056918267245</v>
      </c>
      <c r="BB86" s="308">
        <v>7.4</v>
      </c>
      <c r="BC86" s="289">
        <v>20.9</v>
      </c>
      <c r="BD86" s="289">
        <f>BC86-BB86</f>
        <v>13.499999999999998</v>
      </c>
      <c r="BE86" s="307">
        <f t="shared" si="96"/>
        <v>7.4903948743990881E-2</v>
      </c>
      <c r="BF86" s="308">
        <v>0</v>
      </c>
      <c r="BG86" s="289">
        <v>0</v>
      </c>
      <c r="BH86" s="289">
        <f>BG86-BF86</f>
        <v>0</v>
      </c>
      <c r="BI86" s="307">
        <f t="shared" si="97"/>
        <v>0</v>
      </c>
      <c r="BJ86" s="281">
        <v>88.297729000000004</v>
      </c>
      <c r="BK86" s="281">
        <v>19.859589</v>
      </c>
      <c r="BL86" s="281">
        <f>BK86-BJ86</f>
        <v>-68.438140000000004</v>
      </c>
      <c r="BM86" s="408">
        <v>0</v>
      </c>
      <c r="BN86" s="458">
        <v>0</v>
      </c>
      <c r="BO86" s="458">
        <f>BN86-BM86</f>
        <v>0</v>
      </c>
      <c r="BP86" s="408">
        <v>7.4</v>
      </c>
      <c r="BQ86" s="458">
        <v>20.9</v>
      </c>
      <c r="BR86" s="458">
        <f>BQ86-BP86</f>
        <v>13.499999999999998</v>
      </c>
      <c r="BS86" s="281"/>
      <c r="BT86" s="281"/>
      <c r="BU86" s="281"/>
      <c r="BV86" s="281"/>
      <c r="BW86" s="298" t="s">
        <v>851</v>
      </c>
      <c r="BX86" s="422">
        <v>12.253766969999999</v>
      </c>
      <c r="BY86" s="422">
        <v>264.40114096999997</v>
      </c>
      <c r="BZ86" s="422">
        <v>2117.7245187899998</v>
      </c>
      <c r="CA86" s="422">
        <v>581.15200000000004</v>
      </c>
      <c r="CB86" s="422">
        <v>159.13506050999999</v>
      </c>
      <c r="CC86" s="422">
        <v>159.48410874999999</v>
      </c>
      <c r="CD86" s="422">
        <v>-8.9163820000000005E-2</v>
      </c>
      <c r="CE86" s="422">
        <v>180.23237893000001</v>
      </c>
      <c r="CF86" s="422">
        <v>180.39322442</v>
      </c>
      <c r="CG86" s="422">
        <v>-0.12998148000000001</v>
      </c>
      <c r="CH86" s="422">
        <v>-0.21886082000000001</v>
      </c>
      <c r="CI86" s="422">
        <v>4.7226200000000003E-3</v>
      </c>
    </row>
    <row r="87" spans="1:87" ht="15" customHeight="1" x14ac:dyDescent="0.2">
      <c r="A87" s="297">
        <f>A86+1</f>
        <v>62009021</v>
      </c>
      <c r="B87" s="297" t="s">
        <v>834</v>
      </c>
      <c r="C87" s="297" t="s">
        <v>835</v>
      </c>
      <c r="D87" s="326" t="s">
        <v>852</v>
      </c>
      <c r="E87" s="283" t="s">
        <v>853</v>
      </c>
      <c r="F87" s="310" t="str">
        <f t="shared" si="87"/>
        <v>09/16/20</v>
      </c>
      <c r="G87" s="298" t="s">
        <v>854</v>
      </c>
      <c r="H87" s="298" t="s">
        <v>775</v>
      </c>
      <c r="I87" s="306"/>
      <c r="J87" s="299">
        <v>22.118977999999998</v>
      </c>
      <c r="K87" s="299">
        <v>45.970424000000001</v>
      </c>
      <c r="L87" s="299">
        <v>29.297129999999999</v>
      </c>
      <c r="M87" s="299">
        <v>31.813279000000001</v>
      </c>
      <c r="N87" s="284">
        <v>3875</v>
      </c>
      <c r="O87" s="284">
        <v>28.39</v>
      </c>
      <c r="P87" s="284">
        <v>0.20169999999999999</v>
      </c>
      <c r="Q87" s="284">
        <v>1.932E-2</v>
      </c>
      <c r="R87" s="285">
        <v>1.7645907599999999</v>
      </c>
      <c r="S87" s="285">
        <f>R87+R86</f>
        <v>181.99540938000001</v>
      </c>
      <c r="T87" s="314">
        <v>19.855011000000001</v>
      </c>
      <c r="U87" s="314">
        <v>16.401899</v>
      </c>
      <c r="V87" s="289">
        <v>52793</v>
      </c>
      <c r="W87" s="289">
        <v>54948</v>
      </c>
      <c r="X87" s="289">
        <f>W87-V87-X88</f>
        <v>460</v>
      </c>
      <c r="Y87" s="289">
        <f t="shared" si="88"/>
        <v>260.68367262673416</v>
      </c>
      <c r="Z87" s="308">
        <v>699.39718300000004</v>
      </c>
      <c r="AA87" s="289">
        <v>737.6</v>
      </c>
      <c r="AB87" s="289">
        <f>AA87-Z87-AB88</f>
        <v>18.302817000000005</v>
      </c>
      <c r="AC87" s="289">
        <f t="shared" si="89"/>
        <v>10.372272945597881</v>
      </c>
      <c r="AD87" s="308">
        <v>606.39971800000001</v>
      </c>
      <c r="AE87" s="289">
        <v>640.48954500000002</v>
      </c>
      <c r="AF87" s="289">
        <f>AE87-AD87-AF88</f>
        <v>16.409101000000078</v>
      </c>
      <c r="AG87" s="289">
        <f t="shared" si="90"/>
        <v>9.2990972025718186</v>
      </c>
      <c r="AH87" s="308">
        <v>16.940282</v>
      </c>
      <c r="AI87" s="289">
        <v>8.08</v>
      </c>
      <c r="AJ87" s="289">
        <f>AI87-AH87-AJ88</f>
        <v>-6.5599189999999989</v>
      </c>
      <c r="AK87" s="307">
        <f t="shared" si="91"/>
        <v>-3.7175299501171586</v>
      </c>
      <c r="AL87" s="308">
        <v>-57.4</v>
      </c>
      <c r="AM87" s="289">
        <v>-59.5</v>
      </c>
      <c r="AN87" s="289">
        <f>AM87-AL87-AN88</f>
        <v>-0.79999999999999716</v>
      </c>
      <c r="AO87" s="307">
        <f t="shared" si="92"/>
        <v>-0.45336290891605779</v>
      </c>
      <c r="AP87" s="308">
        <v>-71.099999999999994</v>
      </c>
      <c r="AQ87" s="289">
        <v>-73.8</v>
      </c>
      <c r="AR87" s="289">
        <f>AQ87-AP87-AR88</f>
        <v>-1.1000000000000085</v>
      </c>
      <c r="AS87" s="307">
        <f t="shared" si="93"/>
        <v>-0.62337399975958652</v>
      </c>
      <c r="AT87" s="308">
        <v>23.5</v>
      </c>
      <c r="AU87" s="289">
        <v>24.3</v>
      </c>
      <c r="AV87" s="289">
        <f>AU87-AT87-AV88</f>
        <v>0.30000000000000071</v>
      </c>
      <c r="AW87" s="307">
        <f t="shared" si="94"/>
        <v>0.17001109084352267</v>
      </c>
      <c r="AX87" s="308">
        <v>52792</v>
      </c>
      <c r="AY87" s="289">
        <v>54948</v>
      </c>
      <c r="AZ87" s="289">
        <f>AY87-AX87-AZ88</f>
        <v>459</v>
      </c>
      <c r="BA87" s="307">
        <f t="shared" si="95"/>
        <v>260.1169689905891</v>
      </c>
      <c r="BB87" s="308">
        <v>21.5</v>
      </c>
      <c r="BC87" s="289">
        <v>22.3</v>
      </c>
      <c r="BD87" s="289">
        <f>BC87-BB87-BD88</f>
        <v>0.30000000000000071</v>
      </c>
      <c r="BE87" s="307">
        <f t="shared" si="96"/>
        <v>0.17001109084352267</v>
      </c>
      <c r="BF87" s="308">
        <v>0</v>
      </c>
      <c r="BG87" s="289">
        <v>0</v>
      </c>
      <c r="BH87" s="289">
        <f>BG87-BF87-BH88</f>
        <v>0</v>
      </c>
      <c r="BI87" s="307">
        <f t="shared" si="97"/>
        <v>0</v>
      </c>
      <c r="BJ87" s="281">
        <v>19.855011000000001</v>
      </c>
      <c r="BK87" s="281">
        <v>16.401899</v>
      </c>
      <c r="BL87" s="281">
        <f>BK87-BJ87-BL88</f>
        <v>-0.74921699999999802</v>
      </c>
      <c r="BM87" s="408">
        <v>0</v>
      </c>
      <c r="BN87" s="458">
        <v>0</v>
      </c>
      <c r="BO87" s="458">
        <f>BN87-BM87-BO88</f>
        <v>0</v>
      </c>
      <c r="BP87" s="408">
        <v>21.5</v>
      </c>
      <c r="BQ87" s="458">
        <v>22.3</v>
      </c>
      <c r="BR87" s="458">
        <f>BQ87-BP87-BR88</f>
        <v>0.30000000000000071</v>
      </c>
      <c r="BS87" s="281"/>
      <c r="BT87" s="281"/>
      <c r="BU87" s="281"/>
      <c r="BV87" s="281"/>
      <c r="BW87" s="298" t="s">
        <v>855</v>
      </c>
      <c r="BX87" s="422">
        <v>5056.6534351800001</v>
      </c>
      <c r="BY87" s="422">
        <v>-2.7863554499999998</v>
      </c>
      <c r="BZ87" s="422">
        <v>2391.1649616499999</v>
      </c>
      <c r="CA87" s="422">
        <v>2459.7009739</v>
      </c>
      <c r="CB87" s="422">
        <v>2.8557459600000001</v>
      </c>
      <c r="CC87" s="422">
        <v>2.92596919</v>
      </c>
      <c r="CD87" s="422">
        <v>-0.43163658999999999</v>
      </c>
      <c r="CE87" s="422">
        <v>1.7645501299999999</v>
      </c>
      <c r="CF87" s="422">
        <v>1.77219959</v>
      </c>
      <c r="CG87" s="422">
        <v>-2.01676454</v>
      </c>
      <c r="CH87" s="422">
        <v>-2.39999881</v>
      </c>
      <c r="CI87" s="422">
        <v>0.81466519999999998</v>
      </c>
    </row>
    <row r="88" spans="1:87" ht="15" customHeight="1" x14ac:dyDescent="0.2">
      <c r="A88" s="297">
        <f>A87</f>
        <v>62009021</v>
      </c>
      <c r="B88" s="297" t="s">
        <v>836</v>
      </c>
      <c r="C88" s="297" t="s">
        <v>627</v>
      </c>
      <c r="D88" s="326" t="s">
        <v>852</v>
      </c>
      <c r="E88" s="283" t="s">
        <v>853</v>
      </c>
      <c r="F88" s="310" t="str">
        <f t="shared" si="87"/>
        <v>09/16/20</v>
      </c>
      <c r="G88" s="298" t="s">
        <v>854</v>
      </c>
      <c r="H88" s="298" t="s">
        <v>775</v>
      </c>
      <c r="I88" s="306"/>
      <c r="J88" s="299">
        <v>25.894646000000002</v>
      </c>
      <c r="K88" s="299">
        <v>37.677916000000003</v>
      </c>
      <c r="L88" s="299">
        <v>29.312163999999999</v>
      </c>
      <c r="M88" s="299">
        <v>30.590354000000001</v>
      </c>
      <c r="N88" s="284">
        <v>3875</v>
      </c>
      <c r="O88" s="284">
        <v>28.39</v>
      </c>
      <c r="P88" s="284">
        <v>0.20169999999999999</v>
      </c>
      <c r="Q88" s="284">
        <v>1.932E-2</v>
      </c>
      <c r="R88" s="285">
        <v>6.2283158199999997</v>
      </c>
      <c r="S88" s="285">
        <f>R88+R87</f>
        <v>7.9929065799999996</v>
      </c>
      <c r="T88" s="314">
        <v>19.337731000000002</v>
      </c>
      <c r="U88" s="314">
        <v>16.633835999999999</v>
      </c>
      <c r="V88" s="289">
        <v>53114</v>
      </c>
      <c r="W88" s="289">
        <v>54809</v>
      </c>
      <c r="X88" s="289">
        <f>W88-V88</f>
        <v>1695</v>
      </c>
      <c r="Y88" s="289">
        <f t="shared" si="88"/>
        <v>272.1441957964168</v>
      </c>
      <c r="Z88" s="308">
        <v>714.2</v>
      </c>
      <c r="AA88" s="289">
        <v>734.1</v>
      </c>
      <c r="AB88" s="289">
        <f>AA88-Z88</f>
        <v>19.899999999999977</v>
      </c>
      <c r="AC88" s="289">
        <f t="shared" si="89"/>
        <v>3.1950852485832963</v>
      </c>
      <c r="AD88" s="308">
        <v>619.83927400000005</v>
      </c>
      <c r="AE88" s="289">
        <v>637.52</v>
      </c>
      <c r="AF88" s="289">
        <f>AE88-AD88</f>
        <v>17.680725999999936</v>
      </c>
      <c r="AG88" s="289">
        <f t="shared" si="90"/>
        <v>2.8387651671780407</v>
      </c>
      <c r="AH88" s="308">
        <v>9.0603630000000006</v>
      </c>
      <c r="AI88" s="289">
        <v>6.76</v>
      </c>
      <c r="AJ88" s="289">
        <f>AI88-AH88</f>
        <v>-2.3003630000000008</v>
      </c>
      <c r="AK88" s="307">
        <f t="shared" si="91"/>
        <v>-0.36933949184355924</v>
      </c>
      <c r="AL88" s="308">
        <v>-57.9</v>
      </c>
      <c r="AM88" s="289">
        <v>-59.2</v>
      </c>
      <c r="AN88" s="289">
        <f>AM88-AL88</f>
        <v>-1.3000000000000043</v>
      </c>
      <c r="AO88" s="307">
        <f t="shared" si="92"/>
        <v>-0.20872416196775395</v>
      </c>
      <c r="AP88" s="308">
        <v>-71.7</v>
      </c>
      <c r="AQ88" s="289">
        <v>-73.3</v>
      </c>
      <c r="AR88" s="289">
        <f>AQ88-AP88</f>
        <v>-1.5999999999999943</v>
      </c>
      <c r="AS88" s="307">
        <f t="shared" si="93"/>
        <v>-0.25689127626800312</v>
      </c>
      <c r="AT88" s="308">
        <v>23.7</v>
      </c>
      <c r="AU88" s="289">
        <v>24.2</v>
      </c>
      <c r="AV88" s="289">
        <f>AU88-AT88</f>
        <v>0.5</v>
      </c>
      <c r="AW88" s="307">
        <f t="shared" si="94"/>
        <v>8.0278523833751253E-2</v>
      </c>
      <c r="AX88" s="308">
        <v>53112</v>
      </c>
      <c r="AY88" s="289">
        <v>54809</v>
      </c>
      <c r="AZ88" s="289">
        <f>AY88-AX88</f>
        <v>1697</v>
      </c>
      <c r="BA88" s="307">
        <f t="shared" si="95"/>
        <v>272.46530989175176</v>
      </c>
      <c r="BB88" s="308">
        <v>21.7</v>
      </c>
      <c r="BC88" s="289">
        <v>22.2</v>
      </c>
      <c r="BD88" s="289">
        <f>BC88-BB88</f>
        <v>0.5</v>
      </c>
      <c r="BE88" s="307">
        <f t="shared" si="96"/>
        <v>8.0278523833751253E-2</v>
      </c>
      <c r="BF88" s="308">
        <v>0</v>
      </c>
      <c r="BG88" s="289">
        <v>0</v>
      </c>
      <c r="BH88" s="289">
        <f>BG88-BF88</f>
        <v>0</v>
      </c>
      <c r="BI88" s="307">
        <f t="shared" si="97"/>
        <v>0</v>
      </c>
      <c r="BJ88" s="281">
        <v>19.337731000000002</v>
      </c>
      <c r="BK88" s="281">
        <v>16.633835999999999</v>
      </c>
      <c r="BL88" s="281">
        <f>BK88-BJ88</f>
        <v>-2.7038950000000028</v>
      </c>
      <c r="BM88" s="408">
        <v>0</v>
      </c>
      <c r="BN88" s="458">
        <v>0</v>
      </c>
      <c r="BO88" s="458">
        <f>BN88-BM88</f>
        <v>0</v>
      </c>
      <c r="BP88" s="408">
        <v>21.7</v>
      </c>
      <c r="BQ88" s="458">
        <v>22.2</v>
      </c>
      <c r="BR88" s="458">
        <f>BQ88-BP88</f>
        <v>0.5</v>
      </c>
      <c r="BS88" s="281"/>
      <c r="BT88" s="281"/>
      <c r="BU88" s="281"/>
      <c r="BV88" s="281"/>
      <c r="BW88" s="298" t="s">
        <v>855</v>
      </c>
      <c r="BX88" s="422">
        <v>10800.45916079</v>
      </c>
      <c r="BY88" s="422">
        <v>-7.1945734300000002</v>
      </c>
      <c r="BZ88" s="422">
        <v>1057.29169785</v>
      </c>
      <c r="CA88" s="422">
        <v>1139.25633111</v>
      </c>
      <c r="CB88" s="422">
        <v>6.3890061200000003</v>
      </c>
      <c r="CC88" s="422">
        <v>6.5128706899999997</v>
      </c>
      <c r="CD88" s="422">
        <v>-0.1187125</v>
      </c>
      <c r="CE88" s="422">
        <v>6.2283501599999997</v>
      </c>
      <c r="CF88" s="422">
        <v>6.2357527700000004</v>
      </c>
      <c r="CG88" s="422">
        <v>-1.8177000699999999</v>
      </c>
      <c r="CH88" s="422">
        <v>-1.90184277</v>
      </c>
      <c r="CI88" s="422">
        <v>0.34644798999999998</v>
      </c>
    </row>
    <row r="89" spans="1:87" ht="15" customHeight="1" x14ac:dyDescent="0.2">
      <c r="A89" s="297">
        <f t="shared" ref="A89:A96" si="99">A88</f>
        <v>62009021</v>
      </c>
      <c r="B89" s="297" t="s">
        <v>837</v>
      </c>
      <c r="C89" s="297" t="s">
        <v>628</v>
      </c>
      <c r="D89" s="326" t="s">
        <v>852</v>
      </c>
      <c r="E89" s="283" t="s">
        <v>853</v>
      </c>
      <c r="F89" s="310" t="str">
        <f t="shared" si="87"/>
        <v>09/16/20</v>
      </c>
      <c r="G89" s="298" t="s">
        <v>854</v>
      </c>
      <c r="H89" s="298" t="s">
        <v>775</v>
      </c>
      <c r="I89" s="306"/>
      <c r="J89" s="300">
        <f>AVERAGE(J87:J88)</f>
        <v>24.006812</v>
      </c>
      <c r="K89" s="300">
        <f>AVERAGE(K87:K88)</f>
        <v>41.824170000000002</v>
      </c>
      <c r="L89" s="300">
        <f>AVERAGE(L87:L88)</f>
        <v>29.304646999999999</v>
      </c>
      <c r="M89" s="300">
        <f>AVERAGE(M87:M88)</f>
        <v>31.2018165</v>
      </c>
      <c r="N89" s="286"/>
      <c r="O89" s="284"/>
      <c r="P89" s="302"/>
      <c r="Q89" s="301"/>
      <c r="R89" s="287">
        <f>R88+R87</f>
        <v>7.9929065799999996</v>
      </c>
      <c r="S89" s="287">
        <f>S88</f>
        <v>7.9929065799999996</v>
      </c>
      <c r="T89" s="315">
        <f>T87</f>
        <v>19.855011000000001</v>
      </c>
      <c r="U89" s="315">
        <f>U88</f>
        <v>16.633835999999999</v>
      </c>
      <c r="V89" s="290">
        <f>V87</f>
        <v>52793</v>
      </c>
      <c r="W89" s="290">
        <f>W88</f>
        <v>54809</v>
      </c>
      <c r="X89" s="290">
        <f>SUM(X87:X88)</f>
        <v>2155</v>
      </c>
      <c r="Y89" s="290">
        <f t="shared" si="88"/>
        <v>269.61406072132525</v>
      </c>
      <c r="Z89" s="290">
        <f>Z87</f>
        <v>699.39718300000004</v>
      </c>
      <c r="AA89" s="290">
        <f>AA88</f>
        <v>734.1</v>
      </c>
      <c r="AB89" s="290">
        <f>SUM(AB87:AB88)</f>
        <v>38.202816999999982</v>
      </c>
      <c r="AC89" s="290">
        <f t="shared" si="89"/>
        <v>4.7795900799831426</v>
      </c>
      <c r="AD89" s="290">
        <f>AD87</f>
        <v>606.39971800000001</v>
      </c>
      <c r="AE89" s="290">
        <f>AE88</f>
        <v>637.52</v>
      </c>
      <c r="AF89" s="290">
        <f>SUM(AF87:AF88)</f>
        <v>34.089827000000014</v>
      </c>
      <c r="AG89" s="290">
        <f t="shared" si="90"/>
        <v>4.2650100634605463</v>
      </c>
      <c r="AH89" s="290">
        <f>AH87</f>
        <v>16.940282</v>
      </c>
      <c r="AI89" s="290">
        <f>AI88</f>
        <v>6.76</v>
      </c>
      <c r="AJ89" s="290">
        <f>SUM(AJ87:AJ88)</f>
        <v>-8.8602819999999998</v>
      </c>
      <c r="AK89" s="288">
        <f t="shared" si="91"/>
        <v>-1.1085181481002622</v>
      </c>
      <c r="AL89" s="290">
        <f>AL87</f>
        <v>-57.4</v>
      </c>
      <c r="AM89" s="290">
        <f>AM88</f>
        <v>-59.2</v>
      </c>
      <c r="AN89" s="290">
        <f>SUM(AN87:AN88)</f>
        <v>-2.1000000000000014</v>
      </c>
      <c r="AO89" s="288">
        <f t="shared" si="92"/>
        <v>-0.2627329594036118</v>
      </c>
      <c r="AP89" s="290">
        <f>AP87</f>
        <v>-71.099999999999994</v>
      </c>
      <c r="AQ89" s="290">
        <f>AQ88</f>
        <v>-73.3</v>
      </c>
      <c r="AR89" s="290">
        <f>SUM(AR87:AR88)</f>
        <v>-2.7000000000000028</v>
      </c>
      <c r="AS89" s="288">
        <f t="shared" si="93"/>
        <v>-0.33779951923321527</v>
      </c>
      <c r="AT89" s="290">
        <f>AT87</f>
        <v>23.5</v>
      </c>
      <c r="AU89" s="290">
        <f>AU88</f>
        <v>24.2</v>
      </c>
      <c r="AV89" s="290">
        <f>SUM(AV87:AV88)</f>
        <v>0.80000000000000071</v>
      </c>
      <c r="AW89" s="288">
        <f t="shared" si="94"/>
        <v>0.10008874643947117</v>
      </c>
      <c r="AX89" s="290">
        <f>AX87</f>
        <v>52792</v>
      </c>
      <c r="AY89" s="290">
        <f>AY88</f>
        <v>54809</v>
      </c>
      <c r="AZ89" s="290">
        <f>SUM(AZ87:AZ88)</f>
        <v>2156</v>
      </c>
      <c r="BA89" s="288">
        <f t="shared" si="95"/>
        <v>269.73917165437456</v>
      </c>
      <c r="BB89" s="290">
        <f>BB87</f>
        <v>21.5</v>
      </c>
      <c r="BC89" s="290">
        <f>BC88</f>
        <v>22.2</v>
      </c>
      <c r="BD89" s="290">
        <f>SUM(BD87:BD88)</f>
        <v>0.80000000000000071</v>
      </c>
      <c r="BE89" s="288">
        <f t="shared" si="96"/>
        <v>0.10008874643947117</v>
      </c>
      <c r="BF89" s="290">
        <f>BF87</f>
        <v>0</v>
      </c>
      <c r="BG89" s="290">
        <f>BG88</f>
        <v>0</v>
      </c>
      <c r="BH89" s="290">
        <f>SUM(BH87:BH88)</f>
        <v>0</v>
      </c>
      <c r="BI89" s="288">
        <f t="shared" si="97"/>
        <v>0</v>
      </c>
      <c r="BJ89" s="282"/>
      <c r="BK89" s="282"/>
      <c r="BL89" s="282">
        <f>SUM(BL87:BL88)</f>
        <v>-3.4531120000000008</v>
      </c>
      <c r="BM89" s="459">
        <f>BM87</f>
        <v>0</v>
      </c>
      <c r="BN89" s="459">
        <f>BN88</f>
        <v>0</v>
      </c>
      <c r="BO89" s="459">
        <f>SUM(BO87:BO88)</f>
        <v>0</v>
      </c>
      <c r="BP89" s="459">
        <f>BP87</f>
        <v>21.5</v>
      </c>
      <c r="BQ89" s="459">
        <f>BQ88</f>
        <v>22.2</v>
      </c>
      <c r="BR89" s="459">
        <f>SUM(BR87:BR88)</f>
        <v>0.80000000000000071</v>
      </c>
      <c r="BS89" s="282"/>
      <c r="BT89" s="282"/>
      <c r="BU89" s="282"/>
      <c r="BV89" s="282"/>
      <c r="BW89" s="298" t="s">
        <v>855</v>
      </c>
    </row>
    <row r="90" spans="1:87" ht="15" customHeight="1" x14ac:dyDescent="0.2">
      <c r="A90" s="297">
        <f t="shared" si="99"/>
        <v>62009021</v>
      </c>
      <c r="B90" s="297" t="s">
        <v>838</v>
      </c>
      <c r="C90" s="297" t="s">
        <v>629</v>
      </c>
      <c r="D90" s="326" t="s">
        <v>852</v>
      </c>
      <c r="E90" s="283" t="s">
        <v>853</v>
      </c>
      <c r="F90" s="310" t="str">
        <f t="shared" si="87"/>
        <v>09/16/20</v>
      </c>
      <c r="G90" s="298" t="s">
        <v>854</v>
      </c>
      <c r="H90" s="298" t="s">
        <v>775</v>
      </c>
      <c r="I90" s="306"/>
      <c r="J90" s="299">
        <v>20.963595000000002</v>
      </c>
      <c r="K90" s="299">
        <v>51.255369000000002</v>
      </c>
      <c r="L90" s="299">
        <v>29.290801999999999</v>
      </c>
      <c r="M90" s="299">
        <v>29.077089000000001</v>
      </c>
      <c r="N90" s="284">
        <v>3875</v>
      </c>
      <c r="O90" s="284">
        <v>28.39</v>
      </c>
      <c r="P90" s="284">
        <v>0.20169999999999999</v>
      </c>
      <c r="Q90" s="284">
        <v>1.932E-2</v>
      </c>
      <c r="R90" s="285">
        <v>3.5822199800000001</v>
      </c>
      <c r="S90" s="285">
        <f>R90+R89</f>
        <v>11.575126559999999</v>
      </c>
      <c r="T90" s="314">
        <v>16.392744</v>
      </c>
      <c r="U90" s="314">
        <v>15.349028000000001</v>
      </c>
      <c r="V90" s="289">
        <v>54955</v>
      </c>
      <c r="W90" s="289">
        <v>55606</v>
      </c>
      <c r="X90" s="289">
        <f>W90-V90</f>
        <v>651</v>
      </c>
      <c r="Y90" s="289">
        <f t="shared" si="88"/>
        <v>181.73088298167551</v>
      </c>
      <c r="Z90" s="308">
        <v>744</v>
      </c>
      <c r="AA90" s="289">
        <v>781.2</v>
      </c>
      <c r="AB90" s="289">
        <f>AA90-Z90</f>
        <v>37.200000000000045</v>
      </c>
      <c r="AC90" s="289">
        <f t="shared" si="89"/>
        <v>10.384621884667185</v>
      </c>
      <c r="AD90" s="308">
        <v>646.11915699999997</v>
      </c>
      <c r="AE90" s="289">
        <v>679.53</v>
      </c>
      <c r="AF90" s="289">
        <f>AE90-AD90</f>
        <v>33.410843</v>
      </c>
      <c r="AG90" s="289">
        <f t="shared" si="90"/>
        <v>9.3268540699725531</v>
      </c>
      <c r="AH90" s="308">
        <v>17.8</v>
      </c>
      <c r="AI90" s="289">
        <v>5.36</v>
      </c>
      <c r="AJ90" s="289">
        <f>AI90-AH90</f>
        <v>-12.440000000000001</v>
      </c>
      <c r="AK90" s="307">
        <f t="shared" si="91"/>
        <v>-3.4727068883134309</v>
      </c>
      <c r="AL90" s="308">
        <v>-59.8</v>
      </c>
      <c r="AM90" s="289">
        <v>-61.6</v>
      </c>
      <c r="AN90" s="289">
        <f>AM90-AL90</f>
        <v>-1.8000000000000043</v>
      </c>
      <c r="AO90" s="307">
        <f t="shared" si="92"/>
        <v>-0.50248170409679982</v>
      </c>
      <c r="AP90" s="308">
        <v>-74</v>
      </c>
      <c r="AQ90" s="289">
        <v>-76.3</v>
      </c>
      <c r="AR90" s="289">
        <f>AQ90-AP90</f>
        <v>-2.2999999999999972</v>
      </c>
      <c r="AS90" s="307">
        <f t="shared" si="93"/>
        <v>-0.64205995523479753</v>
      </c>
      <c r="AT90" s="308">
        <v>24.4</v>
      </c>
      <c r="AU90" s="289">
        <v>25.2</v>
      </c>
      <c r="AV90" s="289">
        <f>AU90-AT90</f>
        <v>0.80000000000000071</v>
      </c>
      <c r="AW90" s="307">
        <f t="shared" si="94"/>
        <v>0.2233252018207996</v>
      </c>
      <c r="AX90" s="308">
        <v>54954</v>
      </c>
      <c r="AY90" s="289">
        <v>55605</v>
      </c>
      <c r="AZ90" s="289">
        <f>AY90-AX90</f>
        <v>651</v>
      </c>
      <c r="BA90" s="307">
        <f t="shared" si="95"/>
        <v>181.73088298167551</v>
      </c>
      <c r="BB90" s="308">
        <v>23.2</v>
      </c>
      <c r="BC90" s="289">
        <v>23.8</v>
      </c>
      <c r="BD90" s="289">
        <f>BC90-BB90</f>
        <v>0.60000000000000142</v>
      </c>
      <c r="BE90" s="307">
        <f t="shared" si="96"/>
        <v>0.16749390136559994</v>
      </c>
      <c r="BF90" s="308">
        <v>0</v>
      </c>
      <c r="BG90" s="289">
        <v>0</v>
      </c>
      <c r="BH90" s="289">
        <f>BG90-BF90</f>
        <v>0</v>
      </c>
      <c r="BI90" s="307">
        <f t="shared" si="97"/>
        <v>0</v>
      </c>
      <c r="BJ90" s="281">
        <v>16.392744</v>
      </c>
      <c r="BK90" s="281">
        <v>15.349028000000001</v>
      </c>
      <c r="BL90" s="281">
        <f>BK90-BJ90</f>
        <v>-1.0437159999999999</v>
      </c>
      <c r="BM90" s="408">
        <v>0</v>
      </c>
      <c r="BN90" s="458">
        <v>0</v>
      </c>
      <c r="BO90" s="458">
        <f>BN90-BM90</f>
        <v>0</v>
      </c>
      <c r="BP90" s="408">
        <v>23.2</v>
      </c>
      <c r="BQ90" s="458">
        <v>23.8</v>
      </c>
      <c r="BR90" s="458">
        <f>BQ90-BP90</f>
        <v>0.60000000000000142</v>
      </c>
      <c r="BS90" s="281"/>
      <c r="BT90" s="281"/>
      <c r="BU90" s="281"/>
      <c r="BV90" s="281"/>
      <c r="BW90" s="298" t="s">
        <v>855</v>
      </c>
      <c r="BX90" s="422">
        <v>2198.4700045300001</v>
      </c>
      <c r="BY90" s="422">
        <v>-1.05245725</v>
      </c>
      <c r="BZ90" s="422">
        <v>2027.1648742100001</v>
      </c>
      <c r="CA90" s="422">
        <v>2048.7268485300001</v>
      </c>
      <c r="CB90" s="422">
        <v>2.9291108100000001</v>
      </c>
      <c r="CC90" s="422">
        <v>2.9657629999999999</v>
      </c>
      <c r="CD90" s="422">
        <v>-0.24426717000000001</v>
      </c>
      <c r="CE90" s="422">
        <v>3.5822085100000001</v>
      </c>
      <c r="CF90" s="422">
        <v>3.59098009</v>
      </c>
      <c r="CG90" s="422">
        <v>-1.00398399</v>
      </c>
      <c r="CH90" s="422">
        <v>-1.2358434899999999</v>
      </c>
      <c r="CI90" s="422">
        <v>0.59139306999999997</v>
      </c>
    </row>
    <row r="91" spans="1:87" ht="15" customHeight="1" x14ac:dyDescent="0.2">
      <c r="A91" s="297">
        <f t="shared" si="99"/>
        <v>62009021</v>
      </c>
      <c r="B91" s="297" t="s">
        <v>219</v>
      </c>
      <c r="C91" s="297" t="s">
        <v>630</v>
      </c>
      <c r="D91" s="326" t="s">
        <v>852</v>
      </c>
      <c r="E91" s="283" t="s">
        <v>853</v>
      </c>
      <c r="F91" s="310" t="str">
        <f t="shared" si="87"/>
        <v>09/16/20</v>
      </c>
      <c r="G91" s="298" t="s">
        <v>854</v>
      </c>
      <c r="H91" s="298" t="s">
        <v>775</v>
      </c>
      <c r="I91" s="306"/>
      <c r="J91" s="299">
        <v>20.523779000000001</v>
      </c>
      <c r="K91" s="299">
        <v>52.253672999999999</v>
      </c>
      <c r="L91" s="299">
        <v>29.285292999999999</v>
      </c>
      <c r="M91" s="299">
        <v>28.582194000000001</v>
      </c>
      <c r="N91" s="284">
        <v>3875</v>
      </c>
      <c r="O91" s="284">
        <v>28.39</v>
      </c>
      <c r="P91" s="284">
        <v>0.20169999999999999</v>
      </c>
      <c r="Q91" s="284">
        <v>1.932E-2</v>
      </c>
      <c r="R91" s="285">
        <v>3.8446383599999998</v>
      </c>
      <c r="S91" s="285">
        <f>R91+R90</f>
        <v>7.4268583399999999</v>
      </c>
      <c r="T91" s="314">
        <v>15.349028000000001</v>
      </c>
      <c r="U91" s="314">
        <v>14.483843</v>
      </c>
      <c r="V91" s="289">
        <v>55606</v>
      </c>
      <c r="W91" s="289">
        <v>56146</v>
      </c>
      <c r="X91" s="289">
        <f>W91-V91</f>
        <v>540</v>
      </c>
      <c r="Y91" s="289">
        <f t="shared" si="88"/>
        <v>140.45534311320768</v>
      </c>
      <c r="Z91" s="308">
        <v>781.2</v>
      </c>
      <c r="AA91" s="289">
        <v>813.3</v>
      </c>
      <c r="AB91" s="289">
        <f>AA91-Z91</f>
        <v>32.099999999999909</v>
      </c>
      <c r="AC91" s="289">
        <f t="shared" si="89"/>
        <v>8.3492898406184324</v>
      </c>
      <c r="AD91" s="308">
        <v>679.53</v>
      </c>
      <c r="AE91" s="289">
        <v>707.13</v>
      </c>
      <c r="AF91" s="289">
        <f>AE91-AD91</f>
        <v>27.600000000000023</v>
      </c>
      <c r="AG91" s="289">
        <f t="shared" si="90"/>
        <v>7.1788286480083983</v>
      </c>
      <c r="AH91" s="308">
        <v>5.36</v>
      </c>
      <c r="AI91" s="289">
        <v>10.75</v>
      </c>
      <c r="AJ91" s="289">
        <f>AI91-AH91</f>
        <v>5.39</v>
      </c>
      <c r="AK91" s="307">
        <f t="shared" si="91"/>
        <v>1.4019524062596098</v>
      </c>
      <c r="AL91" s="308">
        <v>-61.6</v>
      </c>
      <c r="AM91" s="289">
        <v>-64.7</v>
      </c>
      <c r="AN91" s="289">
        <f>AM91-AL91</f>
        <v>-3.1000000000000014</v>
      </c>
      <c r="AO91" s="307">
        <f t="shared" si="92"/>
        <v>-0.80631771046471101</v>
      </c>
      <c r="AP91" s="308">
        <v>-76.3</v>
      </c>
      <c r="AQ91" s="289">
        <v>-80.2</v>
      </c>
      <c r="AR91" s="289">
        <f>AQ91-AP91</f>
        <v>-3.9000000000000057</v>
      </c>
      <c r="AS91" s="307">
        <f t="shared" si="93"/>
        <v>-1.0143997002620568</v>
      </c>
      <c r="AT91" s="308">
        <v>25.2</v>
      </c>
      <c r="AU91" s="289">
        <v>26.4</v>
      </c>
      <c r="AV91" s="289">
        <f>AU91-AT91</f>
        <v>1.1999999999999993</v>
      </c>
      <c r="AW91" s="307">
        <f t="shared" si="94"/>
        <v>0.31212298469601685</v>
      </c>
      <c r="AX91" s="308">
        <v>55605</v>
      </c>
      <c r="AY91" s="289">
        <v>56143</v>
      </c>
      <c r="AZ91" s="289">
        <f>AY91-AX91</f>
        <v>538</v>
      </c>
      <c r="BA91" s="307">
        <f t="shared" si="95"/>
        <v>139.93513813871431</v>
      </c>
      <c r="BB91" s="308">
        <v>23.8</v>
      </c>
      <c r="BC91" s="289">
        <v>25</v>
      </c>
      <c r="BD91" s="289">
        <f>BC91-BB91</f>
        <v>1.1999999999999993</v>
      </c>
      <c r="BE91" s="307">
        <f t="shared" si="96"/>
        <v>0.31212298469601685</v>
      </c>
      <c r="BF91" s="308">
        <v>0</v>
      </c>
      <c r="BG91" s="289">
        <v>0</v>
      </c>
      <c r="BH91" s="289">
        <f>BG91-BF91</f>
        <v>0</v>
      </c>
      <c r="BI91" s="307">
        <f t="shared" si="97"/>
        <v>0</v>
      </c>
      <c r="BJ91" s="281">
        <v>15.349028000000001</v>
      </c>
      <c r="BK91" s="281">
        <v>14.483843</v>
      </c>
      <c r="BL91" s="281">
        <f>BK91-BJ91</f>
        <v>-0.86518500000000031</v>
      </c>
      <c r="BM91" s="408">
        <v>0</v>
      </c>
      <c r="BN91" s="458">
        <v>0</v>
      </c>
      <c r="BO91" s="458">
        <f>BN91-BM91</f>
        <v>0</v>
      </c>
      <c r="BP91" s="408">
        <v>23.8</v>
      </c>
      <c r="BQ91" s="458">
        <v>25</v>
      </c>
      <c r="BR91" s="458">
        <f>BQ91-BP91</f>
        <v>1.1999999999999993</v>
      </c>
      <c r="BS91" s="281"/>
      <c r="BT91" s="281"/>
      <c r="BU91" s="281"/>
      <c r="BV91" s="281"/>
      <c r="BW91" s="298" t="s">
        <v>855</v>
      </c>
      <c r="BX91" s="422">
        <v>1348.4388606499999</v>
      </c>
      <c r="BY91" s="422">
        <v>-1.3873012499999999</v>
      </c>
      <c r="BZ91" s="422">
        <v>3368.6423938799999</v>
      </c>
      <c r="CA91" s="422">
        <v>3416.0330632499999</v>
      </c>
      <c r="CB91" s="422">
        <v>2.6996774299999999</v>
      </c>
      <c r="CC91" s="422">
        <v>2.7415486100000002</v>
      </c>
      <c r="CD91" s="422">
        <v>-0.39755078999999999</v>
      </c>
      <c r="CE91" s="422">
        <v>3.8444843099999999</v>
      </c>
      <c r="CF91" s="422">
        <v>3.8598290899999999</v>
      </c>
      <c r="CG91" s="422">
        <v>-1.1472531500000001</v>
      </c>
      <c r="CH91" s="422">
        <v>-1.52728215</v>
      </c>
      <c r="CI91" s="422">
        <v>0.71727587999999998</v>
      </c>
    </row>
    <row r="92" spans="1:87" ht="15" customHeight="1" x14ac:dyDescent="0.2">
      <c r="A92" s="297">
        <f t="shared" si="99"/>
        <v>62009021</v>
      </c>
      <c r="B92" s="297" t="s">
        <v>839</v>
      </c>
      <c r="C92" s="297" t="s">
        <v>840</v>
      </c>
      <c r="D92" s="326" t="s">
        <v>852</v>
      </c>
      <c r="E92" s="283" t="s">
        <v>853</v>
      </c>
      <c r="F92" s="310" t="str">
        <f t="shared" si="87"/>
        <v>09/16/20</v>
      </c>
      <c r="G92" s="298" t="s">
        <v>854</v>
      </c>
      <c r="H92" s="298" t="s">
        <v>775</v>
      </c>
      <c r="I92" s="306"/>
      <c r="J92" s="300">
        <f>AVERAGE(J90:J91)</f>
        <v>20.743687000000001</v>
      </c>
      <c r="K92" s="300">
        <f>AVERAGE(K90:K91)</f>
        <v>51.754520999999997</v>
      </c>
      <c r="L92" s="300">
        <f>AVERAGE(L90:L91)</f>
        <v>29.288047499999998</v>
      </c>
      <c r="M92" s="300">
        <f>AVERAGE(M90:M91)</f>
        <v>28.829641500000001</v>
      </c>
      <c r="N92" s="286"/>
      <c r="O92" s="284"/>
      <c r="P92" s="302"/>
      <c r="Q92" s="301"/>
      <c r="R92" s="287">
        <f>R91+R90</f>
        <v>7.4268583399999999</v>
      </c>
      <c r="S92" s="287">
        <f>S91</f>
        <v>7.4268583399999999</v>
      </c>
      <c r="T92" s="315">
        <f>T90</f>
        <v>16.392744</v>
      </c>
      <c r="U92" s="315">
        <f>U91</f>
        <v>14.483843</v>
      </c>
      <c r="V92" s="290">
        <f>V90</f>
        <v>54955</v>
      </c>
      <c r="W92" s="290">
        <f>W91</f>
        <v>56146</v>
      </c>
      <c r="X92" s="290">
        <f>SUM(X90:X91)</f>
        <v>1191</v>
      </c>
      <c r="Y92" s="290">
        <f t="shared" si="88"/>
        <v>160.36390428849893</v>
      </c>
      <c r="Z92" s="290">
        <f>Z90</f>
        <v>744</v>
      </c>
      <c r="AA92" s="290">
        <f>AA91</f>
        <v>813.3</v>
      </c>
      <c r="AB92" s="290">
        <f>SUM(AB90:AB91)</f>
        <v>69.299999999999955</v>
      </c>
      <c r="AC92" s="290">
        <f t="shared" si="89"/>
        <v>9.3309979573408626</v>
      </c>
      <c r="AD92" s="290">
        <f>AD90</f>
        <v>646.11915699999997</v>
      </c>
      <c r="AE92" s="290">
        <f>AE91</f>
        <v>707.13</v>
      </c>
      <c r="AF92" s="290">
        <f>SUM(AF90:AF91)</f>
        <v>61.010843000000023</v>
      </c>
      <c r="AG92" s="290">
        <f t="shared" si="90"/>
        <v>8.2148925167192601</v>
      </c>
      <c r="AH92" s="290">
        <f>AH90</f>
        <v>17.8</v>
      </c>
      <c r="AI92" s="290">
        <f>AI91</f>
        <v>10.75</v>
      </c>
      <c r="AJ92" s="290">
        <f>SUM(AJ90:AJ91)</f>
        <v>-7.0500000000000016</v>
      </c>
      <c r="AK92" s="288">
        <f t="shared" si="91"/>
        <v>-0.94925736795459081</v>
      </c>
      <c r="AL92" s="290">
        <f>AL90</f>
        <v>-59.8</v>
      </c>
      <c r="AM92" s="290">
        <f>AM91</f>
        <v>-64.7</v>
      </c>
      <c r="AN92" s="290">
        <f>SUM(AN90:AN91)</f>
        <v>-4.9000000000000057</v>
      </c>
      <c r="AO92" s="288">
        <f t="shared" si="92"/>
        <v>-0.65976753233723395</v>
      </c>
      <c r="AP92" s="290">
        <f>AP90</f>
        <v>-74</v>
      </c>
      <c r="AQ92" s="290">
        <f>AQ91</f>
        <v>-80.2</v>
      </c>
      <c r="AR92" s="290">
        <f>SUM(AR90:AR91)</f>
        <v>-6.2000000000000028</v>
      </c>
      <c r="AS92" s="288">
        <f t="shared" si="93"/>
        <v>-0.83480789805935662</v>
      </c>
      <c r="AT92" s="290">
        <f>AT90</f>
        <v>24.4</v>
      </c>
      <c r="AU92" s="290">
        <f>AU91</f>
        <v>26.4</v>
      </c>
      <c r="AV92" s="290">
        <f>SUM(AV90:AV91)</f>
        <v>2</v>
      </c>
      <c r="AW92" s="288">
        <f t="shared" si="94"/>
        <v>0.26929287034172783</v>
      </c>
      <c r="AX92" s="290">
        <f>AX90</f>
        <v>54954</v>
      </c>
      <c r="AY92" s="290">
        <f>AY91</f>
        <v>56143</v>
      </c>
      <c r="AZ92" s="290">
        <f>SUM(AZ90:AZ91)</f>
        <v>1189</v>
      </c>
      <c r="BA92" s="288">
        <f t="shared" si="95"/>
        <v>160.0946114181572</v>
      </c>
      <c r="BB92" s="290">
        <f>BB90</f>
        <v>23.2</v>
      </c>
      <c r="BC92" s="290">
        <f>BC91</f>
        <v>25</v>
      </c>
      <c r="BD92" s="290">
        <f>SUM(BD90:BD91)</f>
        <v>1.8000000000000007</v>
      </c>
      <c r="BE92" s="288">
        <f t="shared" si="96"/>
        <v>0.24236358330755514</v>
      </c>
      <c r="BF92" s="290">
        <f>BF90</f>
        <v>0</v>
      </c>
      <c r="BG92" s="290">
        <f>BG91</f>
        <v>0</v>
      </c>
      <c r="BH92" s="290">
        <f>SUM(BH90:BH91)</f>
        <v>0</v>
      </c>
      <c r="BI92" s="288">
        <f t="shared" si="97"/>
        <v>0</v>
      </c>
      <c r="BJ92" s="282"/>
      <c r="BK92" s="282"/>
      <c r="BL92" s="282">
        <f>SUM(BL90:BL91)</f>
        <v>-1.9089010000000002</v>
      </c>
      <c r="BM92" s="459">
        <f>BM90</f>
        <v>0</v>
      </c>
      <c r="BN92" s="459">
        <f>BN91</f>
        <v>0</v>
      </c>
      <c r="BO92" s="459">
        <f>SUM(BO90:BO91)</f>
        <v>0</v>
      </c>
      <c r="BP92" s="459">
        <f>BP90</f>
        <v>23.2</v>
      </c>
      <c r="BQ92" s="459">
        <f>BQ91</f>
        <v>25</v>
      </c>
      <c r="BR92" s="459">
        <f>SUM(BR90:BR91)</f>
        <v>1.8000000000000007</v>
      </c>
      <c r="BS92" s="282"/>
      <c r="BT92" s="282"/>
      <c r="BU92" s="282"/>
      <c r="BV92" s="282"/>
      <c r="BW92" s="298" t="s">
        <v>855</v>
      </c>
    </row>
    <row r="93" spans="1:87" ht="15" customHeight="1" x14ac:dyDescent="0.2">
      <c r="A93" s="297">
        <f t="shared" si="99"/>
        <v>62009021</v>
      </c>
      <c r="B93" s="297" t="s">
        <v>55</v>
      </c>
      <c r="C93" s="297" t="s">
        <v>631</v>
      </c>
      <c r="D93" s="326" t="s">
        <v>852</v>
      </c>
      <c r="E93" s="283" t="s">
        <v>853</v>
      </c>
      <c r="F93" s="310" t="str">
        <f t="shared" si="87"/>
        <v>09/16/20</v>
      </c>
      <c r="G93" s="298" t="s">
        <v>854</v>
      </c>
      <c r="H93" s="298" t="s">
        <v>775</v>
      </c>
      <c r="I93" s="306"/>
      <c r="J93" s="299">
        <v>25.679169000000002</v>
      </c>
      <c r="K93" s="299">
        <v>38.079515999999998</v>
      </c>
      <c r="L93" s="299">
        <v>29.29298</v>
      </c>
      <c r="M93" s="299">
        <v>29.760366000000001</v>
      </c>
      <c r="N93" s="284">
        <v>3875</v>
      </c>
      <c r="O93" s="284">
        <v>28.39</v>
      </c>
      <c r="P93" s="284">
        <v>0.20169999999999999</v>
      </c>
      <c r="Q93" s="284">
        <v>1.932E-2</v>
      </c>
      <c r="R93" s="285">
        <v>10.24641703</v>
      </c>
      <c r="S93" s="285">
        <f>R93+R92</f>
        <v>17.673275369999999</v>
      </c>
      <c r="T93" s="314">
        <v>14.482317</v>
      </c>
      <c r="U93" s="314">
        <v>11.248934999999999</v>
      </c>
      <c r="V93" s="289">
        <v>56147</v>
      </c>
      <c r="W93" s="289">
        <v>58154</v>
      </c>
      <c r="X93" s="289">
        <f>W93-V93</f>
        <v>2007</v>
      </c>
      <c r="Y93" s="289">
        <f t="shared" si="88"/>
        <v>195.87334715381968</v>
      </c>
      <c r="Z93" s="308">
        <v>814.1</v>
      </c>
      <c r="AA93" s="289">
        <v>847.9</v>
      </c>
      <c r="AB93" s="289">
        <f>AA93-Z93</f>
        <v>33.799999999999955</v>
      </c>
      <c r="AC93" s="289">
        <f t="shared" si="89"/>
        <v>3.2987140676627287</v>
      </c>
      <c r="AD93" s="308">
        <v>707.76</v>
      </c>
      <c r="AE93" s="289">
        <v>737.2</v>
      </c>
      <c r="AF93" s="289">
        <f>AE93-AD93</f>
        <v>29.440000000000055</v>
      </c>
      <c r="AG93" s="289">
        <f t="shared" si="90"/>
        <v>2.8731994719523977</v>
      </c>
      <c r="AH93" s="308">
        <v>10.78</v>
      </c>
      <c r="AI93" s="289">
        <v>11.48</v>
      </c>
      <c r="AJ93" s="289">
        <f>AI93-AH93</f>
        <v>0.70000000000000107</v>
      </c>
      <c r="AK93" s="307">
        <f t="shared" si="91"/>
        <v>6.8316563531476818E-2</v>
      </c>
      <c r="AL93" s="308">
        <v>-64.8</v>
      </c>
      <c r="AM93" s="289">
        <v>-67.5</v>
      </c>
      <c r="AN93" s="289">
        <f>AM93-AL93</f>
        <v>-2.7000000000000028</v>
      </c>
      <c r="AO93" s="307">
        <f t="shared" si="92"/>
        <v>-0.26350674504998189</v>
      </c>
      <c r="AP93" s="308">
        <v>-80.2</v>
      </c>
      <c r="AQ93" s="289">
        <v>-83.6</v>
      </c>
      <c r="AR93" s="289">
        <f>AQ93-AP93</f>
        <v>-3.3999999999999915</v>
      </c>
      <c r="AS93" s="307">
        <f t="shared" si="93"/>
        <v>-0.33182330858145753</v>
      </c>
      <c r="AT93" s="308">
        <v>26.4</v>
      </c>
      <c r="AU93" s="289">
        <v>27.5</v>
      </c>
      <c r="AV93" s="289">
        <f>AU93-AT93</f>
        <v>1.1000000000000014</v>
      </c>
      <c r="AW93" s="307">
        <f t="shared" si="94"/>
        <v>0.10735459983517784</v>
      </c>
      <c r="AX93" s="308">
        <v>56144</v>
      </c>
      <c r="AY93" s="289">
        <v>58151</v>
      </c>
      <c r="AZ93" s="289">
        <f>AY93-AX93</f>
        <v>2007</v>
      </c>
      <c r="BA93" s="307">
        <f t="shared" si="95"/>
        <v>195.87334715381968</v>
      </c>
      <c r="BB93" s="308">
        <v>25</v>
      </c>
      <c r="BC93" s="289">
        <v>26.1</v>
      </c>
      <c r="BD93" s="289">
        <f>BC93-BB93</f>
        <v>1.1000000000000014</v>
      </c>
      <c r="BE93" s="307">
        <f t="shared" si="96"/>
        <v>0.10735459983517784</v>
      </c>
      <c r="BF93" s="308">
        <v>0</v>
      </c>
      <c r="BG93" s="289">
        <v>0</v>
      </c>
      <c r="BH93" s="289">
        <f>BG93-BF93</f>
        <v>0</v>
      </c>
      <c r="BI93" s="307">
        <f t="shared" si="97"/>
        <v>0</v>
      </c>
      <c r="BJ93" s="281">
        <v>14.482317</v>
      </c>
      <c r="BK93" s="281">
        <v>11.248934999999999</v>
      </c>
      <c r="BL93" s="281">
        <f>BK93-BJ93</f>
        <v>-3.2333820000000006</v>
      </c>
      <c r="BM93" s="408">
        <v>0</v>
      </c>
      <c r="BN93" s="458">
        <v>0</v>
      </c>
      <c r="BO93" s="458">
        <f>BN93-BM93</f>
        <v>0</v>
      </c>
      <c r="BP93" s="408">
        <v>25</v>
      </c>
      <c r="BQ93" s="458">
        <v>26.1</v>
      </c>
      <c r="BR93" s="458">
        <f>BQ93-BP93</f>
        <v>1.1000000000000014</v>
      </c>
      <c r="BS93" s="281"/>
      <c r="BT93" s="281"/>
      <c r="BU93" s="281"/>
      <c r="BV93" s="281"/>
      <c r="BW93" s="298" t="s">
        <v>855</v>
      </c>
      <c r="BX93" s="422">
        <v>1772.9500344</v>
      </c>
      <c r="BY93" s="422">
        <v>1.7651056700000001</v>
      </c>
      <c r="BZ93" s="422">
        <v>1329.76968528</v>
      </c>
      <c r="CA93" s="422">
        <v>1306.7049618999999</v>
      </c>
      <c r="CB93" s="422">
        <v>7.3000106999999996</v>
      </c>
      <c r="CC93" s="422">
        <v>7.3153474200000002</v>
      </c>
      <c r="CD93" s="422">
        <v>-9.9260630000000002E-2</v>
      </c>
      <c r="CE93" s="422">
        <v>10.24649947</v>
      </c>
      <c r="CF93" s="422">
        <v>10.256680319999999</v>
      </c>
      <c r="CG93" s="422">
        <v>-0.11062267000000001</v>
      </c>
      <c r="CH93" s="422">
        <v>-0.20965137</v>
      </c>
      <c r="CI93" s="422">
        <v>0.28264839000000003</v>
      </c>
    </row>
    <row r="94" spans="1:87" ht="15" customHeight="1" x14ac:dyDescent="0.2">
      <c r="A94" s="297">
        <f t="shared" si="99"/>
        <v>62009021</v>
      </c>
      <c r="B94" s="297" t="s">
        <v>841</v>
      </c>
      <c r="C94" s="297" t="s">
        <v>810</v>
      </c>
      <c r="D94" s="326" t="s">
        <v>852</v>
      </c>
      <c r="E94" s="283" t="s">
        <v>853</v>
      </c>
      <c r="F94" s="310" t="str">
        <f t="shared" si="87"/>
        <v>09/16/20</v>
      </c>
      <c r="G94" s="298" t="s">
        <v>854</v>
      </c>
      <c r="H94" s="298" t="s">
        <v>775</v>
      </c>
      <c r="I94" s="306"/>
      <c r="J94" s="299">
        <v>21.218207</v>
      </c>
      <c r="K94" s="299">
        <v>49.023224999999996</v>
      </c>
      <c r="L94" s="299">
        <v>29.272117999999999</v>
      </c>
      <c r="M94" s="299">
        <v>29.181063999999999</v>
      </c>
      <c r="N94" s="284">
        <v>3875</v>
      </c>
      <c r="O94" s="284">
        <v>28.39</v>
      </c>
      <c r="P94" s="284">
        <v>0.20169999999999999</v>
      </c>
      <c r="Q94" s="284">
        <v>1.932E-2</v>
      </c>
      <c r="R94" s="285">
        <v>3.5821804400000001</v>
      </c>
      <c r="S94" s="285">
        <f>R94+R93</f>
        <v>13.82859747</v>
      </c>
      <c r="T94" s="314">
        <v>11.244357000000001</v>
      </c>
      <c r="U94" s="314">
        <v>10.171649</v>
      </c>
      <c r="V94" s="289">
        <v>58159</v>
      </c>
      <c r="W94" s="289">
        <v>58819</v>
      </c>
      <c r="X94" s="289">
        <f>W94-V94</f>
        <v>660</v>
      </c>
      <c r="Y94" s="289">
        <f t="shared" si="88"/>
        <v>184.24532517407189</v>
      </c>
      <c r="Z94" s="308">
        <v>852</v>
      </c>
      <c r="AA94" s="289">
        <v>898.6</v>
      </c>
      <c r="AB94" s="289">
        <f>AA94-Z94</f>
        <v>46.600000000000023</v>
      </c>
      <c r="AC94" s="289">
        <f t="shared" si="89"/>
        <v>13.008836595623871</v>
      </c>
      <c r="AD94" s="308">
        <v>740.84799899999996</v>
      </c>
      <c r="AE94" s="289">
        <v>782.99</v>
      </c>
      <c r="AF94" s="289">
        <f>AE94-AD94</f>
        <v>42.14200100000005</v>
      </c>
      <c r="AG94" s="289">
        <f t="shared" si="90"/>
        <v>11.764343451107687</v>
      </c>
      <c r="AH94" s="308">
        <v>22.37</v>
      </c>
      <c r="AI94" s="289">
        <v>1.465773</v>
      </c>
      <c r="AJ94" s="289">
        <f>AI94-AH94</f>
        <v>-20.904227000000002</v>
      </c>
      <c r="AK94" s="307">
        <f t="shared" si="91"/>
        <v>-5.8356153047388091</v>
      </c>
      <c r="AL94" s="308">
        <v>-67.7</v>
      </c>
      <c r="AM94" s="289">
        <v>-69.477367000000001</v>
      </c>
      <c r="AN94" s="289">
        <f>AM94-AL94</f>
        <v>-1.7773669999999981</v>
      </c>
      <c r="AO94" s="307">
        <f t="shared" si="92"/>
        <v>-0.49616903161918835</v>
      </c>
      <c r="AP94" s="308">
        <v>-83.7</v>
      </c>
      <c r="AQ94" s="289">
        <v>-85.9</v>
      </c>
      <c r="AR94" s="289">
        <f>AQ94-AP94</f>
        <v>-2.2000000000000028</v>
      </c>
      <c r="AS94" s="307">
        <f t="shared" si="93"/>
        <v>-0.61415108391357376</v>
      </c>
      <c r="AT94" s="308">
        <v>27.6</v>
      </c>
      <c r="AU94" s="289">
        <v>28.3</v>
      </c>
      <c r="AV94" s="289">
        <f>AU94-AT94</f>
        <v>0.69999999999999929</v>
      </c>
      <c r="AW94" s="307">
        <f t="shared" si="94"/>
        <v>0.19541170851795486</v>
      </c>
      <c r="AX94" s="308">
        <v>58155</v>
      </c>
      <c r="AY94" s="289">
        <v>58815</v>
      </c>
      <c r="AZ94" s="289">
        <f>AY94-AX94</f>
        <v>660</v>
      </c>
      <c r="BA94" s="307">
        <f t="shared" si="95"/>
        <v>184.24532517407189</v>
      </c>
      <c r="BB94" s="308">
        <v>26.9</v>
      </c>
      <c r="BC94" s="289">
        <v>27.6</v>
      </c>
      <c r="BD94" s="289">
        <f>BC94-BB94</f>
        <v>0.70000000000000284</v>
      </c>
      <c r="BE94" s="307">
        <f t="shared" si="96"/>
        <v>0.19541170851795583</v>
      </c>
      <c r="BF94" s="308">
        <v>0</v>
      </c>
      <c r="BG94" s="289">
        <v>0</v>
      </c>
      <c r="BH94" s="289">
        <f>BG94-BF94</f>
        <v>0</v>
      </c>
      <c r="BI94" s="307">
        <f t="shared" si="97"/>
        <v>0</v>
      </c>
      <c r="BJ94" s="281">
        <v>11.244357000000001</v>
      </c>
      <c r="BK94" s="281">
        <v>10.171649</v>
      </c>
      <c r="BL94" s="281">
        <f>BK94-BJ94</f>
        <v>-1.0727080000000004</v>
      </c>
      <c r="BM94" s="408">
        <v>0</v>
      </c>
      <c r="BN94" s="458">
        <v>0</v>
      </c>
      <c r="BO94" s="458">
        <f>BN94-BM94</f>
        <v>0</v>
      </c>
      <c r="BP94" s="408">
        <v>26.9</v>
      </c>
      <c r="BQ94" s="458">
        <v>27.6</v>
      </c>
      <c r="BR94" s="458">
        <f>BQ94-BP94</f>
        <v>0.70000000000000284</v>
      </c>
      <c r="BS94" s="281"/>
      <c r="BT94" s="281"/>
      <c r="BU94" s="281"/>
      <c r="BV94" s="281"/>
      <c r="BW94" s="298" t="s">
        <v>855</v>
      </c>
      <c r="BX94" s="422">
        <v>2196.3893239600002</v>
      </c>
      <c r="BY94" s="422">
        <v>-1.0098166</v>
      </c>
      <c r="BZ94" s="422">
        <v>2027.97026228</v>
      </c>
      <c r="CA94" s="422">
        <v>2048.6579503200001</v>
      </c>
      <c r="CB94" s="422">
        <v>2.9309977200000001</v>
      </c>
      <c r="CC94" s="422">
        <v>2.9656679499999998</v>
      </c>
      <c r="CD94" s="422">
        <v>-0.24561036999999999</v>
      </c>
      <c r="CE94" s="422">
        <v>3.58215978</v>
      </c>
      <c r="CF94" s="422">
        <v>3.5909795999999998</v>
      </c>
      <c r="CG94" s="422">
        <v>-0.93436578999999997</v>
      </c>
      <c r="CH94" s="422">
        <v>-1.1690529300000001</v>
      </c>
      <c r="CI94" s="422">
        <v>0.59138356999999997</v>
      </c>
    </row>
    <row r="95" spans="1:87" ht="15" customHeight="1" x14ac:dyDescent="0.2">
      <c r="A95" s="297">
        <f t="shared" si="99"/>
        <v>62009021</v>
      </c>
      <c r="B95" s="297" t="s">
        <v>842</v>
      </c>
      <c r="C95" s="297" t="s">
        <v>634</v>
      </c>
      <c r="D95" s="326" t="s">
        <v>852</v>
      </c>
      <c r="E95" s="283" t="s">
        <v>853</v>
      </c>
      <c r="F95" s="310" t="str">
        <f t="shared" si="87"/>
        <v>09/16/20</v>
      </c>
      <c r="G95" s="298" t="s">
        <v>854</v>
      </c>
      <c r="H95" s="298" t="s">
        <v>775</v>
      </c>
      <c r="I95" s="306"/>
      <c r="J95" s="299">
        <v>18.967707000000001</v>
      </c>
      <c r="K95" s="299">
        <v>56.132807999999997</v>
      </c>
      <c r="L95" s="299">
        <v>29.269646000000002</v>
      </c>
      <c r="M95" s="299">
        <v>28.255358000000001</v>
      </c>
      <c r="N95" s="284">
        <v>3875</v>
      </c>
      <c r="O95" s="284">
        <v>28.39</v>
      </c>
      <c r="P95" s="284">
        <v>0.20169999999999999</v>
      </c>
      <c r="Q95" s="284">
        <v>1.932E-2</v>
      </c>
      <c r="R95" s="285">
        <v>3.8459797600000001</v>
      </c>
      <c r="S95" s="285">
        <f>R95+R94</f>
        <v>7.4281602000000007</v>
      </c>
      <c r="T95" s="314">
        <v>10.171649</v>
      </c>
      <c r="U95" s="314">
        <v>9.3018859999999997</v>
      </c>
      <c r="V95" s="289">
        <v>58819</v>
      </c>
      <c r="W95" s="289">
        <v>59354</v>
      </c>
      <c r="X95" s="289">
        <f>W95-V95</f>
        <v>535</v>
      </c>
      <c r="Y95" s="289">
        <f t="shared" si="88"/>
        <v>139.10629628482496</v>
      </c>
      <c r="Z95" s="308">
        <v>898.6</v>
      </c>
      <c r="AA95" s="289">
        <v>926.8</v>
      </c>
      <c r="AB95" s="289">
        <f>AA95-Z95</f>
        <v>28.199999999999932</v>
      </c>
      <c r="AC95" s="289">
        <f t="shared" si="89"/>
        <v>7.3323318789384198</v>
      </c>
      <c r="AD95" s="308">
        <v>782.99</v>
      </c>
      <c r="AE95" s="289">
        <v>806.88</v>
      </c>
      <c r="AF95" s="289">
        <f>AE95-AD95</f>
        <v>23.889999999999986</v>
      </c>
      <c r="AG95" s="289">
        <f t="shared" si="90"/>
        <v>6.2116811555971339</v>
      </c>
      <c r="AH95" s="308">
        <v>1.47</v>
      </c>
      <c r="AI95" s="289">
        <v>10.71</v>
      </c>
      <c r="AJ95" s="289">
        <f>AI95-AH95</f>
        <v>9.24</v>
      </c>
      <c r="AK95" s="307">
        <f t="shared" si="91"/>
        <v>2.4025087433117434</v>
      </c>
      <c r="AL95" s="308">
        <v>-69.5</v>
      </c>
      <c r="AM95" s="289">
        <v>-72.599999999999994</v>
      </c>
      <c r="AN95" s="289">
        <f>AM95-AL95</f>
        <v>-3.0999999999999943</v>
      </c>
      <c r="AO95" s="307">
        <f t="shared" si="92"/>
        <v>-0.80603648314571319</v>
      </c>
      <c r="AP95" s="308">
        <v>-85.9</v>
      </c>
      <c r="AQ95" s="289">
        <v>-89.7</v>
      </c>
      <c r="AR95" s="289">
        <f>AQ95-AP95</f>
        <v>-3.7999999999999972</v>
      </c>
      <c r="AS95" s="307">
        <f t="shared" si="93"/>
        <v>-0.98804472127539145</v>
      </c>
      <c r="AT95" s="308">
        <v>28.3</v>
      </c>
      <c r="AU95" s="289">
        <v>29.6</v>
      </c>
      <c r="AV95" s="289">
        <f>AU95-AT95</f>
        <v>1.3000000000000007</v>
      </c>
      <c r="AW95" s="307">
        <f t="shared" si="94"/>
        <v>0.33801529938368702</v>
      </c>
      <c r="AX95" s="308">
        <v>58815</v>
      </c>
      <c r="AY95" s="289">
        <v>59348</v>
      </c>
      <c r="AZ95" s="289">
        <f>AY95-AX95</f>
        <v>533</v>
      </c>
      <c r="BA95" s="307">
        <f t="shared" si="95"/>
        <v>138.5862727473116</v>
      </c>
      <c r="BB95" s="308">
        <v>27.6</v>
      </c>
      <c r="BC95" s="289">
        <v>28.7</v>
      </c>
      <c r="BD95" s="289">
        <f>BC95-BB95</f>
        <v>1.0999999999999979</v>
      </c>
      <c r="BE95" s="307">
        <f t="shared" si="96"/>
        <v>0.2860129456323498</v>
      </c>
      <c r="BF95" s="308">
        <v>0</v>
      </c>
      <c r="BG95" s="289">
        <v>0</v>
      </c>
      <c r="BH95" s="289">
        <f>BG95-BF95</f>
        <v>0</v>
      </c>
      <c r="BI95" s="307">
        <f t="shared" si="97"/>
        <v>0</v>
      </c>
      <c r="BJ95" s="281">
        <v>10.171649</v>
      </c>
      <c r="BK95" s="281">
        <v>9.3018859999999997</v>
      </c>
      <c r="BL95" s="281">
        <f>BK95-BJ95</f>
        <v>-0.86976300000000073</v>
      </c>
      <c r="BM95" s="408">
        <v>0</v>
      </c>
      <c r="BN95" s="458">
        <v>0</v>
      </c>
      <c r="BO95" s="458">
        <f>BN95-BM95</f>
        <v>0</v>
      </c>
      <c r="BP95" s="408">
        <v>27.6</v>
      </c>
      <c r="BQ95" s="458">
        <v>28.7</v>
      </c>
      <c r="BR95" s="458">
        <f>BQ95-BP95</f>
        <v>1.0999999999999979</v>
      </c>
      <c r="BS95" s="281"/>
      <c r="BT95" s="281"/>
      <c r="BU95" s="281"/>
      <c r="BV95" s="281"/>
      <c r="BW95" s="298" t="s">
        <v>855</v>
      </c>
      <c r="BX95" s="422">
        <v>1348.7606128299999</v>
      </c>
      <c r="BY95" s="422">
        <v>-1.58568675</v>
      </c>
      <c r="BZ95" s="422">
        <v>3361.8850679500001</v>
      </c>
      <c r="CA95" s="422">
        <v>3416.0529673199999</v>
      </c>
      <c r="CB95" s="422">
        <v>2.69909518</v>
      </c>
      <c r="CC95" s="422">
        <v>2.7415515500000001</v>
      </c>
      <c r="CD95" s="422">
        <v>-0.36060386999999999</v>
      </c>
      <c r="CE95" s="422">
        <v>3.84591101</v>
      </c>
      <c r="CF95" s="422">
        <v>3.8598297100000001</v>
      </c>
      <c r="CG95" s="422">
        <v>-1.2067092399999999</v>
      </c>
      <c r="CH95" s="422">
        <v>-1.5486257000000001</v>
      </c>
      <c r="CI95" s="422">
        <v>0.71728071999999998</v>
      </c>
    </row>
    <row r="96" spans="1:87" ht="15" customHeight="1" x14ac:dyDescent="0.2">
      <c r="A96" s="297">
        <f t="shared" si="99"/>
        <v>62009021</v>
      </c>
      <c r="B96" s="297" t="s">
        <v>843</v>
      </c>
      <c r="C96" s="297" t="s">
        <v>635</v>
      </c>
      <c r="D96" s="326" t="s">
        <v>852</v>
      </c>
      <c r="E96" s="283" t="s">
        <v>853</v>
      </c>
      <c r="F96" s="310" t="str">
        <f t="shared" si="87"/>
        <v>09/16/20</v>
      </c>
      <c r="G96" s="298" t="s">
        <v>854</v>
      </c>
      <c r="H96" s="298" t="s">
        <v>775</v>
      </c>
      <c r="I96" s="306"/>
      <c r="J96" s="300">
        <f>AVERAGE(J94:J95)</f>
        <v>20.092956999999998</v>
      </c>
      <c r="K96" s="300">
        <f>AVERAGE(K94:K95)</f>
        <v>52.578016499999997</v>
      </c>
      <c r="L96" s="300">
        <f>AVERAGE(L94:L95)</f>
        <v>29.270882</v>
      </c>
      <c r="M96" s="300">
        <f>AVERAGE(M94:M95)</f>
        <v>28.718211</v>
      </c>
      <c r="N96" s="286"/>
      <c r="O96" s="284"/>
      <c r="P96" s="302"/>
      <c r="Q96" s="301"/>
      <c r="R96" s="287">
        <f>R95+R94</f>
        <v>7.4281602000000007</v>
      </c>
      <c r="S96" s="287">
        <f>S95</f>
        <v>7.4281602000000007</v>
      </c>
      <c r="T96" s="315">
        <f>T94</f>
        <v>11.244357000000001</v>
      </c>
      <c r="U96" s="315">
        <f>U95</f>
        <v>9.3018859999999997</v>
      </c>
      <c r="V96" s="290">
        <f>V94</f>
        <v>58159</v>
      </c>
      <c r="W96" s="290">
        <f>W95</f>
        <v>59354</v>
      </c>
      <c r="X96" s="290">
        <f>SUM(X94:X95)</f>
        <v>1195</v>
      </c>
      <c r="Y96" s="290">
        <f t="shared" si="88"/>
        <v>160.87429024484419</v>
      </c>
      <c r="Z96" s="290">
        <f>Z94</f>
        <v>852</v>
      </c>
      <c r="AA96" s="290">
        <f>AA95</f>
        <v>926.8</v>
      </c>
      <c r="AB96" s="290">
        <f>SUM(AB94:AB95)</f>
        <v>74.799999999999955</v>
      </c>
      <c r="AC96" s="290">
        <f t="shared" si="89"/>
        <v>10.069788209468065</v>
      </c>
      <c r="AD96" s="290">
        <f>AD94</f>
        <v>740.84799899999996</v>
      </c>
      <c r="AE96" s="290">
        <f>AE95</f>
        <v>806.88</v>
      </c>
      <c r="AF96" s="290">
        <f>SUM(AF94:AF95)</f>
        <v>66.032001000000037</v>
      </c>
      <c r="AG96" s="290">
        <f t="shared" si="90"/>
        <v>8.8894153090559396</v>
      </c>
      <c r="AH96" s="290">
        <f>AH94</f>
        <v>22.37</v>
      </c>
      <c r="AI96" s="290">
        <f>AI95</f>
        <v>10.71</v>
      </c>
      <c r="AJ96" s="290">
        <f>SUM(AJ94:AJ95)</f>
        <v>-11.664227000000002</v>
      </c>
      <c r="AK96" s="288">
        <f t="shared" si="91"/>
        <v>-1.5702713304433042</v>
      </c>
      <c r="AL96" s="290">
        <f>AL94</f>
        <v>-67.7</v>
      </c>
      <c r="AM96" s="290">
        <f>AM95</f>
        <v>-72.599999999999994</v>
      </c>
      <c r="AN96" s="290">
        <f>SUM(AN94:AN95)</f>
        <v>-4.8773669999999925</v>
      </c>
      <c r="AO96" s="288">
        <f t="shared" si="92"/>
        <v>-0.65660498275198642</v>
      </c>
      <c r="AP96" s="290">
        <f>AP94</f>
        <v>-83.7</v>
      </c>
      <c r="AQ96" s="290">
        <f>AQ95</f>
        <v>-89.7</v>
      </c>
      <c r="AR96" s="290">
        <f>SUM(AR94:AR95)</f>
        <v>-6</v>
      </c>
      <c r="AS96" s="288">
        <f t="shared" si="93"/>
        <v>-0.80773702214984533</v>
      </c>
      <c r="AT96" s="290">
        <f>AT94</f>
        <v>27.6</v>
      </c>
      <c r="AU96" s="290">
        <f>AU95</f>
        <v>29.6</v>
      </c>
      <c r="AV96" s="290">
        <f>SUM(AV94:AV95)</f>
        <v>2</v>
      </c>
      <c r="AW96" s="288">
        <f t="shared" si="94"/>
        <v>0.26924567404994842</v>
      </c>
      <c r="AX96" s="290">
        <f>AX94</f>
        <v>58155</v>
      </c>
      <c r="AY96" s="290">
        <f>AY95</f>
        <v>59348</v>
      </c>
      <c r="AZ96" s="290">
        <f>SUM(AZ94:AZ95)</f>
        <v>1193</v>
      </c>
      <c r="BA96" s="288">
        <f t="shared" si="95"/>
        <v>160.60504457079423</v>
      </c>
      <c r="BB96" s="290">
        <f>BB94</f>
        <v>26.9</v>
      </c>
      <c r="BC96" s="290">
        <f>BC95</f>
        <v>28.7</v>
      </c>
      <c r="BD96" s="290">
        <f>SUM(BD94:BD95)</f>
        <v>1.8000000000000007</v>
      </c>
      <c r="BE96" s="288">
        <f t="shared" si="96"/>
        <v>0.24232110664495368</v>
      </c>
      <c r="BF96" s="290">
        <f>BF94</f>
        <v>0</v>
      </c>
      <c r="BG96" s="290">
        <f>BG95</f>
        <v>0</v>
      </c>
      <c r="BH96" s="290">
        <f>SUM(BH94:BH95)</f>
        <v>0</v>
      </c>
      <c r="BI96" s="288">
        <f t="shared" si="97"/>
        <v>0</v>
      </c>
      <c r="BJ96" s="282"/>
      <c r="BK96" s="282"/>
      <c r="BL96" s="282">
        <f>SUM(BL94:BL95)</f>
        <v>-1.9424710000000012</v>
      </c>
      <c r="BM96" s="459">
        <f>BM94</f>
        <v>0</v>
      </c>
      <c r="BN96" s="459">
        <f>BN95</f>
        <v>0</v>
      </c>
      <c r="BO96" s="459">
        <f>SUM(BO94:BO95)</f>
        <v>0</v>
      </c>
      <c r="BP96" s="459">
        <f>BP94</f>
        <v>26.9</v>
      </c>
      <c r="BQ96" s="459">
        <f>BQ95</f>
        <v>28.7</v>
      </c>
      <c r="BR96" s="459">
        <f>SUM(BR94:BR95)</f>
        <v>1.8000000000000007</v>
      </c>
      <c r="BS96" s="282"/>
      <c r="BT96" s="282"/>
      <c r="BU96" s="282"/>
      <c r="BV96" s="282"/>
      <c r="BW96" s="298" t="s">
        <v>855</v>
      </c>
    </row>
    <row r="97" spans="1:87" ht="15" customHeight="1" x14ac:dyDescent="0.2">
      <c r="A97" s="297">
        <f>A96+1</f>
        <v>62009022</v>
      </c>
      <c r="B97" s="297" t="s">
        <v>833</v>
      </c>
      <c r="C97" s="297" t="s">
        <v>626</v>
      </c>
      <c r="D97" s="326" t="s">
        <v>781</v>
      </c>
      <c r="E97" s="283" t="s">
        <v>856</v>
      </c>
      <c r="F97" s="310" t="str">
        <f t="shared" si="87"/>
        <v>09/16/20</v>
      </c>
      <c r="G97" s="298" t="s">
        <v>857</v>
      </c>
      <c r="H97" s="298" t="s">
        <v>775</v>
      </c>
      <c r="I97" s="306"/>
      <c r="J97" s="299">
        <v>26.898574</v>
      </c>
      <c r="K97" s="299">
        <v>35.073528000000003</v>
      </c>
      <c r="L97" s="299">
        <v>29.28219</v>
      </c>
      <c r="M97" s="299">
        <v>30.998992999999999</v>
      </c>
      <c r="N97" s="284">
        <v>3875</v>
      </c>
      <c r="O97" s="284">
        <v>28.39</v>
      </c>
      <c r="P97" s="284">
        <v>0.20169999999999999</v>
      </c>
      <c r="Q97" s="284">
        <v>1.932E-2</v>
      </c>
      <c r="R97" s="285">
        <v>19.649254070000001</v>
      </c>
      <c r="S97" s="285">
        <f>R97+R96</f>
        <v>27.077414270000002</v>
      </c>
      <c r="T97" s="314">
        <v>9.2957830000000001</v>
      </c>
      <c r="U97" s="314">
        <v>0.169375</v>
      </c>
      <c r="V97" s="289">
        <v>59360</v>
      </c>
      <c r="W97" s="289">
        <v>64499</v>
      </c>
      <c r="X97" s="289">
        <f>W97-V97</f>
        <v>5139</v>
      </c>
      <c r="Y97" s="289">
        <f t="shared" si="88"/>
        <v>261.53664570127876</v>
      </c>
      <c r="Z97" s="308">
        <v>932.1</v>
      </c>
      <c r="AA97" s="289">
        <v>999.6</v>
      </c>
      <c r="AB97" s="289">
        <f>AA97-Z97</f>
        <v>67.5</v>
      </c>
      <c r="AC97" s="289">
        <f t="shared" si="89"/>
        <v>3.4352449085106667</v>
      </c>
      <c r="AD97" s="308">
        <v>811.537734</v>
      </c>
      <c r="AE97" s="289">
        <v>871.63</v>
      </c>
      <c r="AF97" s="289">
        <f>AE97-AD97</f>
        <v>60.092265999999995</v>
      </c>
      <c r="AG97" s="289">
        <f t="shared" si="90"/>
        <v>3.0582466787758316</v>
      </c>
      <c r="AH97" s="308">
        <v>21.102266</v>
      </c>
      <c r="AI97" s="289">
        <v>9.14</v>
      </c>
      <c r="AJ97" s="289">
        <f>AI97-AH97</f>
        <v>-11.962266</v>
      </c>
      <c r="AK97" s="307">
        <f t="shared" si="91"/>
        <v>-0.6087898277148186</v>
      </c>
      <c r="AL97" s="308">
        <v>-72.8</v>
      </c>
      <c r="AM97" s="289">
        <v>-76.5</v>
      </c>
      <c r="AN97" s="289">
        <f>AM97-AL97</f>
        <v>-3.7000000000000028</v>
      </c>
      <c r="AO97" s="307">
        <f t="shared" si="92"/>
        <v>-0.18830231350354781</v>
      </c>
      <c r="AP97" s="308">
        <v>-89.9</v>
      </c>
      <c r="AQ97" s="289">
        <v>-94.6</v>
      </c>
      <c r="AR97" s="289">
        <f>AQ97-AP97</f>
        <v>-4.6999999999999886</v>
      </c>
      <c r="AS97" s="307">
        <f t="shared" si="93"/>
        <v>-0.23919483066666808</v>
      </c>
      <c r="AT97" s="308">
        <v>29.6</v>
      </c>
      <c r="AU97" s="289">
        <v>31.2</v>
      </c>
      <c r="AV97" s="289">
        <f>AU97-AT97</f>
        <v>1.5999999999999979</v>
      </c>
      <c r="AW97" s="307">
        <f t="shared" si="94"/>
        <v>8.142802746099348E-2</v>
      </c>
      <c r="AX97" s="308">
        <v>59354</v>
      </c>
      <c r="AY97" s="289">
        <v>64494</v>
      </c>
      <c r="AZ97" s="289">
        <f>AY97-AX97</f>
        <v>5140</v>
      </c>
      <c r="BA97" s="307">
        <f t="shared" si="95"/>
        <v>261.58753821844186</v>
      </c>
      <c r="BB97" s="308">
        <v>29.6</v>
      </c>
      <c r="BC97" s="289">
        <v>31.2</v>
      </c>
      <c r="BD97" s="289">
        <f>BC97-BB97</f>
        <v>1.5999999999999979</v>
      </c>
      <c r="BE97" s="307">
        <f t="shared" si="96"/>
        <v>8.142802746099348E-2</v>
      </c>
      <c r="BF97" s="308">
        <v>0</v>
      </c>
      <c r="BG97" s="289">
        <v>0</v>
      </c>
      <c r="BH97" s="289">
        <f>BG97-BF97</f>
        <v>0</v>
      </c>
      <c r="BI97" s="307">
        <f t="shared" si="97"/>
        <v>0</v>
      </c>
      <c r="BJ97" s="281">
        <v>9.2957830000000001</v>
      </c>
      <c r="BK97" s="281">
        <v>0.169375</v>
      </c>
      <c r="BL97" s="281">
        <f>BK97-BJ97</f>
        <v>-9.1264079999999996</v>
      </c>
      <c r="BM97" s="408">
        <v>0</v>
      </c>
      <c r="BN97" s="458">
        <v>0</v>
      </c>
      <c r="BO97" s="458">
        <f>BN97-BM97</f>
        <v>0</v>
      </c>
      <c r="BP97" s="408">
        <v>29.6</v>
      </c>
      <c r="BQ97" s="458">
        <v>31.2</v>
      </c>
      <c r="BR97" s="458">
        <f>BQ97-BP97</f>
        <v>1.5999999999999979</v>
      </c>
      <c r="BS97" s="281"/>
      <c r="BT97" s="281"/>
      <c r="BU97" s="281"/>
      <c r="BV97" s="281"/>
      <c r="BW97" s="298" t="s">
        <v>855</v>
      </c>
      <c r="BX97" s="422">
        <v>102.95191978</v>
      </c>
      <c r="BY97" s="422">
        <v>31.367601029999999</v>
      </c>
      <c r="BZ97" s="422">
        <v>763.44544072999997</v>
      </c>
      <c r="CA97" s="422">
        <v>581.15200000000004</v>
      </c>
      <c r="CB97" s="422">
        <v>17.015481609999998</v>
      </c>
      <c r="CC97" s="422">
        <v>19.320744090000002</v>
      </c>
      <c r="CD97" s="422">
        <v>-7.21893384</v>
      </c>
      <c r="CE97" s="422">
        <v>19.64941709</v>
      </c>
      <c r="CF97" s="422">
        <v>21.178261800000001</v>
      </c>
      <c r="CG97" s="422">
        <v>-5.3510724300000003</v>
      </c>
      <c r="CH97" s="422">
        <v>-11.93154088</v>
      </c>
      <c r="CI97" s="422">
        <v>3.8983110000000001E-2</v>
      </c>
    </row>
    <row r="98" spans="1:87" ht="15" customHeight="1" x14ac:dyDescent="0.2">
      <c r="A98" s="297">
        <f>A97+1</f>
        <v>62009023</v>
      </c>
      <c r="B98" s="339" t="s">
        <v>616</v>
      </c>
      <c r="C98" s="339" t="s">
        <v>626</v>
      </c>
      <c r="D98" s="326" t="s">
        <v>858</v>
      </c>
      <c r="E98" s="283" t="s">
        <v>859</v>
      </c>
      <c r="F98" s="310" t="str">
        <f t="shared" si="87"/>
        <v>09/16/20</v>
      </c>
      <c r="G98" s="298" t="s">
        <v>860</v>
      </c>
      <c r="H98" s="298" t="s">
        <v>775</v>
      </c>
      <c r="I98" s="306"/>
      <c r="J98" s="299">
        <v>1109.4782809999999</v>
      </c>
      <c r="K98" s="299">
        <v>2375.3852299999999</v>
      </c>
      <c r="L98" s="299">
        <v>1484.39896</v>
      </c>
      <c r="M98" s="299">
        <v>1110.5294180000001</v>
      </c>
      <c r="N98" s="284">
        <v>3875</v>
      </c>
      <c r="O98" s="284">
        <v>28.39</v>
      </c>
      <c r="P98" s="284">
        <v>0.20169999999999999</v>
      </c>
      <c r="Q98" s="284">
        <v>1.932E-2</v>
      </c>
      <c r="R98" s="285">
        <v>1.521584E-2</v>
      </c>
      <c r="S98" s="285">
        <f>R98+R97</f>
        <v>19.664469910000001</v>
      </c>
      <c r="T98" s="314" t="s">
        <v>1154</v>
      </c>
      <c r="U98" s="314" t="s">
        <v>1155</v>
      </c>
      <c r="V98" s="289">
        <v>64498</v>
      </c>
      <c r="W98" s="289">
        <v>64356</v>
      </c>
      <c r="X98" s="289">
        <f>W98-V98</f>
        <v>-142</v>
      </c>
      <c r="Y98" s="289">
        <f t="shared" si="88"/>
        <v>-9332.3799409036892</v>
      </c>
      <c r="Z98" s="308">
        <v>1003.6</v>
      </c>
      <c r="AA98" s="289">
        <v>1578</v>
      </c>
      <c r="AB98" s="289">
        <f>AA98-Z98</f>
        <v>574.4</v>
      </c>
      <c r="AC98" s="289">
        <f t="shared" si="89"/>
        <v>37750.134070810418</v>
      </c>
      <c r="AD98" s="308">
        <v>875.18695200000002</v>
      </c>
      <c r="AE98" s="289">
        <v>1286.21</v>
      </c>
      <c r="AF98" s="289">
        <f>AE98-AD98</f>
        <v>411.02304800000002</v>
      </c>
      <c r="AG98" s="289">
        <f t="shared" si="90"/>
        <v>27012.839777495032</v>
      </c>
      <c r="AH98" s="308">
        <v>20.69</v>
      </c>
      <c r="AI98" s="289">
        <v>-65.67</v>
      </c>
      <c r="AJ98" s="289">
        <f>AI98-AH98</f>
        <v>-86.36</v>
      </c>
      <c r="AK98" s="307">
        <f t="shared" si="91"/>
        <v>-5675.6643077214276</v>
      </c>
      <c r="AL98" s="308">
        <v>-76.599999999999994</v>
      </c>
      <c r="AM98" s="289">
        <v>-76.900000000000006</v>
      </c>
      <c r="AN98" s="289">
        <f>AM98-AL98</f>
        <v>-0.30000000000001137</v>
      </c>
      <c r="AO98" s="307">
        <f t="shared" si="92"/>
        <v>-19.716295649797274</v>
      </c>
      <c r="AP98" s="308">
        <v>-94.6</v>
      </c>
      <c r="AQ98" s="289">
        <v>-95</v>
      </c>
      <c r="AR98" s="289">
        <f>AQ98-AP98</f>
        <v>-0.40000000000000568</v>
      </c>
      <c r="AS98" s="307">
        <f t="shared" si="93"/>
        <v>-26.28839419972908</v>
      </c>
      <c r="AT98" s="308">
        <v>31.3</v>
      </c>
      <c r="AU98" s="289">
        <v>124</v>
      </c>
      <c r="AV98" s="289">
        <f>AU98-AT98</f>
        <v>92.7</v>
      </c>
      <c r="AW98" s="307">
        <f t="shared" si="94"/>
        <v>6092.3353557871278</v>
      </c>
      <c r="AX98" s="308">
        <v>64449</v>
      </c>
      <c r="AY98" s="289">
        <v>-1603</v>
      </c>
      <c r="AZ98" s="289">
        <f>AY98-AX98</f>
        <v>-66052</v>
      </c>
      <c r="BA98" s="307">
        <f t="shared" si="95"/>
        <v>-4341002.5342012011</v>
      </c>
      <c r="BB98" s="308">
        <v>84.039018999999996</v>
      </c>
      <c r="BC98" s="289">
        <v>71062.8</v>
      </c>
      <c r="BD98" s="289">
        <f>BC98-BB98</f>
        <v>70978.760980999999</v>
      </c>
      <c r="BE98" s="307">
        <f t="shared" si="96"/>
        <v>4664794.1211921265</v>
      </c>
      <c r="BF98" s="308">
        <v>-52.039019000000003</v>
      </c>
      <c r="BG98" s="289">
        <v>-70923.100000000006</v>
      </c>
      <c r="BH98" s="289">
        <f>BG98-BF98</f>
        <v>-70871.060981000002</v>
      </c>
      <c r="BI98" s="307">
        <f t="shared" si="97"/>
        <v>-4657715.971053849</v>
      </c>
      <c r="BJ98" s="281" t="s">
        <v>974</v>
      </c>
      <c r="BK98" s="281" t="s">
        <v>1156</v>
      </c>
      <c r="BL98" s="281" t="e">
        <f>BK98-BJ98</f>
        <v>#VALUE!</v>
      </c>
      <c r="BM98" s="408">
        <v>-52.039019000000003</v>
      </c>
      <c r="BN98" s="458">
        <v>-70923.100000000006</v>
      </c>
      <c r="BO98" s="458">
        <f>BN98-BM98</f>
        <v>-70871.060981000002</v>
      </c>
      <c r="BP98" s="408">
        <v>84.039018999999996</v>
      </c>
      <c r="BQ98" s="458">
        <v>71062.8</v>
      </c>
      <c r="BR98" s="458">
        <f>BQ98-BP98</f>
        <v>70978.760980999999</v>
      </c>
      <c r="BS98" s="281"/>
      <c r="BT98" s="281"/>
      <c r="BU98" s="281"/>
      <c r="BV98" s="281"/>
      <c r="BW98" s="298" t="s">
        <v>855</v>
      </c>
      <c r="BX98" s="422">
        <v>0</v>
      </c>
      <c r="BY98" s="422" t="s">
        <v>777</v>
      </c>
      <c r="BZ98" s="422">
        <v>0</v>
      </c>
      <c r="CA98" s="422">
        <v>0</v>
      </c>
      <c r="CB98" s="422">
        <v>0</v>
      </c>
      <c r="CC98" s="422">
        <v>0</v>
      </c>
      <c r="CD98" s="422" t="s">
        <v>777</v>
      </c>
      <c r="CE98" s="422">
        <v>0</v>
      </c>
      <c r="CF98" s="422">
        <v>0</v>
      </c>
      <c r="CG98" s="422" t="s">
        <v>777</v>
      </c>
      <c r="CH98" s="422" t="s">
        <v>777</v>
      </c>
      <c r="CI98" s="422" t="s">
        <v>777</v>
      </c>
    </row>
    <row r="99" spans="1:87" ht="15" customHeight="1" x14ac:dyDescent="0.2">
      <c r="A99" s="457" t="s">
        <v>845</v>
      </c>
      <c r="B99" s="334"/>
      <c r="C99" s="334"/>
      <c r="D99" s="335"/>
      <c r="E99" s="334"/>
      <c r="F99" s="334"/>
      <c r="G99" s="335"/>
      <c r="H99" s="335"/>
      <c r="I99" s="335"/>
      <c r="J99" s="335"/>
      <c r="K99" s="335"/>
      <c r="L99" s="335"/>
      <c r="M99" s="335"/>
      <c r="N99" s="335"/>
      <c r="O99" s="335"/>
      <c r="P99" s="336"/>
      <c r="Q99" s="337"/>
      <c r="R99" s="334"/>
      <c r="S99" s="334"/>
      <c r="T99" s="334"/>
      <c r="U99" s="334"/>
      <c r="V99" s="341"/>
      <c r="W99" s="341"/>
      <c r="X99" s="334"/>
      <c r="Y99" s="334"/>
      <c r="Z99" s="341"/>
      <c r="AA99" s="341"/>
      <c r="AB99" s="334"/>
      <c r="AC99" s="334"/>
      <c r="AD99" s="341"/>
      <c r="AE99" s="341"/>
      <c r="AF99" s="334"/>
      <c r="AG99" s="334"/>
      <c r="AH99" s="334"/>
      <c r="AI99" s="334"/>
      <c r="AJ99" s="334"/>
      <c r="AK99" s="334"/>
      <c r="AL99" s="341"/>
      <c r="AM99" s="341"/>
      <c r="AN99" s="334"/>
      <c r="AO99" s="334"/>
      <c r="AP99" s="334"/>
      <c r="AQ99" s="334"/>
      <c r="AR99" s="334"/>
      <c r="AS99" s="334"/>
      <c r="AT99" s="334"/>
      <c r="AU99" s="334"/>
      <c r="AV99" s="334"/>
      <c r="AW99" s="334"/>
      <c r="AX99" s="334"/>
      <c r="AY99" s="334"/>
      <c r="AZ99" s="334"/>
      <c r="BA99" s="334"/>
      <c r="BB99" s="334"/>
      <c r="BC99" s="334"/>
      <c r="BD99" s="334"/>
      <c r="BE99" s="334"/>
      <c r="BF99" s="334"/>
      <c r="BG99" s="334"/>
      <c r="BH99" s="334"/>
      <c r="BI99" s="334"/>
      <c r="BJ99" s="334"/>
      <c r="BK99" s="334"/>
      <c r="BL99" s="338"/>
    </row>
    <row r="100" spans="1:87" ht="15" customHeight="1" x14ac:dyDescent="0.2">
      <c r="A100" s="297">
        <v>62009024</v>
      </c>
      <c r="B100" s="297" t="s">
        <v>607</v>
      </c>
      <c r="C100" s="297" t="s">
        <v>626</v>
      </c>
      <c r="D100" s="326" t="s">
        <v>778</v>
      </c>
      <c r="E100" s="283" t="s">
        <v>868</v>
      </c>
      <c r="F100" s="310" t="str">
        <f t="shared" si="87"/>
        <v>09/17/20</v>
      </c>
      <c r="G100" s="298" t="s">
        <v>869</v>
      </c>
      <c r="H100" s="298" t="s">
        <v>775</v>
      </c>
      <c r="I100" s="306"/>
      <c r="J100" s="299">
        <v>23.104479000000001</v>
      </c>
      <c r="K100" s="299">
        <v>43.594186000000001</v>
      </c>
      <c r="L100" s="299">
        <v>29.395071999999999</v>
      </c>
      <c r="M100" s="299">
        <v>25.131495999999999</v>
      </c>
      <c r="N100" s="284">
        <v>3875</v>
      </c>
      <c r="O100" s="284">
        <v>28.39</v>
      </c>
      <c r="P100" s="284">
        <v>0.20169999999999999</v>
      </c>
      <c r="Q100" s="284">
        <v>1.932E-2</v>
      </c>
      <c r="R100" s="285">
        <v>3.5739314599999998</v>
      </c>
      <c r="S100" s="285">
        <f>R100+R99</f>
        <v>3.5739314599999998</v>
      </c>
      <c r="T100" s="314">
        <v>97.382937999999996</v>
      </c>
      <c r="U100" s="314">
        <v>96.415516999999994</v>
      </c>
      <c r="V100" s="289">
        <v>-1</v>
      </c>
      <c r="W100" s="289">
        <v>742</v>
      </c>
      <c r="X100" s="289">
        <f>W100-V100</f>
        <v>743</v>
      </c>
      <c r="Y100" s="289">
        <f t="shared" ref="Y100:Y113" si="100">X100/$R100</f>
        <v>207.89430584099674</v>
      </c>
      <c r="Z100" s="308">
        <v>21.5</v>
      </c>
      <c r="AA100" s="289">
        <v>42.2</v>
      </c>
      <c r="AB100" s="289">
        <f>AA100-Z100</f>
        <v>20.700000000000003</v>
      </c>
      <c r="AC100" s="289">
        <f t="shared" ref="AC100:AC113" si="101">AB100/$R100</f>
        <v>5.7919409568083893</v>
      </c>
      <c r="AD100" s="308">
        <v>18.856397000000001</v>
      </c>
      <c r="AE100" s="289">
        <v>36.51</v>
      </c>
      <c r="AF100" s="289">
        <f>AE100-AD100</f>
        <v>17.653602999999997</v>
      </c>
      <c r="AG100" s="289">
        <f t="shared" ref="AG100:AG113" si="102">AF100/$R100</f>
        <v>4.9395471618809381</v>
      </c>
      <c r="AH100" s="308">
        <v>-3.726397</v>
      </c>
      <c r="AI100" s="289">
        <v>-0.64</v>
      </c>
      <c r="AJ100" s="289">
        <f>AI100-AH100</f>
        <v>3.0863969999999998</v>
      </c>
      <c r="AK100" s="307">
        <f t="shared" ref="AK100:AK113" si="103">AJ100/$R100</f>
        <v>0.86358595136572647</v>
      </c>
      <c r="AL100" s="308">
        <v>-0.1</v>
      </c>
      <c r="AM100" s="289">
        <v>-2.2000000000000002</v>
      </c>
      <c r="AN100" s="289">
        <f>AM100-AL100</f>
        <v>-2.1</v>
      </c>
      <c r="AO100" s="307">
        <f t="shared" ref="AO100:AO113" si="104">AN100/$R100</f>
        <v>-0.58758821300954667</v>
      </c>
      <c r="AP100" s="308">
        <v>0.1</v>
      </c>
      <c r="AQ100" s="289">
        <v>-2.6</v>
      </c>
      <c r="AR100" s="289">
        <f>AQ100-AP100</f>
        <v>-2.7</v>
      </c>
      <c r="AS100" s="307">
        <f t="shared" ref="AS100:AS113" si="105">AR100/$R100</f>
        <v>-0.75547055958370291</v>
      </c>
      <c r="AT100" s="308">
        <v>0.7</v>
      </c>
      <c r="AU100" s="289">
        <v>1.6</v>
      </c>
      <c r="AV100" s="289">
        <f>AU100-AT100</f>
        <v>0.90000000000000013</v>
      </c>
      <c r="AW100" s="307">
        <f t="shared" ref="AW100:AW113" si="106">AV100/$R100</f>
        <v>0.2518235198612343</v>
      </c>
      <c r="AX100" s="308">
        <v>-470</v>
      </c>
      <c r="AY100" s="289">
        <v>271</v>
      </c>
      <c r="AZ100" s="289">
        <f>AY100-AX100</f>
        <v>741</v>
      </c>
      <c r="BA100" s="307">
        <f t="shared" ref="BA100:BA113" si="107">AZ100/$R100</f>
        <v>207.33469801908291</v>
      </c>
      <c r="BB100" s="308">
        <v>522.29999999999995</v>
      </c>
      <c r="BC100" s="289">
        <v>523</v>
      </c>
      <c r="BD100" s="289">
        <f>BC100-BB100</f>
        <v>0.70000000000004547</v>
      </c>
      <c r="BE100" s="307">
        <f t="shared" ref="BE100:BE113" si="108">BD100/$R100</f>
        <v>0.19586273766986162</v>
      </c>
      <c r="BF100" s="308">
        <v>-521.20000000000005</v>
      </c>
      <c r="BG100" s="289">
        <v>-521.20000000000005</v>
      </c>
      <c r="BH100" s="289">
        <f>BG100-BF100</f>
        <v>0</v>
      </c>
      <c r="BI100" s="307">
        <f t="shared" ref="BI100:BI113" si="109">BH100/$R100</f>
        <v>0</v>
      </c>
      <c r="BJ100" s="281">
        <v>97.382937999999996</v>
      </c>
      <c r="BK100" s="281">
        <v>96.415516999999994</v>
      </c>
      <c r="BL100" s="281">
        <f>BK100-BJ100</f>
        <v>-0.96742100000000164</v>
      </c>
      <c r="BM100" s="408">
        <v>-521.20000000000005</v>
      </c>
      <c r="BN100" s="458">
        <v>-521.20000000000005</v>
      </c>
      <c r="BO100" s="458">
        <f>BN100-BM100</f>
        <v>0</v>
      </c>
      <c r="BP100" s="408">
        <v>522.29999999999995</v>
      </c>
      <c r="BQ100" s="458">
        <v>523</v>
      </c>
      <c r="BR100" s="458">
        <f>BQ100-BP100</f>
        <v>0.70000000000004547</v>
      </c>
      <c r="BS100" s="281"/>
      <c r="BT100" s="281"/>
      <c r="BU100" s="281"/>
      <c r="BV100" s="281"/>
      <c r="BW100" s="298" t="s">
        <v>855</v>
      </c>
      <c r="BX100" s="422">
        <v>2203.1761932600002</v>
      </c>
      <c r="BY100" s="422">
        <v>1.19050722</v>
      </c>
      <c r="BZ100" s="422">
        <v>2073.21640966</v>
      </c>
      <c r="CA100" s="422">
        <v>2048.8250000600001</v>
      </c>
      <c r="CB100" s="422">
        <v>2.9492919899999999</v>
      </c>
      <c r="CC100" s="422">
        <v>2.9658834000000001</v>
      </c>
      <c r="CD100" s="422">
        <v>-0.47729184000000002</v>
      </c>
      <c r="CE100" s="422">
        <v>3.57384075</v>
      </c>
      <c r="CF100" s="422">
        <v>3.5909802100000001</v>
      </c>
      <c r="CG100" s="422">
        <v>-8.2578750000000006E-2</v>
      </c>
      <c r="CH100" s="422">
        <v>-0.55940864000000001</v>
      </c>
      <c r="CI100" s="422">
        <v>0.59141021000000005</v>
      </c>
    </row>
    <row r="101" spans="1:87" ht="15" customHeight="1" x14ac:dyDescent="0.2">
      <c r="A101" s="297">
        <f>A100</f>
        <v>62009024</v>
      </c>
      <c r="B101" s="297" t="s">
        <v>608</v>
      </c>
      <c r="C101" s="297" t="s">
        <v>627</v>
      </c>
      <c r="D101" s="326" t="s">
        <v>778</v>
      </c>
      <c r="E101" s="283" t="s">
        <v>868</v>
      </c>
      <c r="F101" s="310" t="str">
        <f t="shared" si="87"/>
        <v>09/17/20</v>
      </c>
      <c r="G101" s="298" t="s">
        <v>869</v>
      </c>
      <c r="H101" s="298" t="s">
        <v>775</v>
      </c>
      <c r="I101" s="306"/>
      <c r="J101" s="299">
        <v>20.628426000000001</v>
      </c>
      <c r="K101" s="299">
        <v>50.389842999999999</v>
      </c>
      <c r="L101" s="299">
        <v>29.395864</v>
      </c>
      <c r="M101" s="299">
        <v>26.568296</v>
      </c>
      <c r="N101" s="284">
        <v>3875</v>
      </c>
      <c r="O101" s="284">
        <v>28.39</v>
      </c>
      <c r="P101" s="284">
        <v>0.20169999999999999</v>
      </c>
      <c r="Q101" s="284">
        <v>1.932E-2</v>
      </c>
      <c r="R101" s="285">
        <v>3.84363491</v>
      </c>
      <c r="S101" s="285">
        <f>R101+R100</f>
        <v>7.4175663699999994</v>
      </c>
      <c r="T101" s="314">
        <v>96.415516999999994</v>
      </c>
      <c r="U101" s="314">
        <v>95.651042000000004</v>
      </c>
      <c r="V101" s="289">
        <v>742</v>
      </c>
      <c r="W101" s="289">
        <v>1318</v>
      </c>
      <c r="X101" s="289">
        <f>W101-V101</f>
        <v>576</v>
      </c>
      <c r="Y101" s="289">
        <f t="shared" si="100"/>
        <v>149.85814560623814</v>
      </c>
      <c r="Z101" s="308">
        <v>42.3</v>
      </c>
      <c r="AA101" s="289">
        <v>78.599999999999994</v>
      </c>
      <c r="AB101" s="289">
        <f>AA101-Z101</f>
        <v>36.299999999999997</v>
      </c>
      <c r="AC101" s="289">
        <f t="shared" si="101"/>
        <v>9.444185217893132</v>
      </c>
      <c r="AD101" s="308">
        <v>36.520000000000003</v>
      </c>
      <c r="AE101" s="289">
        <v>67.375670999999997</v>
      </c>
      <c r="AF101" s="289">
        <f>AE101-AD101</f>
        <v>30.855670999999994</v>
      </c>
      <c r="AG101" s="289">
        <f t="shared" si="102"/>
        <v>8.0277320095419764</v>
      </c>
      <c r="AH101" s="308">
        <v>-0.64</v>
      </c>
      <c r="AI101" s="289">
        <v>1.77</v>
      </c>
      <c r="AJ101" s="289">
        <f>AI101-AH101</f>
        <v>2.41</v>
      </c>
      <c r="AK101" s="307">
        <f t="shared" si="103"/>
        <v>0.62701064394276718</v>
      </c>
      <c r="AL101" s="308">
        <v>-2.2000000000000002</v>
      </c>
      <c r="AM101" s="289">
        <v>-6</v>
      </c>
      <c r="AN101" s="289">
        <f>AM101-AL101</f>
        <v>-3.8</v>
      </c>
      <c r="AO101" s="307">
        <f t="shared" si="104"/>
        <v>-0.98864748837448768</v>
      </c>
      <c r="AP101" s="308">
        <v>-2.6</v>
      </c>
      <c r="AQ101" s="289">
        <v>-7.4</v>
      </c>
      <c r="AR101" s="289">
        <f>AQ101-AP101</f>
        <v>-4.8000000000000007</v>
      </c>
      <c r="AS101" s="307">
        <f t="shared" si="105"/>
        <v>-1.2488178800519847</v>
      </c>
      <c r="AT101" s="308">
        <v>1.6</v>
      </c>
      <c r="AU101" s="289">
        <v>3.1</v>
      </c>
      <c r="AV101" s="289">
        <f>AU101-AT101</f>
        <v>1.5</v>
      </c>
      <c r="AW101" s="307">
        <f t="shared" si="106"/>
        <v>0.39025558751624512</v>
      </c>
      <c r="AX101" s="308">
        <v>271</v>
      </c>
      <c r="AY101" s="289">
        <v>846</v>
      </c>
      <c r="AZ101" s="289">
        <f>AY101-AX101</f>
        <v>575</v>
      </c>
      <c r="BA101" s="307">
        <f t="shared" si="107"/>
        <v>149.59797521456065</v>
      </c>
      <c r="BB101" s="308">
        <v>523</v>
      </c>
      <c r="BC101" s="289">
        <v>524.20000000000005</v>
      </c>
      <c r="BD101" s="289">
        <f>BC101-BB101</f>
        <v>1.2000000000000455</v>
      </c>
      <c r="BE101" s="307">
        <f t="shared" si="108"/>
        <v>0.31220447001300794</v>
      </c>
      <c r="BF101" s="308">
        <v>-521.20000000000005</v>
      </c>
      <c r="BG101" s="289">
        <v>-521.20000000000005</v>
      </c>
      <c r="BH101" s="289">
        <f>BG101-BF101</f>
        <v>0</v>
      </c>
      <c r="BI101" s="307">
        <f t="shared" si="109"/>
        <v>0</v>
      </c>
      <c r="BJ101" s="281">
        <v>96.415516999999994</v>
      </c>
      <c r="BK101" s="281">
        <v>95.651042000000004</v>
      </c>
      <c r="BL101" s="281">
        <f>BK101-BJ101</f>
        <v>-0.76447499999999025</v>
      </c>
      <c r="BM101" s="408">
        <v>-521.20000000000005</v>
      </c>
      <c r="BN101" s="458">
        <v>-521.20000000000005</v>
      </c>
      <c r="BO101" s="458">
        <f>BN101-BM101</f>
        <v>0</v>
      </c>
      <c r="BP101" s="408">
        <v>523</v>
      </c>
      <c r="BQ101" s="458">
        <v>524.20000000000005</v>
      </c>
      <c r="BR101" s="458">
        <f>BQ101-BP101</f>
        <v>1.2000000000000455</v>
      </c>
      <c r="BS101" s="281"/>
      <c r="BT101" s="281"/>
      <c r="BU101" s="281"/>
      <c r="BV101" s="281"/>
      <c r="BW101" s="298" t="s">
        <v>855</v>
      </c>
      <c r="BX101" s="422">
        <v>1349.2370828400001</v>
      </c>
      <c r="BY101" s="422">
        <v>-1.46427569</v>
      </c>
      <c r="BZ101" s="422">
        <v>3366.12701388</v>
      </c>
      <c r="CA101" s="422">
        <v>3416.14885116</v>
      </c>
      <c r="CB101" s="422">
        <v>2.69917177</v>
      </c>
      <c r="CC101" s="422">
        <v>2.7416949800000001</v>
      </c>
      <c r="CD101" s="422">
        <v>-0.42286170000000001</v>
      </c>
      <c r="CE101" s="422">
        <v>3.84350864</v>
      </c>
      <c r="CF101" s="422">
        <v>3.8598303899999999</v>
      </c>
      <c r="CG101" s="422">
        <v>-1.14589366</v>
      </c>
      <c r="CH101" s="422">
        <v>-1.55098275</v>
      </c>
      <c r="CI101" s="422">
        <v>0.71727032000000002</v>
      </c>
    </row>
    <row r="102" spans="1:87" ht="15" customHeight="1" x14ac:dyDescent="0.2">
      <c r="A102" s="297">
        <f>A101</f>
        <v>62009024</v>
      </c>
      <c r="B102" s="297" t="s">
        <v>609</v>
      </c>
      <c r="C102" s="297" t="s">
        <v>628</v>
      </c>
      <c r="D102" s="326" t="s">
        <v>778</v>
      </c>
      <c r="E102" s="283" t="s">
        <v>868</v>
      </c>
      <c r="F102" s="310" t="str">
        <f t="shared" si="87"/>
        <v>09/17/20</v>
      </c>
      <c r="G102" s="298" t="s">
        <v>869</v>
      </c>
      <c r="H102" s="298" t="s">
        <v>775</v>
      </c>
      <c r="I102" s="306"/>
      <c r="J102" s="300">
        <f>AVERAGE(J100:J101)</f>
        <v>21.866452500000001</v>
      </c>
      <c r="K102" s="300">
        <f>AVERAGE(K100:K101)</f>
        <v>46.992014499999996</v>
      </c>
      <c r="L102" s="300">
        <f>AVERAGE(L100:L101)</f>
        <v>29.395468000000001</v>
      </c>
      <c r="M102" s="300">
        <f>AVERAGE(M100:M101)</f>
        <v>25.849896000000001</v>
      </c>
      <c r="N102" s="286"/>
      <c r="O102" s="284"/>
      <c r="P102" s="302"/>
      <c r="Q102" s="301"/>
      <c r="R102" s="287">
        <f>R101+R100</f>
        <v>7.4175663699999994</v>
      </c>
      <c r="S102" s="287">
        <f>S101</f>
        <v>7.4175663699999994</v>
      </c>
      <c r="T102" s="315">
        <f>T100</f>
        <v>97.382937999999996</v>
      </c>
      <c r="U102" s="315">
        <f>U101</f>
        <v>95.651042000000004</v>
      </c>
      <c r="V102" s="290">
        <f>V100</f>
        <v>-1</v>
      </c>
      <c r="W102" s="290">
        <f>W101</f>
        <v>1318</v>
      </c>
      <c r="X102" s="290">
        <f>SUM(X100:X101)</f>
        <v>1319</v>
      </c>
      <c r="Y102" s="290">
        <f t="shared" si="100"/>
        <v>177.82112544818389</v>
      </c>
      <c r="Z102" s="290">
        <f>Z100</f>
        <v>21.5</v>
      </c>
      <c r="AA102" s="290">
        <f>AA101</f>
        <v>78.599999999999994</v>
      </c>
      <c r="AB102" s="290">
        <f>SUM(AB100:AB101)</f>
        <v>57</v>
      </c>
      <c r="AC102" s="290">
        <f t="shared" si="101"/>
        <v>7.6844610694059758</v>
      </c>
      <c r="AD102" s="290">
        <f>AD100</f>
        <v>18.856397000000001</v>
      </c>
      <c r="AE102" s="290">
        <f>AE101</f>
        <v>67.375670999999997</v>
      </c>
      <c r="AF102" s="290">
        <f>SUM(AF100:AF101)</f>
        <v>48.509273999999991</v>
      </c>
      <c r="AG102" s="290">
        <f t="shared" si="102"/>
        <v>6.5397829396166216</v>
      </c>
      <c r="AH102" s="290">
        <f>AH100</f>
        <v>-3.726397</v>
      </c>
      <c r="AI102" s="290">
        <f>AI101</f>
        <v>1.77</v>
      </c>
      <c r="AJ102" s="290">
        <f>SUM(AJ100:AJ101)</f>
        <v>5.496397</v>
      </c>
      <c r="AK102" s="288">
        <f t="shared" si="103"/>
        <v>0.740997346815786</v>
      </c>
      <c r="AL102" s="290">
        <f>AL100</f>
        <v>-0.1</v>
      </c>
      <c r="AM102" s="290">
        <f>AM101</f>
        <v>-6</v>
      </c>
      <c r="AN102" s="290">
        <f>SUM(AN100:AN101)</f>
        <v>-5.9</v>
      </c>
      <c r="AO102" s="288">
        <f t="shared" si="104"/>
        <v>-0.79540912823675902</v>
      </c>
      <c r="AP102" s="290">
        <f>AP100</f>
        <v>0.1</v>
      </c>
      <c r="AQ102" s="290">
        <f>AQ101</f>
        <v>-7.4</v>
      </c>
      <c r="AR102" s="290">
        <f>SUM(AR100:AR101)</f>
        <v>-7.5000000000000009</v>
      </c>
      <c r="AS102" s="288">
        <f t="shared" si="105"/>
        <v>-1.0111132986060496</v>
      </c>
      <c r="AT102" s="290">
        <f>AT100</f>
        <v>0.7</v>
      </c>
      <c r="AU102" s="290">
        <f>AU101</f>
        <v>3.1</v>
      </c>
      <c r="AV102" s="290">
        <f>SUM(AV100:AV101)</f>
        <v>2.4000000000000004</v>
      </c>
      <c r="AW102" s="288">
        <f t="shared" si="106"/>
        <v>0.32355625555393591</v>
      </c>
      <c r="AX102" s="290">
        <f>AX100</f>
        <v>-470</v>
      </c>
      <c r="AY102" s="290">
        <f>AY101</f>
        <v>846</v>
      </c>
      <c r="AZ102" s="290">
        <f>SUM(AZ100:AZ101)</f>
        <v>1316</v>
      </c>
      <c r="BA102" s="288">
        <f t="shared" si="107"/>
        <v>177.41668012874149</v>
      </c>
      <c r="BB102" s="290">
        <f>BB100</f>
        <v>522.29999999999995</v>
      </c>
      <c r="BC102" s="290">
        <f>BC101</f>
        <v>524.20000000000005</v>
      </c>
      <c r="BD102" s="290">
        <f>SUM(BD100:BD101)</f>
        <v>1.9000000000000909</v>
      </c>
      <c r="BE102" s="288">
        <f t="shared" si="108"/>
        <v>0.25614870231354481</v>
      </c>
      <c r="BF102" s="290">
        <f>BF100</f>
        <v>-521.20000000000005</v>
      </c>
      <c r="BG102" s="290">
        <f>BG101</f>
        <v>-521.20000000000005</v>
      </c>
      <c r="BH102" s="290">
        <f>SUM(BH100:BH101)</f>
        <v>0</v>
      </c>
      <c r="BI102" s="288">
        <f t="shared" si="109"/>
        <v>0</v>
      </c>
      <c r="BJ102" s="282"/>
      <c r="BK102" s="282"/>
      <c r="BL102" s="282">
        <f>SUM(BL100:BL101)</f>
        <v>-1.7318959999999919</v>
      </c>
      <c r="BM102" s="459">
        <f>BM100</f>
        <v>-521.20000000000005</v>
      </c>
      <c r="BN102" s="459">
        <f>BN101</f>
        <v>-521.20000000000005</v>
      </c>
      <c r="BO102" s="459">
        <f>SUM(BO100:BO101)</f>
        <v>0</v>
      </c>
      <c r="BP102" s="459">
        <f>BP100</f>
        <v>522.29999999999995</v>
      </c>
      <c r="BQ102" s="459">
        <f>BQ101</f>
        <v>524.20000000000005</v>
      </c>
      <c r="BR102" s="459">
        <f>SUM(BR100:BR101)</f>
        <v>1.9000000000000909</v>
      </c>
      <c r="BS102" s="282"/>
      <c r="BT102" s="282"/>
      <c r="BU102" s="282"/>
      <c r="BV102" s="282"/>
      <c r="BW102" s="298" t="s">
        <v>855</v>
      </c>
    </row>
    <row r="103" spans="1:87" ht="15" customHeight="1" x14ac:dyDescent="0.2">
      <c r="A103" s="297">
        <f t="shared" ref="A103:A109" si="110">A102</f>
        <v>62009024</v>
      </c>
      <c r="B103" s="297" t="s">
        <v>610</v>
      </c>
      <c r="C103" s="297" t="s">
        <v>629</v>
      </c>
      <c r="D103" s="326" t="s">
        <v>778</v>
      </c>
      <c r="E103" s="283" t="s">
        <v>868</v>
      </c>
      <c r="F103" s="310" t="str">
        <f t="shared" si="87"/>
        <v>09/17/20</v>
      </c>
      <c r="G103" s="298" t="s">
        <v>869</v>
      </c>
      <c r="H103" s="298" t="s">
        <v>775</v>
      </c>
      <c r="I103" s="306"/>
      <c r="J103" s="299">
        <v>24.933250000000001</v>
      </c>
      <c r="K103" s="299">
        <v>39.218299999999999</v>
      </c>
      <c r="L103" s="299">
        <v>29.410008999999999</v>
      </c>
      <c r="M103" s="299">
        <v>28.173645</v>
      </c>
      <c r="N103" s="284">
        <v>3875</v>
      </c>
      <c r="O103" s="284">
        <v>28.39</v>
      </c>
      <c r="P103" s="284">
        <v>0.20169999999999999</v>
      </c>
      <c r="Q103" s="284">
        <v>1.932E-2</v>
      </c>
      <c r="R103" s="285">
        <v>10.24739578</v>
      </c>
      <c r="S103" s="285">
        <f>R103+R102</f>
        <v>17.664962150000001</v>
      </c>
      <c r="T103" s="314">
        <v>95.651042000000004</v>
      </c>
      <c r="U103" s="314">
        <v>92.889161999999999</v>
      </c>
      <c r="V103" s="289">
        <v>1319</v>
      </c>
      <c r="W103" s="289">
        <v>3384</v>
      </c>
      <c r="X103" s="289">
        <f>W103-V103</f>
        <v>2065</v>
      </c>
      <c r="Y103" s="289">
        <f t="shared" si="100"/>
        <v>201.51461350114849</v>
      </c>
      <c r="Z103" s="308">
        <v>79.3</v>
      </c>
      <c r="AA103" s="289">
        <v>113.2</v>
      </c>
      <c r="AB103" s="289">
        <f>AA103-Z103</f>
        <v>33.900000000000006</v>
      </c>
      <c r="AC103" s="289">
        <f t="shared" si="101"/>
        <v>3.3081575775733341</v>
      </c>
      <c r="AD103" s="308">
        <v>67.989999999999995</v>
      </c>
      <c r="AE103" s="289">
        <v>96.905427000000003</v>
      </c>
      <c r="AF103" s="289">
        <f>AE103-AD103</f>
        <v>28.915427000000008</v>
      </c>
      <c r="AG103" s="289">
        <f t="shared" si="102"/>
        <v>2.821734186985799</v>
      </c>
      <c r="AH103" s="308">
        <v>1.81</v>
      </c>
      <c r="AI103" s="289">
        <v>3.59</v>
      </c>
      <c r="AJ103" s="289">
        <f>AI103-AH103</f>
        <v>1.7799999999999998</v>
      </c>
      <c r="AK103" s="307">
        <f t="shared" si="103"/>
        <v>0.17370266926491248</v>
      </c>
      <c r="AL103" s="308">
        <v>-6.1</v>
      </c>
      <c r="AM103" s="289">
        <v>-9.4</v>
      </c>
      <c r="AN103" s="289">
        <f>AM103-AL103</f>
        <v>-3.3000000000000007</v>
      </c>
      <c r="AO103" s="307">
        <f t="shared" si="104"/>
        <v>-0.32203303852483783</v>
      </c>
      <c r="AP103" s="308">
        <v>-7.5</v>
      </c>
      <c r="AQ103" s="289">
        <v>-11.6</v>
      </c>
      <c r="AR103" s="289">
        <f>AQ103-AP103</f>
        <v>-4.0999999999999996</v>
      </c>
      <c r="AS103" s="307">
        <f t="shared" si="105"/>
        <v>-0.40010165392479841</v>
      </c>
      <c r="AT103" s="308">
        <v>3.1</v>
      </c>
      <c r="AU103" s="289">
        <v>4.5</v>
      </c>
      <c r="AV103" s="289">
        <f>AU103-AT103</f>
        <v>1.4</v>
      </c>
      <c r="AW103" s="307">
        <f t="shared" si="106"/>
        <v>0.13662007694993117</v>
      </c>
      <c r="AX103" s="308">
        <v>846</v>
      </c>
      <c r="AY103" s="289">
        <v>2911</v>
      </c>
      <c r="AZ103" s="289">
        <f>AY103-AX103</f>
        <v>2065</v>
      </c>
      <c r="BA103" s="307">
        <f t="shared" si="107"/>
        <v>201.51461350114849</v>
      </c>
      <c r="BB103" s="308">
        <v>524.20000000000005</v>
      </c>
      <c r="BC103" s="289">
        <v>525.29999999999995</v>
      </c>
      <c r="BD103" s="289">
        <f>BC103-BB103</f>
        <v>1.0999999999999091</v>
      </c>
      <c r="BE103" s="307">
        <f t="shared" si="108"/>
        <v>0.10734434617493704</v>
      </c>
      <c r="BF103" s="308">
        <v>-521.20000000000005</v>
      </c>
      <c r="BG103" s="289">
        <v>-521.20000000000005</v>
      </c>
      <c r="BH103" s="289">
        <f>BG103-BF103</f>
        <v>0</v>
      </c>
      <c r="BI103" s="307">
        <f t="shared" si="109"/>
        <v>0</v>
      </c>
      <c r="BJ103" s="281">
        <v>95.651042000000004</v>
      </c>
      <c r="BK103" s="281">
        <v>92.889161999999999</v>
      </c>
      <c r="BL103" s="281">
        <f>BK103-BJ103</f>
        <v>-2.761880000000005</v>
      </c>
      <c r="BM103" s="408">
        <v>-521.20000000000005</v>
      </c>
      <c r="BN103" s="458">
        <v>-521.20000000000005</v>
      </c>
      <c r="BO103" s="458">
        <f>BN103-BM103</f>
        <v>0</v>
      </c>
      <c r="BP103" s="408">
        <v>524.20000000000005</v>
      </c>
      <c r="BQ103" s="458">
        <v>525.29999999999995</v>
      </c>
      <c r="BR103" s="458">
        <f>BQ103-BP103</f>
        <v>1.0999999999999091</v>
      </c>
      <c r="BS103" s="281"/>
      <c r="BT103" s="281"/>
      <c r="BU103" s="281"/>
      <c r="BV103" s="281"/>
      <c r="BW103" s="298" t="s">
        <v>855</v>
      </c>
      <c r="BX103" s="422">
        <v>1773.12744344</v>
      </c>
      <c r="BY103" s="422">
        <v>1.55223964</v>
      </c>
      <c r="BZ103" s="422">
        <v>1327.0069167900001</v>
      </c>
      <c r="CA103" s="422">
        <v>1306.7234376599999</v>
      </c>
      <c r="CB103" s="422">
        <v>7.3010685799999999</v>
      </c>
      <c r="CC103" s="422">
        <v>7.31539465</v>
      </c>
      <c r="CD103" s="422">
        <v>-8.9804620000000002E-2</v>
      </c>
      <c r="CE103" s="422">
        <v>10.24746921</v>
      </c>
      <c r="CF103" s="422">
        <v>10.256680190000001</v>
      </c>
      <c r="CG103" s="422">
        <v>-0.10623803</v>
      </c>
      <c r="CH103" s="422">
        <v>-0.19583459</v>
      </c>
      <c r="CI103" s="422">
        <v>0.28265097</v>
      </c>
    </row>
    <row r="104" spans="1:87" ht="15" customHeight="1" x14ac:dyDescent="0.2">
      <c r="A104" s="297">
        <f t="shared" si="110"/>
        <v>62009024</v>
      </c>
      <c r="B104" s="297" t="s">
        <v>611</v>
      </c>
      <c r="C104" s="297" t="s">
        <v>630</v>
      </c>
      <c r="D104" s="326" t="s">
        <v>778</v>
      </c>
      <c r="E104" s="283" t="s">
        <v>868</v>
      </c>
      <c r="F104" s="310" t="str">
        <f t="shared" si="87"/>
        <v>09/17/20</v>
      </c>
      <c r="G104" s="298" t="s">
        <v>869</v>
      </c>
      <c r="H104" s="298" t="s">
        <v>775</v>
      </c>
      <c r="I104" s="306"/>
      <c r="J104" s="299">
        <v>20.509048</v>
      </c>
      <c r="K104" s="299">
        <v>51.322239000000003</v>
      </c>
      <c r="L104" s="299">
        <v>29.407467</v>
      </c>
      <c r="M104" s="299">
        <v>27.802543</v>
      </c>
      <c r="N104" s="284">
        <v>3875</v>
      </c>
      <c r="O104" s="284">
        <v>28.39</v>
      </c>
      <c r="P104" s="284">
        <v>0.20169999999999999</v>
      </c>
      <c r="Q104" s="284">
        <v>1.932E-2</v>
      </c>
      <c r="R104" s="285">
        <v>3.5825137699999998</v>
      </c>
      <c r="S104" s="285">
        <f>R104+R103</f>
        <v>13.82990955</v>
      </c>
      <c r="T104" s="314">
        <v>92.884585000000001</v>
      </c>
      <c r="U104" s="314">
        <v>92.002615000000006</v>
      </c>
      <c r="V104" s="289">
        <v>3389</v>
      </c>
      <c r="W104" s="289">
        <v>4042</v>
      </c>
      <c r="X104" s="289">
        <f>W104-V104</f>
        <v>653</v>
      </c>
      <c r="Y104" s="289">
        <f t="shared" si="100"/>
        <v>182.27424705753469</v>
      </c>
      <c r="Z104" s="308">
        <v>117.4</v>
      </c>
      <c r="AA104" s="289">
        <v>138.69999999999999</v>
      </c>
      <c r="AB104" s="289">
        <f>AA104-Z104</f>
        <v>21.299999999999983</v>
      </c>
      <c r="AC104" s="289">
        <f t="shared" si="101"/>
        <v>5.9455458841125362</v>
      </c>
      <c r="AD104" s="308">
        <v>100.53</v>
      </c>
      <c r="AE104" s="289">
        <v>118.73</v>
      </c>
      <c r="AF104" s="289">
        <f>AE104-AD104</f>
        <v>18.200000000000003</v>
      </c>
      <c r="AG104" s="289">
        <f t="shared" si="102"/>
        <v>5.0802316944060211</v>
      </c>
      <c r="AH104" s="308">
        <v>14.68</v>
      </c>
      <c r="AI104" s="289">
        <v>16.43</v>
      </c>
      <c r="AJ104" s="289">
        <f>AI104-AH104</f>
        <v>1.75</v>
      </c>
      <c r="AK104" s="307">
        <f t="shared" si="103"/>
        <v>0.48848381676980968</v>
      </c>
      <c r="AL104" s="308">
        <v>-9.6</v>
      </c>
      <c r="AM104" s="289">
        <v>-11.8</v>
      </c>
      <c r="AN104" s="289">
        <f>AM104-AL104</f>
        <v>-2.2000000000000011</v>
      </c>
      <c r="AO104" s="307">
        <f t="shared" si="104"/>
        <v>-0.61409394108204673</v>
      </c>
      <c r="AP104" s="308">
        <v>-11.6</v>
      </c>
      <c r="AQ104" s="289">
        <v>-14.3</v>
      </c>
      <c r="AR104" s="289">
        <f>AQ104-AP104</f>
        <v>-2.7000000000000011</v>
      </c>
      <c r="AS104" s="307">
        <f t="shared" si="105"/>
        <v>-0.75366074587342091</v>
      </c>
      <c r="AT104" s="308">
        <v>4.5</v>
      </c>
      <c r="AU104" s="289">
        <v>5.4</v>
      </c>
      <c r="AV104" s="289">
        <f>AU104-AT104</f>
        <v>0.90000000000000036</v>
      </c>
      <c r="AW104" s="307">
        <f t="shared" si="106"/>
        <v>0.25122024862447367</v>
      </c>
      <c r="AX104" s="308">
        <v>2916</v>
      </c>
      <c r="AY104" s="289">
        <v>3568</v>
      </c>
      <c r="AZ104" s="289">
        <f>AY104-AX104</f>
        <v>652</v>
      </c>
      <c r="BA104" s="307">
        <f t="shared" si="107"/>
        <v>181.99511344795195</v>
      </c>
      <c r="BB104" s="308">
        <v>526.1</v>
      </c>
      <c r="BC104" s="289">
        <v>526.79999999999995</v>
      </c>
      <c r="BD104" s="289">
        <f>BC104-BB104</f>
        <v>0.69999999999993179</v>
      </c>
      <c r="BE104" s="307">
        <f t="shared" si="108"/>
        <v>0.19539352670790483</v>
      </c>
      <c r="BF104" s="308">
        <v>-521.20000000000005</v>
      </c>
      <c r="BG104" s="289">
        <v>-521.20000000000005</v>
      </c>
      <c r="BH104" s="289">
        <f>BG104-BF104</f>
        <v>0</v>
      </c>
      <c r="BI104" s="307">
        <f t="shared" si="109"/>
        <v>0</v>
      </c>
      <c r="BJ104" s="281">
        <v>92.884585000000001</v>
      </c>
      <c r="BK104" s="281">
        <v>92.002615000000006</v>
      </c>
      <c r="BL104" s="281">
        <f>BK104-BJ104</f>
        <v>-0.88196999999999548</v>
      </c>
      <c r="BM104" s="408">
        <v>-521.20000000000005</v>
      </c>
      <c r="BN104" s="458">
        <v>-521.20000000000005</v>
      </c>
      <c r="BO104" s="458">
        <f>BN104-BM104</f>
        <v>0</v>
      </c>
      <c r="BP104" s="408">
        <v>526.1</v>
      </c>
      <c r="BQ104" s="458">
        <v>526.79999999999995</v>
      </c>
      <c r="BR104" s="458">
        <f>BQ104-BP104</f>
        <v>0.69999999999993179</v>
      </c>
      <c r="BS104" s="281"/>
      <c r="BT104" s="281"/>
      <c r="BU104" s="281"/>
      <c r="BV104" s="281"/>
      <c r="BW104" s="298" t="s">
        <v>855</v>
      </c>
      <c r="BX104" s="422">
        <v>2196.1370106499999</v>
      </c>
      <c r="BY104" s="422">
        <v>-1.1331953299999999</v>
      </c>
      <c r="BZ104" s="422">
        <v>2025.4323612799999</v>
      </c>
      <c r="CA104" s="422">
        <v>2048.6475395699999</v>
      </c>
      <c r="CB104" s="422">
        <v>2.9306209700000001</v>
      </c>
      <c r="CC104" s="422">
        <v>2.9656559699999998</v>
      </c>
      <c r="CD104" s="422">
        <v>-0.23714478</v>
      </c>
      <c r="CE104" s="422">
        <v>3.5824636700000001</v>
      </c>
      <c r="CF104" s="422">
        <v>3.5909794900000001</v>
      </c>
      <c r="CG104" s="422">
        <v>-0.95550080000000004</v>
      </c>
      <c r="CH104" s="422">
        <v>-1.1813577</v>
      </c>
      <c r="CI104" s="422">
        <v>0.59138133999999998</v>
      </c>
    </row>
    <row r="105" spans="1:87" ht="15" customHeight="1" x14ac:dyDescent="0.2">
      <c r="A105" s="297">
        <f t="shared" si="110"/>
        <v>62009024</v>
      </c>
      <c r="B105" s="297" t="s">
        <v>224</v>
      </c>
      <c r="C105" s="297" t="s">
        <v>631</v>
      </c>
      <c r="D105" s="326" t="s">
        <v>778</v>
      </c>
      <c r="E105" s="283" t="s">
        <v>868</v>
      </c>
      <c r="F105" s="310" t="str">
        <f t="shared" si="87"/>
        <v>09/17/20</v>
      </c>
      <c r="G105" s="298" t="s">
        <v>869</v>
      </c>
      <c r="H105" s="298" t="s">
        <v>775</v>
      </c>
      <c r="I105" s="306"/>
      <c r="J105" s="299">
        <v>19.810441000000001</v>
      </c>
      <c r="K105" s="299">
        <v>53.845021000000003</v>
      </c>
      <c r="L105" s="299">
        <v>29.411860000000001</v>
      </c>
      <c r="M105" s="299">
        <v>27.200109999999999</v>
      </c>
      <c r="N105" s="284">
        <v>3875</v>
      </c>
      <c r="O105" s="284">
        <v>28.39</v>
      </c>
      <c r="P105" s="284">
        <v>0.20169999999999999</v>
      </c>
      <c r="Q105" s="284">
        <v>1.932E-2</v>
      </c>
      <c r="R105" s="285">
        <v>3.8453412299999998</v>
      </c>
      <c r="S105" s="285">
        <f>R105+R104</f>
        <v>7.4278549999999992</v>
      </c>
      <c r="T105" s="314">
        <v>92.002615000000006</v>
      </c>
      <c r="U105" s="314">
        <v>91.242716000000001</v>
      </c>
      <c r="V105" s="289">
        <v>4042</v>
      </c>
      <c r="W105" s="289">
        <v>4603</v>
      </c>
      <c r="X105" s="289">
        <f>W105-V105</f>
        <v>561</v>
      </c>
      <c r="Y105" s="289">
        <f t="shared" si="100"/>
        <v>145.8908238424396</v>
      </c>
      <c r="Z105" s="308">
        <v>138.69999999999999</v>
      </c>
      <c r="AA105" s="289">
        <v>176.3</v>
      </c>
      <c r="AB105" s="289">
        <f>AA105-Z105</f>
        <v>37.600000000000023</v>
      </c>
      <c r="AC105" s="289">
        <f t="shared" si="101"/>
        <v>9.7780659117214483</v>
      </c>
      <c r="AD105" s="308">
        <v>118.73478</v>
      </c>
      <c r="AE105" s="289">
        <v>150.76442800000001</v>
      </c>
      <c r="AF105" s="289">
        <f>AE105-AD105</f>
        <v>32.029648000000009</v>
      </c>
      <c r="AG105" s="289">
        <f t="shared" si="102"/>
        <v>8.3294683317350255</v>
      </c>
      <c r="AH105" s="308">
        <v>16.43</v>
      </c>
      <c r="AI105" s="289">
        <v>17.510000000000002</v>
      </c>
      <c r="AJ105" s="289">
        <f>AI105-AH105</f>
        <v>1.0800000000000018</v>
      </c>
      <c r="AK105" s="307">
        <f t="shared" si="103"/>
        <v>0.28085934001753127</v>
      </c>
      <c r="AL105" s="308">
        <v>-11.8</v>
      </c>
      <c r="AM105" s="289">
        <v>-15.6</v>
      </c>
      <c r="AN105" s="289">
        <f>AM105-AL105</f>
        <v>-3.7999999999999989</v>
      </c>
      <c r="AO105" s="307">
        <f t="shared" si="104"/>
        <v>-0.98820878895057096</v>
      </c>
      <c r="AP105" s="308">
        <v>-14.3</v>
      </c>
      <c r="AQ105" s="289">
        <v>-18.899999999999999</v>
      </c>
      <c r="AR105" s="289">
        <f>AQ105-AP105</f>
        <v>-4.5999999999999979</v>
      </c>
      <c r="AS105" s="307">
        <f t="shared" si="105"/>
        <v>-1.196252744519112</v>
      </c>
      <c r="AT105" s="308">
        <v>5.4</v>
      </c>
      <c r="AU105" s="289">
        <v>6.9</v>
      </c>
      <c r="AV105" s="289">
        <f>AU105-AT105</f>
        <v>1.5</v>
      </c>
      <c r="AW105" s="307">
        <f t="shared" si="106"/>
        <v>0.39008241669101495</v>
      </c>
      <c r="AX105" s="308">
        <v>3568</v>
      </c>
      <c r="AY105" s="289">
        <v>4128</v>
      </c>
      <c r="AZ105" s="289">
        <f>AY105-AX105</f>
        <v>560</v>
      </c>
      <c r="BA105" s="307">
        <f t="shared" si="107"/>
        <v>145.63076889797892</v>
      </c>
      <c r="BB105" s="308">
        <v>526.79999999999995</v>
      </c>
      <c r="BC105" s="289">
        <v>528</v>
      </c>
      <c r="BD105" s="289">
        <f>BC105-BB105</f>
        <v>1.2000000000000455</v>
      </c>
      <c r="BE105" s="307">
        <f t="shared" si="108"/>
        <v>0.31206593335282379</v>
      </c>
      <c r="BF105" s="308">
        <v>-521.20000000000005</v>
      </c>
      <c r="BG105" s="289">
        <v>-521.20000000000005</v>
      </c>
      <c r="BH105" s="289">
        <f>BG105-BF105</f>
        <v>0</v>
      </c>
      <c r="BI105" s="307">
        <f t="shared" si="109"/>
        <v>0</v>
      </c>
      <c r="BJ105" s="281">
        <v>92.002615000000006</v>
      </c>
      <c r="BK105" s="281">
        <v>91.242716000000001</v>
      </c>
      <c r="BL105" s="281">
        <f>BK105-BJ105</f>
        <v>-0.75989900000000432</v>
      </c>
      <c r="BM105" s="408">
        <v>-521.20000000000005</v>
      </c>
      <c r="BN105" s="458">
        <v>-521.20000000000005</v>
      </c>
      <c r="BO105" s="458">
        <f>BN105-BM105</f>
        <v>0</v>
      </c>
      <c r="BP105" s="408">
        <v>526.79999999999995</v>
      </c>
      <c r="BQ105" s="458">
        <v>528</v>
      </c>
      <c r="BR105" s="458">
        <f>BQ105-BP105</f>
        <v>1.2000000000000455</v>
      </c>
      <c r="BS105" s="281"/>
      <c r="BT105" s="281"/>
      <c r="BU105" s="281"/>
      <c r="BV105" s="281"/>
      <c r="BW105" s="298" t="s">
        <v>855</v>
      </c>
      <c r="BX105" s="422">
        <v>1348.1864418600001</v>
      </c>
      <c r="BY105" s="422">
        <v>-1.2234171899999999</v>
      </c>
      <c r="BZ105" s="422">
        <v>3374.2004428199998</v>
      </c>
      <c r="CA105" s="422">
        <v>3415.9922795399998</v>
      </c>
      <c r="CB105" s="422">
        <v>2.70174475</v>
      </c>
      <c r="CC105" s="422">
        <v>2.7414799699999999</v>
      </c>
      <c r="CD105" s="422">
        <v>-0.38025027</v>
      </c>
      <c r="CE105" s="422">
        <v>3.8451506800000002</v>
      </c>
      <c r="CF105" s="422">
        <v>3.8598276899999999</v>
      </c>
      <c r="CG105" s="422">
        <v>-1.0848815599999999</v>
      </c>
      <c r="CH105" s="422">
        <v>-1.4494074800000001</v>
      </c>
      <c r="CI105" s="422">
        <v>0.71728190999999997</v>
      </c>
    </row>
    <row r="106" spans="1:87" ht="15" customHeight="1" x14ac:dyDescent="0.2">
      <c r="A106" s="297">
        <f t="shared" si="110"/>
        <v>62009024</v>
      </c>
      <c r="B106" s="297" t="s">
        <v>612</v>
      </c>
      <c r="C106" s="297" t="s">
        <v>632</v>
      </c>
      <c r="D106" s="326" t="s">
        <v>778</v>
      </c>
      <c r="E106" s="283" t="s">
        <v>868</v>
      </c>
      <c r="F106" s="310" t="str">
        <f t="shared" si="87"/>
        <v>09/17/20</v>
      </c>
      <c r="G106" s="298" t="s">
        <v>869</v>
      </c>
      <c r="H106" s="298" t="s">
        <v>775</v>
      </c>
      <c r="I106" s="306"/>
      <c r="J106" s="300">
        <f>AVERAGE(J104:J105)</f>
        <v>20.159744500000002</v>
      </c>
      <c r="K106" s="300">
        <f>AVERAGE(K104:K105)</f>
        <v>52.583629999999999</v>
      </c>
      <c r="L106" s="300">
        <f>AVERAGE(L104:L105)</f>
        <v>29.409663500000001</v>
      </c>
      <c r="M106" s="300">
        <f>AVERAGE(M104:M105)</f>
        <v>27.501326499999998</v>
      </c>
      <c r="N106" s="286"/>
      <c r="O106" s="284"/>
      <c r="P106" s="302"/>
      <c r="Q106" s="301"/>
      <c r="R106" s="287">
        <f>R105+R104</f>
        <v>7.4278549999999992</v>
      </c>
      <c r="S106" s="287">
        <f>S105</f>
        <v>7.4278549999999992</v>
      </c>
      <c r="T106" s="315">
        <f>T104</f>
        <v>92.884585000000001</v>
      </c>
      <c r="U106" s="315">
        <f>U105</f>
        <v>91.242716000000001</v>
      </c>
      <c r="V106" s="290">
        <f>V104</f>
        <v>3389</v>
      </c>
      <c r="W106" s="290">
        <f>W105</f>
        <v>4603</v>
      </c>
      <c r="X106" s="290">
        <f>SUM(X104:X105)</f>
        <v>1214</v>
      </c>
      <c r="Y106" s="290">
        <f t="shared" si="100"/>
        <v>163.43883934190961</v>
      </c>
      <c r="Z106" s="290">
        <f>Z104</f>
        <v>117.4</v>
      </c>
      <c r="AA106" s="290">
        <f>AA105</f>
        <v>176.3</v>
      </c>
      <c r="AB106" s="290">
        <f>SUM(AB104:AB105)</f>
        <v>58.900000000000006</v>
      </c>
      <c r="AC106" s="290">
        <f t="shared" si="101"/>
        <v>7.929610903820822</v>
      </c>
      <c r="AD106" s="290">
        <f>AD104</f>
        <v>100.53</v>
      </c>
      <c r="AE106" s="290">
        <f>AE105</f>
        <v>150.76442800000001</v>
      </c>
      <c r="AF106" s="290">
        <f>SUM(AF104:AF105)</f>
        <v>50.229648000000012</v>
      </c>
      <c r="AG106" s="290">
        <f t="shared" si="102"/>
        <v>6.7623355598621702</v>
      </c>
      <c r="AH106" s="290">
        <f>AH104</f>
        <v>14.68</v>
      </c>
      <c r="AI106" s="290">
        <f>AI105</f>
        <v>17.510000000000002</v>
      </c>
      <c r="AJ106" s="290">
        <f>SUM(AJ104:AJ105)</f>
        <v>2.8300000000000018</v>
      </c>
      <c r="AK106" s="288">
        <f t="shared" si="103"/>
        <v>0.38099828281516024</v>
      </c>
      <c r="AL106" s="290">
        <f>AL104</f>
        <v>-9.6</v>
      </c>
      <c r="AM106" s="290">
        <f>AM105</f>
        <v>-15.6</v>
      </c>
      <c r="AN106" s="290">
        <f>SUM(AN104:AN105)</f>
        <v>-6</v>
      </c>
      <c r="AO106" s="288">
        <f t="shared" si="104"/>
        <v>-0.80777021091553358</v>
      </c>
      <c r="AP106" s="290">
        <f>AP104</f>
        <v>-11.6</v>
      </c>
      <c r="AQ106" s="290">
        <f>AQ105</f>
        <v>-18.899999999999999</v>
      </c>
      <c r="AR106" s="290">
        <f>SUM(AR104:AR105)</f>
        <v>-7.2999999999999989</v>
      </c>
      <c r="AS106" s="288">
        <f t="shared" si="105"/>
        <v>-0.98278708994723241</v>
      </c>
      <c r="AT106" s="290">
        <f>AT104</f>
        <v>4.5</v>
      </c>
      <c r="AU106" s="290">
        <f>AU105</f>
        <v>6.9</v>
      </c>
      <c r="AV106" s="290">
        <f>SUM(AV104:AV105)</f>
        <v>2.4000000000000004</v>
      </c>
      <c r="AW106" s="288">
        <f t="shared" si="106"/>
        <v>0.32310808436621347</v>
      </c>
      <c r="AX106" s="290">
        <f>AX104</f>
        <v>2916</v>
      </c>
      <c r="AY106" s="290">
        <f>AY105</f>
        <v>4128</v>
      </c>
      <c r="AZ106" s="290">
        <f>SUM(AZ104:AZ105)</f>
        <v>1212</v>
      </c>
      <c r="BA106" s="288">
        <f t="shared" si="107"/>
        <v>163.16958260493777</v>
      </c>
      <c r="BB106" s="290">
        <f>BB104</f>
        <v>526.1</v>
      </c>
      <c r="BC106" s="290">
        <f>BC105</f>
        <v>528</v>
      </c>
      <c r="BD106" s="290">
        <f>SUM(BD104:BD105)</f>
        <v>1.8999999999999773</v>
      </c>
      <c r="BE106" s="288">
        <f t="shared" si="108"/>
        <v>0.25579390012324926</v>
      </c>
      <c r="BF106" s="290">
        <f>BF104</f>
        <v>-521.20000000000005</v>
      </c>
      <c r="BG106" s="290">
        <f>BG105</f>
        <v>-521.20000000000005</v>
      </c>
      <c r="BH106" s="290">
        <f>SUM(BH104:BH105)</f>
        <v>0</v>
      </c>
      <c r="BI106" s="288">
        <f t="shared" si="109"/>
        <v>0</v>
      </c>
      <c r="BJ106" s="282"/>
      <c r="BK106" s="282"/>
      <c r="BL106" s="282">
        <f>SUM(BL104:BL105)</f>
        <v>-1.6418689999999998</v>
      </c>
      <c r="BM106" s="459">
        <f>BM104</f>
        <v>-521.20000000000005</v>
      </c>
      <c r="BN106" s="459">
        <f>BN105</f>
        <v>-521.20000000000005</v>
      </c>
      <c r="BO106" s="459">
        <f>SUM(BO104:BO105)</f>
        <v>0</v>
      </c>
      <c r="BP106" s="459">
        <f>BP104</f>
        <v>526.1</v>
      </c>
      <c r="BQ106" s="459">
        <f>BQ105</f>
        <v>528</v>
      </c>
      <c r="BR106" s="459">
        <f>SUM(BR104:BR105)</f>
        <v>1.8999999999999773</v>
      </c>
      <c r="BS106" s="282"/>
      <c r="BT106" s="282"/>
      <c r="BU106" s="282"/>
      <c r="BV106" s="282"/>
      <c r="BW106" s="298" t="s">
        <v>855</v>
      </c>
    </row>
    <row r="107" spans="1:87" ht="15" customHeight="1" x14ac:dyDescent="0.2">
      <c r="A107" s="297">
        <f t="shared" si="110"/>
        <v>62009024</v>
      </c>
      <c r="B107" s="297" t="s">
        <v>613</v>
      </c>
      <c r="C107" s="297" t="s">
        <v>633</v>
      </c>
      <c r="D107" s="326" t="s">
        <v>778</v>
      </c>
      <c r="E107" s="283" t="s">
        <v>868</v>
      </c>
      <c r="F107" s="310" t="str">
        <f t="shared" si="87"/>
        <v>09/17/20</v>
      </c>
      <c r="G107" s="298" t="s">
        <v>869</v>
      </c>
      <c r="H107" s="298" t="s">
        <v>775</v>
      </c>
      <c r="I107" s="306"/>
      <c r="J107" s="299">
        <v>23.058156</v>
      </c>
      <c r="K107" s="299">
        <v>43.545465999999998</v>
      </c>
      <c r="L107" s="299">
        <v>29.416482999999999</v>
      </c>
      <c r="M107" s="299">
        <v>29.417560000000002</v>
      </c>
      <c r="N107" s="284">
        <v>3875</v>
      </c>
      <c r="O107" s="284">
        <v>28.39</v>
      </c>
      <c r="P107" s="284">
        <v>0.20169999999999999</v>
      </c>
      <c r="Q107" s="284">
        <v>1.932E-2</v>
      </c>
      <c r="R107" s="285">
        <v>1.7645642800000001</v>
      </c>
      <c r="S107" s="285">
        <f>R107+R106</f>
        <v>9.1924192799999993</v>
      </c>
      <c r="T107" s="314">
        <v>91.236613000000006</v>
      </c>
      <c r="U107" s="314">
        <v>88.287047999999999</v>
      </c>
      <c r="V107" s="289">
        <v>4608</v>
      </c>
      <c r="W107" s="289">
        <v>6766</v>
      </c>
      <c r="X107" s="289">
        <f>W107-V107-X108</f>
        <v>460</v>
      </c>
      <c r="Y107" s="289">
        <f t="shared" si="100"/>
        <v>260.6875845860373</v>
      </c>
      <c r="Z107" s="308">
        <v>180.5</v>
      </c>
      <c r="AA107" s="289">
        <v>207.9</v>
      </c>
      <c r="AB107" s="289">
        <f>AA107-Z107-AB108</f>
        <v>10.600000000000023</v>
      </c>
      <c r="AC107" s="289">
        <f t="shared" si="101"/>
        <v>6.0071486882869589</v>
      </c>
      <c r="AD107" s="308">
        <v>154.38999999999999</v>
      </c>
      <c r="AE107" s="289">
        <v>177.91765599999999</v>
      </c>
      <c r="AF107" s="289">
        <f>AE107-AD107-AF108</f>
        <v>9.1333979999999997</v>
      </c>
      <c r="AG107" s="289">
        <f t="shared" si="102"/>
        <v>5.1760075297455295</v>
      </c>
      <c r="AH107" s="308">
        <v>17.61</v>
      </c>
      <c r="AI107" s="289">
        <v>18.21</v>
      </c>
      <c r="AJ107" s="289">
        <f>AI107-AH107-AJ108</f>
        <v>0.24000000000000199</v>
      </c>
      <c r="AK107" s="307">
        <f t="shared" si="103"/>
        <v>0.13601091369706406</v>
      </c>
      <c r="AL107" s="308">
        <v>-16</v>
      </c>
      <c r="AM107" s="289">
        <v>-18.600000000000001</v>
      </c>
      <c r="AN107" s="289">
        <f>AM107-AL107-AN108</f>
        <v>-1.1000000000000014</v>
      </c>
      <c r="AO107" s="307">
        <f t="shared" si="104"/>
        <v>-0.62338335444487258</v>
      </c>
      <c r="AP107" s="308">
        <v>-19.399999999999999</v>
      </c>
      <c r="AQ107" s="289">
        <v>-22.6</v>
      </c>
      <c r="AR107" s="289">
        <f>AQ107-AP107-AR108</f>
        <v>-1.3000000000000043</v>
      </c>
      <c r="AS107" s="307">
        <f t="shared" si="105"/>
        <v>-0.73672578252575993</v>
      </c>
      <c r="AT107" s="308">
        <v>7.1</v>
      </c>
      <c r="AU107" s="289">
        <v>8.1999999999999993</v>
      </c>
      <c r="AV107" s="289">
        <f>AU107-AT107-AV108</f>
        <v>0.39999999999999947</v>
      </c>
      <c r="AW107" s="307">
        <f t="shared" si="106"/>
        <v>0.22668485616177125</v>
      </c>
      <c r="AX107" s="308">
        <v>4132</v>
      </c>
      <c r="AY107" s="289">
        <v>6292</v>
      </c>
      <c r="AZ107" s="289">
        <f>AY107-AX107-AZ108</f>
        <v>462</v>
      </c>
      <c r="BA107" s="307">
        <f t="shared" si="107"/>
        <v>261.82100886684611</v>
      </c>
      <c r="BB107" s="308">
        <v>528.20000000000005</v>
      </c>
      <c r="BC107" s="289">
        <v>529</v>
      </c>
      <c r="BD107" s="289">
        <f>BC107-BB107-BD108</f>
        <v>0.29999999999995453</v>
      </c>
      <c r="BE107" s="307">
        <f t="shared" si="108"/>
        <v>0.1700136421213029</v>
      </c>
      <c r="BF107" s="308">
        <v>-521.20000000000005</v>
      </c>
      <c r="BG107" s="289">
        <v>-521.20000000000005</v>
      </c>
      <c r="BH107" s="289">
        <f>BG107-BF107-BH108</f>
        <v>0</v>
      </c>
      <c r="BI107" s="307">
        <f t="shared" si="109"/>
        <v>0</v>
      </c>
      <c r="BJ107" s="281">
        <v>91.236613000000006</v>
      </c>
      <c r="BK107" s="281">
        <v>88.287047999999999</v>
      </c>
      <c r="BL107" s="281">
        <f>BK107-BJ107-BL108</f>
        <v>-0.637826000000004</v>
      </c>
      <c r="BM107" s="408">
        <v>-521.20000000000005</v>
      </c>
      <c r="BN107" s="458">
        <v>-521.20000000000005</v>
      </c>
      <c r="BO107" s="458">
        <f>BN107-BM107-BO108</f>
        <v>0</v>
      </c>
      <c r="BP107" s="408">
        <v>528.20000000000005</v>
      </c>
      <c r="BQ107" s="458">
        <v>529</v>
      </c>
      <c r="BR107" s="458">
        <f>BQ107-BP107-BR108</f>
        <v>0.29999999999995453</v>
      </c>
      <c r="BS107" s="281"/>
      <c r="BT107" s="281"/>
      <c r="BU107" s="281"/>
      <c r="BV107" s="281"/>
      <c r="BW107" s="298" t="s">
        <v>855</v>
      </c>
      <c r="BX107" s="422">
        <v>5068.8812887900003</v>
      </c>
      <c r="BY107" s="422">
        <v>-2.9018849599999998</v>
      </c>
      <c r="BZ107" s="422">
        <v>2387.9116012700001</v>
      </c>
      <c r="CA107" s="422">
        <v>2459.2769905</v>
      </c>
      <c r="CB107" s="422">
        <v>2.85350415</v>
      </c>
      <c r="CC107" s="422">
        <v>2.9252009000000001</v>
      </c>
      <c r="CD107" s="422">
        <v>-0.42877755000000001</v>
      </c>
      <c r="CE107" s="422">
        <v>1.7645061799999999</v>
      </c>
      <c r="CF107" s="422">
        <v>1.77210457</v>
      </c>
      <c r="CG107" s="422">
        <v>-2.0730352700000001</v>
      </c>
      <c r="CH107" s="422">
        <v>-2.4510026599999999</v>
      </c>
      <c r="CI107" s="422">
        <v>0.8146371</v>
      </c>
    </row>
    <row r="108" spans="1:87" ht="15" customHeight="1" x14ac:dyDescent="0.2">
      <c r="A108" s="297">
        <f t="shared" si="110"/>
        <v>62009024</v>
      </c>
      <c r="B108" s="297" t="s">
        <v>614</v>
      </c>
      <c r="C108" s="297" t="s">
        <v>634</v>
      </c>
      <c r="D108" s="326" t="s">
        <v>778</v>
      </c>
      <c r="E108" s="283" t="s">
        <v>868</v>
      </c>
      <c r="F108" s="310" t="str">
        <f t="shared" si="87"/>
        <v>09/17/20</v>
      </c>
      <c r="G108" s="298" t="s">
        <v>869</v>
      </c>
      <c r="H108" s="298" t="s">
        <v>775</v>
      </c>
      <c r="I108" s="306"/>
      <c r="J108" s="299">
        <v>27.036086000000001</v>
      </c>
      <c r="K108" s="299">
        <v>34.558219000000001</v>
      </c>
      <c r="L108" s="299">
        <v>29.445720999999999</v>
      </c>
      <c r="M108" s="299">
        <v>29.620059000000001</v>
      </c>
      <c r="N108" s="284">
        <v>3875</v>
      </c>
      <c r="O108" s="284">
        <v>28.39</v>
      </c>
      <c r="P108" s="284">
        <v>0.20169999999999999</v>
      </c>
      <c r="Q108" s="284">
        <v>1.932E-2</v>
      </c>
      <c r="R108" s="285">
        <v>6.2273579699999999</v>
      </c>
      <c r="S108" s="285">
        <f>R108+R107</f>
        <v>7.99192225</v>
      </c>
      <c r="T108" s="314">
        <v>90.797154000000006</v>
      </c>
      <c r="U108" s="314">
        <v>88.485415000000003</v>
      </c>
      <c r="V108" s="289">
        <v>4928</v>
      </c>
      <c r="W108" s="289">
        <v>6626</v>
      </c>
      <c r="X108" s="289">
        <f>W108-V108</f>
        <v>1698</v>
      </c>
      <c r="Y108" s="289">
        <f t="shared" si="100"/>
        <v>272.66780040268026</v>
      </c>
      <c r="Z108" s="308">
        <v>186.4</v>
      </c>
      <c r="AA108" s="289">
        <v>203.2</v>
      </c>
      <c r="AB108" s="289">
        <f>AA108-Z108</f>
        <v>16.799999999999983</v>
      </c>
      <c r="AC108" s="289">
        <f t="shared" si="101"/>
        <v>2.6977732902031941</v>
      </c>
      <c r="AD108" s="308">
        <v>159.44999999999999</v>
      </c>
      <c r="AE108" s="289">
        <v>173.844258</v>
      </c>
      <c r="AF108" s="289">
        <f>AE108-AD108</f>
        <v>14.394258000000008</v>
      </c>
      <c r="AG108" s="289">
        <f t="shared" si="102"/>
        <v>2.3114550455174827</v>
      </c>
      <c r="AH108" s="308">
        <v>17.75</v>
      </c>
      <c r="AI108" s="289">
        <v>18.11</v>
      </c>
      <c r="AJ108" s="289">
        <f>AI108-AH108</f>
        <v>0.35999999999999943</v>
      </c>
      <c r="AK108" s="307">
        <f t="shared" si="103"/>
        <v>5.7809427647211267E-2</v>
      </c>
      <c r="AL108" s="308">
        <v>-16.600000000000001</v>
      </c>
      <c r="AM108" s="289">
        <v>-18.100000000000001</v>
      </c>
      <c r="AN108" s="289">
        <f>AM108-AL108</f>
        <v>-1.5</v>
      </c>
      <c r="AO108" s="307">
        <f t="shared" si="104"/>
        <v>-0.24087261519671399</v>
      </c>
      <c r="AP108" s="308">
        <v>-20.100000000000001</v>
      </c>
      <c r="AQ108" s="289">
        <v>-22</v>
      </c>
      <c r="AR108" s="289">
        <f>AQ108-AP108</f>
        <v>-1.8999999999999986</v>
      </c>
      <c r="AS108" s="307">
        <f t="shared" si="105"/>
        <v>-0.30510531258250417</v>
      </c>
      <c r="AT108" s="308">
        <v>7.3</v>
      </c>
      <c r="AU108" s="289">
        <v>8</v>
      </c>
      <c r="AV108" s="289">
        <f>AU108-AT108</f>
        <v>0.70000000000000018</v>
      </c>
      <c r="AW108" s="307">
        <f t="shared" si="106"/>
        <v>0.11240722042513322</v>
      </c>
      <c r="AX108" s="308">
        <v>4453</v>
      </c>
      <c r="AY108" s="289">
        <v>6151</v>
      </c>
      <c r="AZ108" s="289">
        <f>AY108-AX108</f>
        <v>1698</v>
      </c>
      <c r="BA108" s="307">
        <f t="shared" si="107"/>
        <v>272.66780040268026</v>
      </c>
      <c r="BB108" s="308">
        <v>528.4</v>
      </c>
      <c r="BC108" s="289">
        <v>528.9</v>
      </c>
      <c r="BD108" s="289">
        <f>BC108-BB108</f>
        <v>0.5</v>
      </c>
      <c r="BE108" s="307">
        <f t="shared" si="108"/>
        <v>8.0290871732237992E-2</v>
      </c>
      <c r="BF108" s="308">
        <v>-521.20000000000005</v>
      </c>
      <c r="BG108" s="289">
        <v>-521.20000000000005</v>
      </c>
      <c r="BH108" s="289">
        <f>BG108-BF108</f>
        <v>0</v>
      </c>
      <c r="BI108" s="307">
        <f t="shared" si="109"/>
        <v>0</v>
      </c>
      <c r="BJ108" s="281">
        <v>90.797154000000006</v>
      </c>
      <c r="BK108" s="281">
        <v>88.485415000000003</v>
      </c>
      <c r="BL108" s="281">
        <f>BK108-BJ108</f>
        <v>-2.3117390000000029</v>
      </c>
      <c r="BM108" s="408">
        <v>-521.20000000000005</v>
      </c>
      <c r="BN108" s="458">
        <v>-521.20000000000005</v>
      </c>
      <c r="BO108" s="458">
        <f>BN108-BM108</f>
        <v>0</v>
      </c>
      <c r="BP108" s="408">
        <v>528.4</v>
      </c>
      <c r="BQ108" s="458">
        <v>528.9</v>
      </c>
      <c r="BR108" s="458">
        <f>BQ108-BP108</f>
        <v>0.5</v>
      </c>
      <c r="BS108" s="281"/>
      <c r="BT108" s="281"/>
      <c r="BU108" s="281"/>
      <c r="BV108" s="281"/>
      <c r="BW108" s="298" t="s">
        <v>855</v>
      </c>
      <c r="BX108" s="422">
        <v>10789.368042300001</v>
      </c>
      <c r="BY108" s="422">
        <v>-6.8943561600000001</v>
      </c>
      <c r="BZ108" s="422">
        <v>1059.81685298</v>
      </c>
      <c r="CA108" s="422">
        <v>1138.29496182</v>
      </c>
      <c r="CB108" s="422">
        <v>6.38565206</v>
      </c>
      <c r="CC108" s="422">
        <v>6.5095432500000001</v>
      </c>
      <c r="CD108" s="422">
        <v>-0.11989245</v>
      </c>
      <c r="CE108" s="422">
        <v>6.2273831700000004</v>
      </c>
      <c r="CF108" s="422">
        <v>6.23485829</v>
      </c>
      <c r="CG108" s="422">
        <v>-1.81793096</v>
      </c>
      <c r="CH108" s="422">
        <v>-1.90322411</v>
      </c>
      <c r="CI108" s="422">
        <v>0.34621491999999998</v>
      </c>
    </row>
    <row r="109" spans="1:87" ht="15" customHeight="1" x14ac:dyDescent="0.2">
      <c r="A109" s="297">
        <f t="shared" si="110"/>
        <v>62009024</v>
      </c>
      <c r="B109" s="297" t="s">
        <v>615</v>
      </c>
      <c r="C109" s="297" t="s">
        <v>635</v>
      </c>
      <c r="D109" s="326" t="s">
        <v>778</v>
      </c>
      <c r="E109" s="283" t="s">
        <v>868</v>
      </c>
      <c r="F109" s="310" t="str">
        <f t="shared" si="87"/>
        <v>09/17/20</v>
      </c>
      <c r="G109" s="298" t="s">
        <v>869</v>
      </c>
      <c r="H109" s="298" t="s">
        <v>775</v>
      </c>
      <c r="I109" s="306"/>
      <c r="J109" s="300">
        <f>AVERAGE(J107:J108)</f>
        <v>25.047121000000001</v>
      </c>
      <c r="K109" s="300">
        <f>AVERAGE(K107:K108)</f>
        <v>39.051842499999999</v>
      </c>
      <c r="L109" s="300">
        <f>AVERAGE(L107:L108)</f>
        <v>29.431101999999999</v>
      </c>
      <c r="M109" s="300">
        <f>AVERAGE(M107:M108)</f>
        <v>29.518809500000003</v>
      </c>
      <c r="N109" s="286"/>
      <c r="O109" s="284"/>
      <c r="P109" s="302"/>
      <c r="Q109" s="301"/>
      <c r="R109" s="287">
        <f>R108+R107</f>
        <v>7.99192225</v>
      </c>
      <c r="S109" s="287">
        <f>S108</f>
        <v>7.99192225</v>
      </c>
      <c r="T109" s="315">
        <f>T107</f>
        <v>91.236613000000006</v>
      </c>
      <c r="U109" s="315">
        <f>U108</f>
        <v>88.485415000000003</v>
      </c>
      <c r="V109" s="290">
        <f>V107</f>
        <v>4608</v>
      </c>
      <c r="W109" s="290">
        <f>W108</f>
        <v>6626</v>
      </c>
      <c r="X109" s="290">
        <f>SUM(X107:X108)</f>
        <v>2158</v>
      </c>
      <c r="Y109" s="290">
        <f t="shared" si="100"/>
        <v>270.0226469295294</v>
      </c>
      <c r="Z109" s="290">
        <f>Z107</f>
        <v>180.5</v>
      </c>
      <c r="AA109" s="290">
        <f>AA108</f>
        <v>203.2</v>
      </c>
      <c r="AB109" s="290">
        <f>SUM(AB107:AB108)</f>
        <v>27.400000000000006</v>
      </c>
      <c r="AC109" s="290">
        <f t="shared" si="101"/>
        <v>3.4284617821450909</v>
      </c>
      <c r="AD109" s="290">
        <f>AD107</f>
        <v>154.38999999999999</v>
      </c>
      <c r="AE109" s="290">
        <f>AE108</f>
        <v>173.844258</v>
      </c>
      <c r="AF109" s="290">
        <f>SUM(AF107:AF108)</f>
        <v>23.527656000000007</v>
      </c>
      <c r="AG109" s="290">
        <f t="shared" si="102"/>
        <v>2.9439295408560824</v>
      </c>
      <c r="AH109" s="290">
        <f>AH107</f>
        <v>17.61</v>
      </c>
      <c r="AI109" s="290">
        <f>AI108</f>
        <v>18.11</v>
      </c>
      <c r="AJ109" s="290">
        <f>SUM(AJ107:AJ108)</f>
        <v>0.60000000000000142</v>
      </c>
      <c r="AK109" s="288">
        <f t="shared" si="103"/>
        <v>7.5075805448432814E-2</v>
      </c>
      <c r="AL109" s="290">
        <f>AL107</f>
        <v>-16</v>
      </c>
      <c r="AM109" s="290">
        <f>AM108</f>
        <v>-18.100000000000001</v>
      </c>
      <c r="AN109" s="290">
        <f>SUM(AN107:AN108)</f>
        <v>-2.6000000000000014</v>
      </c>
      <c r="AO109" s="288">
        <f t="shared" si="104"/>
        <v>-0.32532849027654159</v>
      </c>
      <c r="AP109" s="290">
        <f>AP107</f>
        <v>-19.399999999999999</v>
      </c>
      <c r="AQ109" s="290">
        <f>AQ108</f>
        <v>-22</v>
      </c>
      <c r="AR109" s="290">
        <f>SUM(AR107:AR108)</f>
        <v>-3.2000000000000028</v>
      </c>
      <c r="AS109" s="288">
        <f t="shared" si="105"/>
        <v>-0.40040429572497438</v>
      </c>
      <c r="AT109" s="290">
        <f>AT107</f>
        <v>7.1</v>
      </c>
      <c r="AU109" s="290">
        <f>AU108</f>
        <v>8</v>
      </c>
      <c r="AV109" s="290">
        <f>SUM(AV107:AV108)</f>
        <v>1.0999999999999996</v>
      </c>
      <c r="AW109" s="288">
        <f t="shared" si="106"/>
        <v>0.13763897665545979</v>
      </c>
      <c r="AX109" s="290">
        <f>AX107</f>
        <v>4132</v>
      </c>
      <c r="AY109" s="290">
        <f>AY108</f>
        <v>6151</v>
      </c>
      <c r="AZ109" s="290">
        <f>SUM(AZ107:AZ108)</f>
        <v>2160</v>
      </c>
      <c r="BA109" s="288">
        <f t="shared" si="107"/>
        <v>270.27289961435747</v>
      </c>
      <c r="BB109" s="290">
        <f>BB107</f>
        <v>528.20000000000005</v>
      </c>
      <c r="BC109" s="290">
        <f>BC108</f>
        <v>528.9</v>
      </c>
      <c r="BD109" s="290">
        <f>SUM(BD107:BD108)</f>
        <v>0.79999999999995453</v>
      </c>
      <c r="BE109" s="288">
        <f t="shared" si="108"/>
        <v>0.10010107393123782</v>
      </c>
      <c r="BF109" s="290">
        <f>BF107</f>
        <v>-521.20000000000005</v>
      </c>
      <c r="BG109" s="290">
        <f>BG108</f>
        <v>-521.20000000000005</v>
      </c>
      <c r="BH109" s="290">
        <f>SUM(BH107:BH108)</f>
        <v>0</v>
      </c>
      <c r="BI109" s="288">
        <f t="shared" si="109"/>
        <v>0</v>
      </c>
      <c r="BJ109" s="282"/>
      <c r="BK109" s="282"/>
      <c r="BL109" s="282">
        <f>SUM(BL107:BL108)</f>
        <v>-2.9495650000000069</v>
      </c>
      <c r="BM109" s="459">
        <f>BM107</f>
        <v>-521.20000000000005</v>
      </c>
      <c r="BN109" s="459">
        <f>BN108</f>
        <v>-521.20000000000005</v>
      </c>
      <c r="BO109" s="459">
        <f>SUM(BO107:BO108)</f>
        <v>0</v>
      </c>
      <c r="BP109" s="459">
        <f>BP107</f>
        <v>528.20000000000005</v>
      </c>
      <c r="BQ109" s="459">
        <f>BQ108</f>
        <v>528.9</v>
      </c>
      <c r="BR109" s="459">
        <f>SUM(BR107:BR108)</f>
        <v>0.79999999999995453</v>
      </c>
      <c r="BS109" s="282"/>
      <c r="BT109" s="282"/>
      <c r="BU109" s="282"/>
      <c r="BV109" s="282"/>
      <c r="BW109" s="298" t="s">
        <v>855</v>
      </c>
    </row>
    <row r="110" spans="1:87" ht="15" customHeight="1" x14ac:dyDescent="0.2">
      <c r="A110" s="297">
        <f>A109+1</f>
        <v>62009025</v>
      </c>
      <c r="B110" s="297" t="s">
        <v>833</v>
      </c>
      <c r="C110" s="297" t="s">
        <v>626</v>
      </c>
      <c r="D110" s="326" t="s">
        <v>848</v>
      </c>
      <c r="E110" s="283" t="s">
        <v>870</v>
      </c>
      <c r="F110" s="310" t="str">
        <f t="shared" si="87"/>
        <v>09/17/20</v>
      </c>
      <c r="G110" s="298" t="s">
        <v>871</v>
      </c>
      <c r="H110" s="298" t="s">
        <v>775</v>
      </c>
      <c r="I110" s="306"/>
      <c r="J110" s="299">
        <v>-86.449078999999998</v>
      </c>
      <c r="K110" s="299">
        <v>-113.13144</v>
      </c>
      <c r="L110" s="299">
        <v>-95.870644999999996</v>
      </c>
      <c r="M110" s="299">
        <v>-101.112042</v>
      </c>
      <c r="N110" s="284">
        <v>3875</v>
      </c>
      <c r="O110" s="284">
        <v>28.39</v>
      </c>
      <c r="P110" s="284">
        <v>0.20169999999999999</v>
      </c>
      <c r="Q110" s="284">
        <v>1.932E-2</v>
      </c>
      <c r="R110" s="285">
        <v>180.21899589</v>
      </c>
      <c r="S110" s="285">
        <f>R110+R109</f>
        <v>188.21091813999999</v>
      </c>
      <c r="T110" s="314">
        <v>88.282470000000004</v>
      </c>
      <c r="U110" s="314">
        <v>20.213597</v>
      </c>
      <c r="V110" s="289">
        <v>6769</v>
      </c>
      <c r="W110" s="289">
        <v>52656</v>
      </c>
      <c r="X110" s="289">
        <f>W110-V110</f>
        <v>45887</v>
      </c>
      <c r="Y110" s="289">
        <f t="shared" si="100"/>
        <v>254.61799836021714</v>
      </c>
      <c r="Z110" s="308">
        <v>210.3</v>
      </c>
      <c r="AA110" s="289">
        <v>695.7</v>
      </c>
      <c r="AB110" s="289">
        <f>AA110-Z110</f>
        <v>485.40000000000003</v>
      </c>
      <c r="AC110" s="289">
        <f t="shared" si="101"/>
        <v>2.6933897706114891</v>
      </c>
      <c r="AD110" s="308">
        <v>179.83397299999999</v>
      </c>
      <c r="AE110" s="289">
        <v>602.36</v>
      </c>
      <c r="AF110" s="289">
        <f>AE110-AD110</f>
        <v>422.526027</v>
      </c>
      <c r="AG110" s="289">
        <f t="shared" si="102"/>
        <v>2.3445143777068682</v>
      </c>
      <c r="AH110" s="308">
        <v>31.487351</v>
      </c>
      <c r="AI110" s="289">
        <v>13.97</v>
      </c>
      <c r="AJ110" s="289">
        <f>AI110-AH110</f>
        <v>-17.517350999999998</v>
      </c>
      <c r="AK110" s="307">
        <f t="shared" si="103"/>
        <v>-9.7200358449960722E-2</v>
      </c>
      <c r="AL110" s="308">
        <v>-18.7</v>
      </c>
      <c r="AM110" s="289">
        <v>-57.1</v>
      </c>
      <c r="AN110" s="289">
        <f>AM110-AL110</f>
        <v>-38.400000000000006</v>
      </c>
      <c r="AO110" s="307">
        <f t="shared" si="104"/>
        <v>-0.21307409804590274</v>
      </c>
      <c r="AP110" s="308">
        <v>-22.5</v>
      </c>
      <c r="AQ110" s="289">
        <v>-70.3</v>
      </c>
      <c r="AR110" s="289">
        <f>AQ110-AP110</f>
        <v>-47.8</v>
      </c>
      <c r="AS110" s="307">
        <f t="shared" si="105"/>
        <v>-0.26523286163005599</v>
      </c>
      <c r="AT110" s="308">
        <v>8.1999999999999993</v>
      </c>
      <c r="AU110" s="289">
        <v>24.1</v>
      </c>
      <c r="AV110" s="289">
        <f>AU110-AT110</f>
        <v>15.900000000000002</v>
      </c>
      <c r="AW110" s="307">
        <f t="shared" si="106"/>
        <v>8.8225993722131607E-2</v>
      </c>
      <c r="AX110" s="308">
        <v>6294</v>
      </c>
      <c r="AY110" s="289">
        <v>52188</v>
      </c>
      <c r="AZ110" s="289">
        <f>AY110-AX110</f>
        <v>45894</v>
      </c>
      <c r="BA110" s="307">
        <f t="shared" si="107"/>
        <v>254.65683999267341</v>
      </c>
      <c r="BB110" s="308">
        <v>531</v>
      </c>
      <c r="BC110" s="289">
        <v>544.9</v>
      </c>
      <c r="BD110" s="289">
        <f>BC110-BB110</f>
        <v>13.899999999999977</v>
      </c>
      <c r="BE110" s="307">
        <f t="shared" si="108"/>
        <v>7.7128384448907364E-2</v>
      </c>
      <c r="BF110" s="308">
        <v>-521.20000000000005</v>
      </c>
      <c r="BG110" s="289">
        <v>-521.20000000000005</v>
      </c>
      <c r="BH110" s="289">
        <f>BG110-BF110</f>
        <v>0</v>
      </c>
      <c r="BI110" s="307">
        <f t="shared" si="109"/>
        <v>0</v>
      </c>
      <c r="BJ110" s="281">
        <v>88.282470000000004</v>
      </c>
      <c r="BK110" s="281">
        <v>20.213597</v>
      </c>
      <c r="BL110" s="281">
        <f>BK110-BJ110</f>
        <v>-68.068872999999996</v>
      </c>
      <c r="BM110" s="408">
        <v>-521.20000000000005</v>
      </c>
      <c r="BN110" s="458">
        <v>-521.20000000000005</v>
      </c>
      <c r="BO110" s="458">
        <f>BN110-BM110</f>
        <v>0</v>
      </c>
      <c r="BP110" s="408">
        <v>531</v>
      </c>
      <c r="BQ110" s="458">
        <v>544.9</v>
      </c>
      <c r="BR110" s="458">
        <f>BQ110-BP110</f>
        <v>13.899999999999977</v>
      </c>
      <c r="BS110" s="281"/>
      <c r="BT110" s="281"/>
      <c r="BU110" s="281"/>
      <c r="BV110" s="281"/>
      <c r="BW110" s="298" t="s">
        <v>855</v>
      </c>
      <c r="BX110" s="422">
        <v>12.2508298</v>
      </c>
      <c r="BY110" s="422">
        <v>255.84576607</v>
      </c>
      <c r="BZ110" s="422">
        <v>2068.0047864600001</v>
      </c>
      <c r="CA110" s="422">
        <v>581.15200000000004</v>
      </c>
      <c r="CB110" s="422">
        <v>159.11056486999999</v>
      </c>
      <c r="CC110" s="422">
        <v>159.48410000000001</v>
      </c>
      <c r="CD110" s="422">
        <v>-9.5739080000000004E-2</v>
      </c>
      <c r="CE110" s="422">
        <v>180.22051757</v>
      </c>
      <c r="CF110" s="422">
        <v>180.39322439</v>
      </c>
      <c r="CG110" s="422">
        <v>-0.13880065999999999</v>
      </c>
      <c r="CH110" s="422">
        <v>-0.23421465</v>
      </c>
      <c r="CI110" s="422">
        <v>4.7226200000000003E-3</v>
      </c>
    </row>
    <row r="111" spans="1:87" ht="15" customHeight="1" x14ac:dyDescent="0.2">
      <c r="A111" s="297">
        <f>A110+1</f>
        <v>62009026</v>
      </c>
      <c r="B111" s="297" t="s">
        <v>834</v>
      </c>
      <c r="C111" s="297" t="s">
        <v>835</v>
      </c>
      <c r="D111" s="326" t="s">
        <v>852</v>
      </c>
      <c r="E111" s="283" t="s">
        <v>872</v>
      </c>
      <c r="F111" s="310" t="str">
        <f t="shared" si="87"/>
        <v>09/17/20</v>
      </c>
      <c r="G111" s="298" t="s">
        <v>873</v>
      </c>
      <c r="H111" s="298" t="s">
        <v>775</v>
      </c>
      <c r="I111" s="306"/>
      <c r="J111" s="299">
        <v>22.234110999999999</v>
      </c>
      <c r="K111" s="299">
        <v>47.696827999999996</v>
      </c>
      <c r="L111" s="299">
        <v>29.427522</v>
      </c>
      <c r="M111" s="299">
        <v>31.907768000000001</v>
      </c>
      <c r="N111" s="284">
        <v>3875</v>
      </c>
      <c r="O111" s="284">
        <v>28.39</v>
      </c>
      <c r="P111" s="284">
        <v>0.20169999999999999</v>
      </c>
      <c r="Q111" s="284">
        <v>1.932E-2</v>
      </c>
      <c r="R111" s="285">
        <v>1.7643866800000001</v>
      </c>
      <c r="S111" s="285">
        <f>R111+R110</f>
        <v>181.98338257</v>
      </c>
      <c r="T111" s="314">
        <v>20.212071000000002</v>
      </c>
      <c r="U111" s="314">
        <v>16.778796</v>
      </c>
      <c r="V111" s="289">
        <v>52658</v>
      </c>
      <c r="W111" s="289">
        <v>54802</v>
      </c>
      <c r="X111" s="289">
        <f>W111-V111-X112</f>
        <v>457</v>
      </c>
      <c r="Y111" s="289">
        <f t="shared" si="100"/>
        <v>259.01351737704118</v>
      </c>
      <c r="Z111" s="308">
        <v>697.9</v>
      </c>
      <c r="AA111" s="289">
        <v>733.99681599999997</v>
      </c>
      <c r="AB111" s="289">
        <f>AA111-Z111-AB112</f>
        <v>18.196816000000013</v>
      </c>
      <c r="AC111" s="289">
        <f t="shared" si="101"/>
        <v>10.313394567227187</v>
      </c>
      <c r="AD111" s="308">
        <v>604.30069900000001</v>
      </c>
      <c r="AE111" s="289">
        <v>636.30968199999995</v>
      </c>
      <c r="AF111" s="289">
        <f>AE111-AD111-AF112</f>
        <v>16.138954000000012</v>
      </c>
      <c r="AG111" s="289">
        <f t="shared" si="102"/>
        <v>9.1470617994010315</v>
      </c>
      <c r="AH111" s="308">
        <v>23.03</v>
      </c>
      <c r="AI111" s="289">
        <v>16.190000000000001</v>
      </c>
      <c r="AJ111" s="289">
        <f>AI111-AH111-AJ112</f>
        <v>-6.3005610000000001</v>
      </c>
      <c r="AK111" s="307">
        <f t="shared" si="103"/>
        <v>-3.5709638206971728</v>
      </c>
      <c r="AL111" s="308">
        <v>-57.3</v>
      </c>
      <c r="AM111" s="289">
        <v>-59.4</v>
      </c>
      <c r="AN111" s="289">
        <f>AM111-AL111-AN112</f>
        <v>-0.80000000000000426</v>
      </c>
      <c r="AO111" s="307">
        <f t="shared" si="104"/>
        <v>-0.45341534770598257</v>
      </c>
      <c r="AP111" s="308">
        <v>-70.3</v>
      </c>
      <c r="AQ111" s="289">
        <v>-73</v>
      </c>
      <c r="AR111" s="289">
        <f>AQ111-AP111-AR112</f>
        <v>-1.1000000000000085</v>
      </c>
      <c r="AS111" s="307">
        <f t="shared" si="105"/>
        <v>-0.62344610309572757</v>
      </c>
      <c r="AT111" s="308">
        <v>24.2</v>
      </c>
      <c r="AU111" s="289">
        <v>25</v>
      </c>
      <c r="AV111" s="289">
        <f>AU111-AT111-AV112</f>
        <v>0.30000000000000071</v>
      </c>
      <c r="AW111" s="307">
        <f t="shared" si="106"/>
        <v>0.17003075538974297</v>
      </c>
      <c r="AX111" s="308">
        <v>52191</v>
      </c>
      <c r="AY111" s="289">
        <v>54336</v>
      </c>
      <c r="AZ111" s="289">
        <f>AY111-AX111-AZ112</f>
        <v>457</v>
      </c>
      <c r="BA111" s="307">
        <f t="shared" si="107"/>
        <v>259.01351737704118</v>
      </c>
      <c r="BB111" s="308">
        <v>545.6</v>
      </c>
      <c r="BC111" s="289">
        <v>546.4</v>
      </c>
      <c r="BD111" s="289">
        <f>BC111-BB111-BD112</f>
        <v>0.29999999999995453</v>
      </c>
      <c r="BE111" s="307">
        <f t="shared" si="108"/>
        <v>0.17003075538971679</v>
      </c>
      <c r="BF111" s="308">
        <v>-521.20000000000005</v>
      </c>
      <c r="BG111" s="289">
        <v>-521.20000000000005</v>
      </c>
      <c r="BH111" s="289">
        <f>BG111-BF111-BH112</f>
        <v>0</v>
      </c>
      <c r="BI111" s="307">
        <f t="shared" si="109"/>
        <v>0</v>
      </c>
      <c r="BJ111" s="281">
        <v>20.212071000000002</v>
      </c>
      <c r="BK111" s="281">
        <v>16.778796</v>
      </c>
      <c r="BL111" s="281">
        <f>BK111-BJ111-BL112</f>
        <v>-0.74463899999999938</v>
      </c>
      <c r="BM111" s="408">
        <v>-521.20000000000005</v>
      </c>
      <c r="BN111" s="458">
        <v>-521.20000000000005</v>
      </c>
      <c r="BO111" s="458">
        <f>BN111-BM111-BO112</f>
        <v>0</v>
      </c>
      <c r="BP111" s="408">
        <v>545.6</v>
      </c>
      <c r="BQ111" s="458">
        <v>546.4</v>
      </c>
      <c r="BR111" s="458">
        <f>BQ111-BP111-BR112</f>
        <v>0.29999999999995453</v>
      </c>
      <c r="BS111" s="281"/>
      <c r="BT111" s="281"/>
      <c r="BU111" s="281"/>
      <c r="BV111" s="281"/>
      <c r="BW111" s="298" t="s">
        <v>855</v>
      </c>
      <c r="BX111" s="422">
        <v>5056.8613808600003</v>
      </c>
      <c r="BY111" s="422">
        <v>-2.67988749</v>
      </c>
      <c r="BZ111" s="422">
        <v>2393.8015448000001</v>
      </c>
      <c r="CA111" s="422">
        <v>2459.7192533699999</v>
      </c>
      <c r="CB111" s="422">
        <v>2.8564951000000001</v>
      </c>
      <c r="CC111" s="422">
        <v>2.9259914199999999</v>
      </c>
      <c r="CD111" s="422">
        <v>-0.44365704</v>
      </c>
      <c r="CE111" s="422">
        <v>1.7643367299999999</v>
      </c>
      <c r="CF111" s="422">
        <v>1.7721992200000001</v>
      </c>
      <c r="CG111" s="422">
        <v>-1.9784716099999999</v>
      </c>
      <c r="CH111" s="422">
        <v>-2.3751372399999999</v>
      </c>
      <c r="CI111" s="422">
        <v>0.81466769000000006</v>
      </c>
    </row>
    <row r="112" spans="1:87" ht="15" customHeight="1" x14ac:dyDescent="0.2">
      <c r="A112" s="297">
        <f>A111</f>
        <v>62009026</v>
      </c>
      <c r="B112" s="297" t="s">
        <v>836</v>
      </c>
      <c r="C112" s="297" t="s">
        <v>627</v>
      </c>
      <c r="D112" s="326" t="s">
        <v>852</v>
      </c>
      <c r="E112" s="283" t="s">
        <v>872</v>
      </c>
      <c r="F112" s="310" t="str">
        <f t="shared" si="87"/>
        <v>09/17/20</v>
      </c>
      <c r="G112" s="298" t="s">
        <v>873</v>
      </c>
      <c r="H112" s="298" t="s">
        <v>775</v>
      </c>
      <c r="I112" s="306"/>
      <c r="J112" s="299">
        <v>25.925011000000001</v>
      </c>
      <c r="K112" s="299">
        <v>38.801290999999999</v>
      </c>
      <c r="L112" s="299">
        <v>29.443754999999999</v>
      </c>
      <c r="M112" s="299">
        <v>30.60661</v>
      </c>
      <c r="N112" s="284">
        <v>3875</v>
      </c>
      <c r="O112" s="284">
        <v>28.39</v>
      </c>
      <c r="P112" s="284">
        <v>0.20169999999999999</v>
      </c>
      <c r="Q112" s="284">
        <v>1.932E-2</v>
      </c>
      <c r="R112" s="285">
        <v>6.2278700200000001</v>
      </c>
      <c r="S112" s="285">
        <f>R112+R111</f>
        <v>7.9922567000000004</v>
      </c>
      <c r="T112" s="314">
        <v>19.699369000000001</v>
      </c>
      <c r="U112" s="314">
        <v>17.010732999999998</v>
      </c>
      <c r="V112" s="289">
        <v>52976</v>
      </c>
      <c r="W112" s="289">
        <v>54663</v>
      </c>
      <c r="X112" s="289">
        <f>W112-V112</f>
        <v>1687</v>
      </c>
      <c r="Y112" s="289">
        <f t="shared" si="100"/>
        <v>270.87912794943014</v>
      </c>
      <c r="Z112" s="308">
        <v>712.2</v>
      </c>
      <c r="AA112" s="289">
        <v>730.1</v>
      </c>
      <c r="AB112" s="289">
        <f>AA112-Z112</f>
        <v>17.899999999999977</v>
      </c>
      <c r="AC112" s="289">
        <f t="shared" si="101"/>
        <v>2.8741768762861843</v>
      </c>
      <c r="AD112" s="308">
        <v>617.15056100000004</v>
      </c>
      <c r="AE112" s="289">
        <v>633.02058999999997</v>
      </c>
      <c r="AF112" s="289">
        <f>AE112-AD112</f>
        <v>15.870028999999931</v>
      </c>
      <c r="AG112" s="289">
        <f t="shared" si="102"/>
        <v>2.5482273954073196</v>
      </c>
      <c r="AH112" s="308">
        <v>15.729438999999999</v>
      </c>
      <c r="AI112" s="289">
        <v>15.19</v>
      </c>
      <c r="AJ112" s="289">
        <f>AI112-AH112</f>
        <v>-0.53943899999999978</v>
      </c>
      <c r="AK112" s="307">
        <f t="shared" si="103"/>
        <v>-8.6616932959047169E-2</v>
      </c>
      <c r="AL112" s="308">
        <v>-57.7</v>
      </c>
      <c r="AM112" s="289">
        <v>-59</v>
      </c>
      <c r="AN112" s="289">
        <f>AM112-AL112</f>
        <v>-1.2999999999999972</v>
      </c>
      <c r="AO112" s="307">
        <f t="shared" si="104"/>
        <v>-0.20873910274704113</v>
      </c>
      <c r="AP112" s="308">
        <v>-70.900000000000006</v>
      </c>
      <c r="AQ112" s="289">
        <v>-72.5</v>
      </c>
      <c r="AR112" s="289">
        <f>AQ112-AP112</f>
        <v>-1.5999999999999943</v>
      </c>
      <c r="AS112" s="307">
        <f t="shared" si="105"/>
        <v>-0.2569096649194349</v>
      </c>
      <c r="AT112" s="308">
        <v>24.4</v>
      </c>
      <c r="AU112" s="289">
        <v>24.9</v>
      </c>
      <c r="AV112" s="289">
        <f>AU112-AT112</f>
        <v>0.5</v>
      </c>
      <c r="AW112" s="307">
        <f t="shared" si="106"/>
        <v>8.0284270287323684E-2</v>
      </c>
      <c r="AX112" s="308">
        <v>52509</v>
      </c>
      <c r="AY112" s="289">
        <v>54197</v>
      </c>
      <c r="AZ112" s="289">
        <f>AY112-AX112</f>
        <v>1688</v>
      </c>
      <c r="BA112" s="307">
        <f t="shared" si="107"/>
        <v>271.03969649000476</v>
      </c>
      <c r="BB112" s="308">
        <v>545.70000000000005</v>
      </c>
      <c r="BC112" s="289">
        <v>546.20000000000005</v>
      </c>
      <c r="BD112" s="289">
        <f>BC112-BB112</f>
        <v>0.5</v>
      </c>
      <c r="BE112" s="307">
        <f t="shared" si="108"/>
        <v>8.0284270287323684E-2</v>
      </c>
      <c r="BF112" s="308">
        <v>-521.20000000000005</v>
      </c>
      <c r="BG112" s="289">
        <v>-521.20000000000005</v>
      </c>
      <c r="BH112" s="289">
        <f>BG112-BF112</f>
        <v>0</v>
      </c>
      <c r="BI112" s="307">
        <f t="shared" si="109"/>
        <v>0</v>
      </c>
      <c r="BJ112" s="281">
        <v>19.699369000000001</v>
      </c>
      <c r="BK112" s="281">
        <v>17.010732999999998</v>
      </c>
      <c r="BL112" s="281">
        <f>BK112-BJ112</f>
        <v>-2.6886360000000025</v>
      </c>
      <c r="BM112" s="408">
        <v>-521.20000000000005</v>
      </c>
      <c r="BN112" s="458">
        <v>-521.20000000000005</v>
      </c>
      <c r="BO112" s="458">
        <f>BN112-BM112</f>
        <v>0</v>
      </c>
      <c r="BP112" s="408">
        <v>545.70000000000005</v>
      </c>
      <c r="BQ112" s="458">
        <v>546.20000000000005</v>
      </c>
      <c r="BR112" s="458">
        <f>BQ112-BP112</f>
        <v>0.5</v>
      </c>
      <c r="BS112" s="281"/>
      <c r="BT112" s="281"/>
      <c r="BU112" s="281"/>
      <c r="BV112" s="281"/>
      <c r="BW112" s="298" t="s">
        <v>855</v>
      </c>
      <c r="BX112" s="422">
        <v>10801.51294968</v>
      </c>
      <c r="BY112" s="422">
        <v>-7.1285816899999999</v>
      </c>
      <c r="BZ112" s="422">
        <v>1058.06450421</v>
      </c>
      <c r="CA112" s="422">
        <v>1139.2789336999999</v>
      </c>
      <c r="CB112" s="422">
        <v>6.3867350399999996</v>
      </c>
      <c r="CC112" s="422">
        <v>6.5128914900000003</v>
      </c>
      <c r="CD112" s="422">
        <v>-0.12581026000000001</v>
      </c>
      <c r="CE112" s="422">
        <v>6.22790775</v>
      </c>
      <c r="CF112" s="422">
        <v>6.2357529700000001</v>
      </c>
      <c r="CG112" s="422">
        <v>-1.8469932600000001</v>
      </c>
      <c r="CH112" s="422">
        <v>-1.93702676</v>
      </c>
      <c r="CI112" s="422">
        <v>0.34645612999999997</v>
      </c>
    </row>
    <row r="113" spans="1:87" ht="15" customHeight="1" x14ac:dyDescent="0.2">
      <c r="A113" s="297">
        <f t="shared" ref="A113:A120" si="111">A112</f>
        <v>62009026</v>
      </c>
      <c r="B113" s="297" t="s">
        <v>837</v>
      </c>
      <c r="C113" s="297" t="s">
        <v>628</v>
      </c>
      <c r="D113" s="326" t="s">
        <v>852</v>
      </c>
      <c r="E113" s="283" t="s">
        <v>872</v>
      </c>
      <c r="F113" s="310" t="str">
        <f t="shared" si="87"/>
        <v>09/17/20</v>
      </c>
      <c r="G113" s="298" t="s">
        <v>873</v>
      </c>
      <c r="H113" s="298" t="s">
        <v>775</v>
      </c>
      <c r="I113" s="306"/>
      <c r="J113" s="300">
        <f>AVERAGE(J111:J112)</f>
        <v>24.079560999999998</v>
      </c>
      <c r="K113" s="300">
        <f>AVERAGE(K111:K112)</f>
        <v>43.249059500000001</v>
      </c>
      <c r="L113" s="300">
        <f>AVERAGE(L111:L112)</f>
        <v>29.4356385</v>
      </c>
      <c r="M113" s="300">
        <f>AVERAGE(M111:M112)</f>
        <v>31.257189</v>
      </c>
      <c r="N113" s="286"/>
      <c r="O113" s="284"/>
      <c r="P113" s="302"/>
      <c r="Q113" s="301"/>
      <c r="R113" s="287">
        <f>R112+R111</f>
        <v>7.9922567000000004</v>
      </c>
      <c r="S113" s="287">
        <f>S112</f>
        <v>7.9922567000000004</v>
      </c>
      <c r="T113" s="315">
        <f>T111</f>
        <v>20.212071000000002</v>
      </c>
      <c r="U113" s="315">
        <f>U112</f>
        <v>17.010732999999998</v>
      </c>
      <c r="V113" s="290">
        <f>V111</f>
        <v>52658</v>
      </c>
      <c r="W113" s="290">
        <f>W112</f>
        <v>54663</v>
      </c>
      <c r="X113" s="290">
        <f>SUM(X111:X112)</f>
        <v>2144</v>
      </c>
      <c r="Y113" s="290">
        <f t="shared" si="100"/>
        <v>268.2596518702909</v>
      </c>
      <c r="Z113" s="290">
        <f>Z111</f>
        <v>697.9</v>
      </c>
      <c r="AA113" s="290">
        <f>AA112</f>
        <v>730.1</v>
      </c>
      <c r="AB113" s="290">
        <f>SUM(AB111:AB112)</f>
        <v>36.09681599999999</v>
      </c>
      <c r="AC113" s="290">
        <f t="shared" si="101"/>
        <v>4.51647355120613</v>
      </c>
      <c r="AD113" s="290">
        <f>AD111</f>
        <v>604.30069900000001</v>
      </c>
      <c r="AE113" s="290">
        <f>AE112</f>
        <v>633.02058999999997</v>
      </c>
      <c r="AF113" s="290">
        <f>SUM(AF111:AF112)</f>
        <v>32.008982999999944</v>
      </c>
      <c r="AG113" s="290">
        <f t="shared" si="102"/>
        <v>4.0049993639468493</v>
      </c>
      <c r="AH113" s="290">
        <f>AH111</f>
        <v>23.03</v>
      </c>
      <c r="AI113" s="290">
        <f>AI112</f>
        <v>15.19</v>
      </c>
      <c r="AJ113" s="290">
        <f>SUM(AJ111:AJ112)</f>
        <v>-6.84</v>
      </c>
      <c r="AK113" s="288">
        <f t="shared" si="103"/>
        <v>-0.85582836697424891</v>
      </c>
      <c r="AL113" s="290">
        <f>AL111</f>
        <v>-57.3</v>
      </c>
      <c r="AM113" s="290">
        <f>AM112</f>
        <v>-59</v>
      </c>
      <c r="AN113" s="290">
        <f>SUM(AN111:AN112)</f>
        <v>-2.1000000000000014</v>
      </c>
      <c r="AO113" s="288">
        <f t="shared" si="104"/>
        <v>-0.2627543231938485</v>
      </c>
      <c r="AP113" s="290">
        <f>AP111</f>
        <v>-70.3</v>
      </c>
      <c r="AQ113" s="290">
        <f>AQ112</f>
        <v>-72.5</v>
      </c>
      <c r="AR113" s="290">
        <f>SUM(AR111:AR112)</f>
        <v>-2.7000000000000028</v>
      </c>
      <c r="AS113" s="288">
        <f t="shared" si="105"/>
        <v>-0.33782698696351965</v>
      </c>
      <c r="AT113" s="290">
        <f>AT111</f>
        <v>24.2</v>
      </c>
      <c r="AU113" s="290">
        <f>AU112</f>
        <v>24.9</v>
      </c>
      <c r="AV113" s="290">
        <f>SUM(AV111:AV112)</f>
        <v>0.80000000000000071</v>
      </c>
      <c r="AW113" s="288">
        <f t="shared" si="106"/>
        <v>0.10009688502622803</v>
      </c>
      <c r="AX113" s="290">
        <f>AX111</f>
        <v>52191</v>
      </c>
      <c r="AY113" s="290">
        <f>AY112</f>
        <v>54197</v>
      </c>
      <c r="AZ113" s="290">
        <f>SUM(AZ111:AZ112)</f>
        <v>2145</v>
      </c>
      <c r="BA113" s="288">
        <f t="shared" si="107"/>
        <v>268.38477297657369</v>
      </c>
      <c r="BB113" s="290">
        <f>BB111</f>
        <v>545.6</v>
      </c>
      <c r="BC113" s="290">
        <f>BC112</f>
        <v>546.20000000000005</v>
      </c>
      <c r="BD113" s="290">
        <f>SUM(BD111:BD112)</f>
        <v>0.79999999999995453</v>
      </c>
      <c r="BE113" s="288">
        <f t="shared" si="108"/>
        <v>0.10009688502622226</v>
      </c>
      <c r="BF113" s="290">
        <f>BF111</f>
        <v>-521.20000000000005</v>
      </c>
      <c r="BG113" s="290">
        <f>BG112</f>
        <v>-521.20000000000005</v>
      </c>
      <c r="BH113" s="290">
        <f>SUM(BH111:BH112)</f>
        <v>0</v>
      </c>
      <c r="BI113" s="288">
        <f t="shared" si="109"/>
        <v>0</v>
      </c>
      <c r="BJ113" s="282"/>
      <c r="BK113" s="282"/>
      <c r="BL113" s="282">
        <f>SUM(BL111:BL112)</f>
        <v>-3.4332750000000019</v>
      </c>
      <c r="BM113" s="459">
        <f>BM111</f>
        <v>-521.20000000000005</v>
      </c>
      <c r="BN113" s="459">
        <f>BN112</f>
        <v>-521.20000000000005</v>
      </c>
      <c r="BO113" s="459">
        <f>SUM(BO111:BO112)</f>
        <v>0</v>
      </c>
      <c r="BP113" s="459">
        <f>BP111</f>
        <v>545.6</v>
      </c>
      <c r="BQ113" s="459">
        <f>BQ112</f>
        <v>546.20000000000005</v>
      </c>
      <c r="BR113" s="459">
        <f>SUM(BR111:BR112)</f>
        <v>0.79999999999995453</v>
      </c>
      <c r="BS113" s="282"/>
      <c r="BT113" s="282"/>
      <c r="BU113" s="282"/>
      <c r="BV113" s="282"/>
      <c r="BW113" s="298" t="s">
        <v>855</v>
      </c>
    </row>
    <row r="114" spans="1:87" ht="15" customHeight="1" x14ac:dyDescent="0.2">
      <c r="A114" s="297">
        <f t="shared" si="111"/>
        <v>62009026</v>
      </c>
      <c r="B114" s="297" t="s">
        <v>838</v>
      </c>
      <c r="C114" s="297" t="s">
        <v>629</v>
      </c>
      <c r="D114" s="326" t="s">
        <v>852</v>
      </c>
      <c r="E114" s="283" t="s">
        <v>872</v>
      </c>
      <c r="F114" s="310" t="str">
        <f t="shared" si="87"/>
        <v>09/17/20</v>
      </c>
      <c r="G114" s="298" t="s">
        <v>873</v>
      </c>
      <c r="H114" s="298" t="s">
        <v>775</v>
      </c>
      <c r="I114" s="306"/>
      <c r="J114" s="299">
        <v>20.862646999999999</v>
      </c>
      <c r="K114" s="299">
        <v>51.388528000000001</v>
      </c>
      <c r="L114" s="299">
        <v>29.429338000000001</v>
      </c>
      <c r="M114" s="299">
        <v>29.094515999999999</v>
      </c>
      <c r="N114" s="284">
        <v>3875</v>
      </c>
      <c r="O114" s="284">
        <v>28.39</v>
      </c>
      <c r="P114" s="284">
        <v>0.20169999999999999</v>
      </c>
      <c r="Q114" s="284">
        <v>1.932E-2</v>
      </c>
      <c r="R114" s="285">
        <v>3.5820169700000002</v>
      </c>
      <c r="S114" s="285">
        <f>R114+R113</f>
        <v>11.57427367</v>
      </c>
      <c r="T114" s="314">
        <v>16.778796</v>
      </c>
      <c r="U114" s="314">
        <v>16.778796</v>
      </c>
      <c r="V114" s="289">
        <v>54810</v>
      </c>
      <c r="W114" s="289">
        <v>55457</v>
      </c>
      <c r="X114" s="289">
        <f>W114-V114</f>
        <v>647</v>
      </c>
      <c r="Y114" s="289">
        <f t="shared" ref="Y114:Y122" si="112">X114/$R114</f>
        <v>180.62449324465371</v>
      </c>
      <c r="Z114" s="308">
        <v>741.3</v>
      </c>
      <c r="AA114" s="289">
        <v>776.9</v>
      </c>
      <c r="AB114" s="289">
        <f>AA114-Z114</f>
        <v>35.600000000000023</v>
      </c>
      <c r="AC114" s="289">
        <f t="shared" ref="AC114:AC122" si="113">AB114/$R114</f>
        <v>9.9385347133070727</v>
      </c>
      <c r="AD114" s="308">
        <v>642.85020599999996</v>
      </c>
      <c r="AE114" s="289">
        <v>674.7</v>
      </c>
      <c r="AF114" s="289">
        <f>AE114-AD114</f>
        <v>31.849794000000088</v>
      </c>
      <c r="AG114" s="289">
        <f t="shared" ref="AG114:AG122" si="114">AF114/$R114</f>
        <v>8.8915809910303381</v>
      </c>
      <c r="AH114" s="308">
        <v>24.879794</v>
      </c>
      <c r="AI114" s="289">
        <v>13.95</v>
      </c>
      <c r="AJ114" s="289">
        <f>AI114-AH114</f>
        <v>-10.929794000000001</v>
      </c>
      <c r="AK114" s="307">
        <f t="shared" ref="AK114:AK122" si="115">AJ114/$R114</f>
        <v>-3.0512959853453738</v>
      </c>
      <c r="AL114" s="308">
        <v>-59.7</v>
      </c>
      <c r="AM114" s="289">
        <v>-61.5</v>
      </c>
      <c r="AN114" s="289">
        <f>AM114-AL114</f>
        <v>-1.7999999999999972</v>
      </c>
      <c r="AO114" s="307">
        <f t="shared" ref="AO114:AO122" si="116">AN114/$R114</f>
        <v>-0.50251018213350263</v>
      </c>
      <c r="AP114" s="308">
        <v>-73.2</v>
      </c>
      <c r="AQ114" s="289">
        <v>-75.5</v>
      </c>
      <c r="AR114" s="289">
        <f>AQ114-AP114</f>
        <v>-2.2999999999999972</v>
      </c>
      <c r="AS114" s="307">
        <f t="shared" ref="AS114:AS122" si="117">AR114/$R114</f>
        <v>-0.64209634383725356</v>
      </c>
      <c r="AT114" s="308">
        <v>25.2</v>
      </c>
      <c r="AU114" s="289">
        <v>25.9</v>
      </c>
      <c r="AV114" s="289">
        <f>AU114-AT114</f>
        <v>0.69999999999999929</v>
      </c>
      <c r="AW114" s="307">
        <f t="shared" ref="AW114:AW122" si="118">AV114/$R114</f>
        <v>0.19542062638525112</v>
      </c>
      <c r="AX114" s="308">
        <v>54344</v>
      </c>
      <c r="AY114" s="289">
        <v>54990</v>
      </c>
      <c r="AZ114" s="289">
        <f>AY114-AX114</f>
        <v>646</v>
      </c>
      <c r="BA114" s="307">
        <f t="shared" ref="BA114:BA122" si="119">AZ114/$R114</f>
        <v>180.34532092124621</v>
      </c>
      <c r="BB114" s="308">
        <v>547.20000000000005</v>
      </c>
      <c r="BC114" s="289">
        <v>547.9</v>
      </c>
      <c r="BD114" s="289">
        <f>BC114-BB114</f>
        <v>0.69999999999993179</v>
      </c>
      <c r="BE114" s="307">
        <f t="shared" ref="BE114:BE122" si="120">BD114/$R114</f>
        <v>0.19542062638523228</v>
      </c>
      <c r="BF114" s="308">
        <v>-521.20000000000005</v>
      </c>
      <c r="BG114" s="289">
        <v>-521.20000000000005</v>
      </c>
      <c r="BH114" s="289">
        <f>BG114-BF114</f>
        <v>0</v>
      </c>
      <c r="BI114" s="307">
        <f t="shared" ref="BI114:BI122" si="121">BH114/$R114</f>
        <v>0</v>
      </c>
      <c r="BJ114" s="281">
        <v>16.778796</v>
      </c>
      <c r="BK114" s="281">
        <v>16.778796</v>
      </c>
      <c r="BL114" s="281">
        <f>BK114-BJ114</f>
        <v>0</v>
      </c>
      <c r="BM114" s="408">
        <v>-521.20000000000005</v>
      </c>
      <c r="BN114" s="458">
        <v>-521.20000000000005</v>
      </c>
      <c r="BO114" s="458">
        <f>BN114-BM114</f>
        <v>0</v>
      </c>
      <c r="BP114" s="408">
        <v>547.20000000000005</v>
      </c>
      <c r="BQ114" s="458">
        <v>547.9</v>
      </c>
      <c r="BR114" s="458">
        <f>BQ114-BP114</f>
        <v>0.69999999999993179</v>
      </c>
      <c r="BS114" s="281"/>
      <c r="BT114" s="281"/>
      <c r="BU114" s="281"/>
      <c r="BV114" s="281"/>
      <c r="BW114" s="298" t="s">
        <v>855</v>
      </c>
      <c r="BX114" s="422">
        <v>2198.5680195</v>
      </c>
      <c r="BY114" s="422">
        <v>-1.2130571400000001</v>
      </c>
      <c r="BZ114" s="422">
        <v>2023.87813981</v>
      </c>
      <c r="CA114" s="422">
        <v>2048.73041023</v>
      </c>
      <c r="CB114" s="422">
        <v>2.9285038000000001</v>
      </c>
      <c r="CC114" s="422">
        <v>2.96576767</v>
      </c>
      <c r="CD114" s="422">
        <v>-0.25094267999999997</v>
      </c>
      <c r="CE114" s="422">
        <v>3.5819686700000002</v>
      </c>
      <c r="CF114" s="422">
        <v>3.5909799699999998</v>
      </c>
      <c r="CG114" s="422">
        <v>-1.0183184300000001</v>
      </c>
      <c r="CH114" s="422">
        <v>-1.2564662900000001</v>
      </c>
      <c r="CI114" s="422">
        <v>0.59139363</v>
      </c>
    </row>
    <row r="115" spans="1:87" ht="15" customHeight="1" x14ac:dyDescent="0.2">
      <c r="A115" s="297">
        <f t="shared" si="111"/>
        <v>62009026</v>
      </c>
      <c r="B115" s="297" t="s">
        <v>219</v>
      </c>
      <c r="C115" s="297" t="s">
        <v>630</v>
      </c>
      <c r="D115" s="326" t="s">
        <v>852</v>
      </c>
      <c r="E115" s="283" t="s">
        <v>872</v>
      </c>
      <c r="F115" s="310" t="str">
        <f t="shared" si="87"/>
        <v>09/17/20</v>
      </c>
      <c r="G115" s="298" t="s">
        <v>873</v>
      </c>
      <c r="H115" s="298" t="s">
        <v>775</v>
      </c>
      <c r="I115" s="306"/>
      <c r="J115" s="299">
        <v>20.567944000000001</v>
      </c>
      <c r="K115" s="299">
        <v>51.821319000000003</v>
      </c>
      <c r="L115" s="299">
        <v>29.428549</v>
      </c>
      <c r="M115" s="299">
        <v>28.532094000000001</v>
      </c>
      <c r="N115" s="284">
        <v>3875</v>
      </c>
      <c r="O115" s="284">
        <v>28.39</v>
      </c>
      <c r="P115" s="284">
        <v>0.20169999999999999</v>
      </c>
      <c r="Q115" s="284">
        <v>1.932E-2</v>
      </c>
      <c r="R115" s="285">
        <v>3.8444794999999998</v>
      </c>
      <c r="S115" s="285">
        <f>R115+R114</f>
        <v>7.42649647</v>
      </c>
      <c r="T115" s="314">
        <v>16.778796</v>
      </c>
      <c r="U115" s="314">
        <v>16.778796</v>
      </c>
      <c r="V115" s="289">
        <v>55457</v>
      </c>
      <c r="W115" s="289">
        <v>55994</v>
      </c>
      <c r="X115" s="289">
        <f>W115-V115</f>
        <v>537</v>
      </c>
      <c r="Y115" s="289">
        <f t="shared" si="112"/>
        <v>139.68080724581833</v>
      </c>
      <c r="Z115" s="308">
        <v>776.9</v>
      </c>
      <c r="AA115" s="289">
        <v>809.2</v>
      </c>
      <c r="AB115" s="289">
        <f>AA115-Z115</f>
        <v>32.300000000000068</v>
      </c>
      <c r="AC115" s="289">
        <f t="shared" si="113"/>
        <v>8.401657493556689</v>
      </c>
      <c r="AD115" s="308">
        <v>674.709968</v>
      </c>
      <c r="AE115" s="289">
        <v>702.43</v>
      </c>
      <c r="AF115" s="289">
        <f>AE115-AD115</f>
        <v>27.720031999999946</v>
      </c>
      <c r="AG115" s="289">
        <f t="shared" si="114"/>
        <v>7.2103472004467566</v>
      </c>
      <c r="AH115" s="308">
        <v>13.95</v>
      </c>
      <c r="AI115" s="289">
        <v>19.170000000000002</v>
      </c>
      <c r="AJ115" s="289">
        <f>AI115-AH115</f>
        <v>5.2200000000000024</v>
      </c>
      <c r="AK115" s="307">
        <f t="shared" si="115"/>
        <v>1.3577910871939889</v>
      </c>
      <c r="AL115" s="308">
        <v>-61.5</v>
      </c>
      <c r="AM115" s="289">
        <v>-64.7</v>
      </c>
      <c r="AN115" s="289">
        <f>AM115-AL115</f>
        <v>-3.2000000000000028</v>
      </c>
      <c r="AO115" s="307">
        <f t="shared" si="116"/>
        <v>-0.83236235230282873</v>
      </c>
      <c r="AP115" s="308">
        <v>-75.5</v>
      </c>
      <c r="AQ115" s="289">
        <v>-79.5</v>
      </c>
      <c r="AR115" s="289">
        <f>AQ115-AP115</f>
        <v>-4</v>
      </c>
      <c r="AS115" s="307">
        <f t="shared" si="117"/>
        <v>-1.040452940378535</v>
      </c>
      <c r="AT115" s="308">
        <v>25.9</v>
      </c>
      <c r="AU115" s="289">
        <v>27.2</v>
      </c>
      <c r="AV115" s="289">
        <f>AU115-AT115</f>
        <v>1.3000000000000007</v>
      </c>
      <c r="AW115" s="307">
        <f t="shared" si="118"/>
        <v>0.33814720562302408</v>
      </c>
      <c r="AX115" s="308">
        <v>54990</v>
      </c>
      <c r="AY115" s="289">
        <v>55526</v>
      </c>
      <c r="AZ115" s="289">
        <f>AY115-AX115</f>
        <v>536</v>
      </c>
      <c r="BA115" s="307">
        <f t="shared" si="119"/>
        <v>139.42069401072371</v>
      </c>
      <c r="BB115" s="308">
        <v>547.9</v>
      </c>
      <c r="BC115" s="289">
        <v>549.1</v>
      </c>
      <c r="BD115" s="289">
        <f>BC115-BB115</f>
        <v>1.2000000000000455</v>
      </c>
      <c r="BE115" s="307">
        <f t="shared" si="120"/>
        <v>0.31213588211357235</v>
      </c>
      <c r="BF115" s="308">
        <v>-521.20000000000005</v>
      </c>
      <c r="BG115" s="289">
        <v>-521.20000000000005</v>
      </c>
      <c r="BH115" s="289">
        <f>BG115-BF115</f>
        <v>0</v>
      </c>
      <c r="BI115" s="307">
        <f t="shared" si="121"/>
        <v>0</v>
      </c>
      <c r="BJ115" s="281">
        <v>16.778796</v>
      </c>
      <c r="BK115" s="281">
        <v>16.778796</v>
      </c>
      <c r="BL115" s="281">
        <f>BK115-BJ115</f>
        <v>0</v>
      </c>
      <c r="BM115" s="408">
        <v>-521.20000000000005</v>
      </c>
      <c r="BN115" s="458">
        <v>-521.20000000000005</v>
      </c>
      <c r="BO115" s="458">
        <f>BN115-BM115</f>
        <v>0</v>
      </c>
      <c r="BP115" s="408">
        <v>547.9</v>
      </c>
      <c r="BQ115" s="458">
        <v>549.1</v>
      </c>
      <c r="BR115" s="458">
        <f>BQ115-BP115</f>
        <v>1.2000000000000455</v>
      </c>
      <c r="BS115" s="281"/>
      <c r="BT115" s="281"/>
      <c r="BU115" s="281"/>
      <c r="BV115" s="281"/>
      <c r="BW115" s="298" t="s">
        <v>855</v>
      </c>
      <c r="BX115" s="422">
        <v>1348.56957405</v>
      </c>
      <c r="BY115" s="422">
        <v>-1.35108692</v>
      </c>
      <c r="BZ115" s="422">
        <v>3369.88457371</v>
      </c>
      <c r="CA115" s="422">
        <v>3416.0382193599999</v>
      </c>
      <c r="CB115" s="422">
        <v>2.7012549099999998</v>
      </c>
      <c r="CC115" s="422">
        <v>2.7415517600000001</v>
      </c>
      <c r="CD115" s="422">
        <v>-0.40201746999999999</v>
      </c>
      <c r="CE115" s="422">
        <v>3.8443120899999998</v>
      </c>
      <c r="CF115" s="422">
        <v>3.85982928</v>
      </c>
      <c r="CG115" s="422">
        <v>-1.0837678500000001</v>
      </c>
      <c r="CH115" s="422">
        <v>-1.4698555</v>
      </c>
      <c r="CI115" s="422">
        <v>0.71727554000000004</v>
      </c>
    </row>
    <row r="116" spans="1:87" ht="15" customHeight="1" x14ac:dyDescent="0.2">
      <c r="A116" s="297">
        <f t="shared" si="111"/>
        <v>62009026</v>
      </c>
      <c r="B116" s="297" t="s">
        <v>839</v>
      </c>
      <c r="C116" s="297" t="s">
        <v>840</v>
      </c>
      <c r="D116" s="326" t="s">
        <v>852</v>
      </c>
      <c r="E116" s="283" t="s">
        <v>872</v>
      </c>
      <c r="F116" s="310" t="str">
        <f t="shared" si="87"/>
        <v>09/17/20</v>
      </c>
      <c r="G116" s="298" t="s">
        <v>873</v>
      </c>
      <c r="H116" s="298" t="s">
        <v>775</v>
      </c>
      <c r="I116" s="306"/>
      <c r="J116" s="300">
        <f>AVERAGE(J114:J115)</f>
        <v>20.7152955</v>
      </c>
      <c r="K116" s="300">
        <f>AVERAGE(K114:K115)</f>
        <v>51.604923499999998</v>
      </c>
      <c r="L116" s="300">
        <f>AVERAGE(L114:L115)</f>
        <v>29.428943500000003</v>
      </c>
      <c r="M116" s="300">
        <f>AVERAGE(M114:M115)</f>
        <v>28.813305</v>
      </c>
      <c r="N116" s="286"/>
      <c r="O116" s="284"/>
      <c r="P116" s="302"/>
      <c r="Q116" s="301"/>
      <c r="R116" s="287">
        <f>R115+R114</f>
        <v>7.42649647</v>
      </c>
      <c r="S116" s="287">
        <f>S115</f>
        <v>7.42649647</v>
      </c>
      <c r="T116" s="315">
        <f>T114</f>
        <v>16.778796</v>
      </c>
      <c r="U116" s="315">
        <f>U115</f>
        <v>16.778796</v>
      </c>
      <c r="V116" s="290">
        <f>V114</f>
        <v>54810</v>
      </c>
      <c r="W116" s="290">
        <f>W115</f>
        <v>55994</v>
      </c>
      <c r="X116" s="290">
        <f>SUM(X114:X115)</f>
        <v>1184</v>
      </c>
      <c r="Y116" s="290">
        <f t="shared" si="112"/>
        <v>159.42914734866898</v>
      </c>
      <c r="Z116" s="290">
        <f>Z114</f>
        <v>741.3</v>
      </c>
      <c r="AA116" s="290">
        <f>AA115</f>
        <v>809.2</v>
      </c>
      <c r="AB116" s="290">
        <f>SUM(AB114:AB115)</f>
        <v>67.900000000000091</v>
      </c>
      <c r="AC116" s="290">
        <f t="shared" si="113"/>
        <v>9.1429384332556065</v>
      </c>
      <c r="AD116" s="290">
        <f>AD114</f>
        <v>642.85020599999996</v>
      </c>
      <c r="AE116" s="290">
        <f>AE115</f>
        <v>702.43</v>
      </c>
      <c r="AF116" s="290">
        <f>SUM(AF114:AF115)</f>
        <v>59.569826000000035</v>
      </c>
      <c r="AG116" s="290">
        <f t="shared" si="114"/>
        <v>8.0212555463585957</v>
      </c>
      <c r="AH116" s="290">
        <f>AH114</f>
        <v>24.879794</v>
      </c>
      <c r="AI116" s="290">
        <f>AI115</f>
        <v>19.170000000000002</v>
      </c>
      <c r="AJ116" s="290">
        <f>SUM(AJ114:AJ115)</f>
        <v>-5.7097939999999987</v>
      </c>
      <c r="AK116" s="288">
        <f t="shared" si="115"/>
        <v>-0.76884086905113669</v>
      </c>
      <c r="AL116" s="290">
        <f>AL114</f>
        <v>-59.7</v>
      </c>
      <c r="AM116" s="290">
        <f>AM115</f>
        <v>-64.7</v>
      </c>
      <c r="AN116" s="290">
        <f>SUM(AN114:AN115)</f>
        <v>-5</v>
      </c>
      <c r="AO116" s="288">
        <f t="shared" si="116"/>
        <v>-0.67326498035755478</v>
      </c>
      <c r="AP116" s="290">
        <f>AP114</f>
        <v>-73.2</v>
      </c>
      <c r="AQ116" s="290">
        <f>AQ115</f>
        <v>-79.5</v>
      </c>
      <c r="AR116" s="290">
        <f>SUM(AR114:AR115)</f>
        <v>-6.2999999999999972</v>
      </c>
      <c r="AS116" s="288">
        <f t="shared" si="117"/>
        <v>-0.8483138752505186</v>
      </c>
      <c r="AT116" s="290">
        <f>AT114</f>
        <v>25.2</v>
      </c>
      <c r="AU116" s="290">
        <f>AU115</f>
        <v>27.2</v>
      </c>
      <c r="AV116" s="290">
        <f>SUM(AV114:AV115)</f>
        <v>2</v>
      </c>
      <c r="AW116" s="288">
        <f t="shared" si="118"/>
        <v>0.26930599214302192</v>
      </c>
      <c r="AX116" s="290">
        <f>AX114</f>
        <v>54344</v>
      </c>
      <c r="AY116" s="290">
        <f>AY115</f>
        <v>55526</v>
      </c>
      <c r="AZ116" s="290">
        <f>SUM(AZ114:AZ115)</f>
        <v>1182</v>
      </c>
      <c r="BA116" s="288">
        <f t="shared" si="119"/>
        <v>159.15984135652596</v>
      </c>
      <c r="BB116" s="290">
        <f>BB114</f>
        <v>547.20000000000005</v>
      </c>
      <c r="BC116" s="290">
        <f>BC115</f>
        <v>549.1</v>
      </c>
      <c r="BD116" s="290">
        <f>SUM(BD114:BD115)</f>
        <v>1.8999999999999773</v>
      </c>
      <c r="BE116" s="288">
        <f t="shared" si="120"/>
        <v>0.25584069253586778</v>
      </c>
      <c r="BF116" s="290">
        <f>BF114</f>
        <v>-521.20000000000005</v>
      </c>
      <c r="BG116" s="290">
        <f>BG115</f>
        <v>-521.20000000000005</v>
      </c>
      <c r="BH116" s="290">
        <f>SUM(BH114:BH115)</f>
        <v>0</v>
      </c>
      <c r="BI116" s="288">
        <f t="shared" si="121"/>
        <v>0</v>
      </c>
      <c r="BJ116" s="282"/>
      <c r="BK116" s="282"/>
      <c r="BL116" s="282">
        <f>SUM(BL114:BL115)</f>
        <v>0</v>
      </c>
      <c r="BM116" s="459">
        <f>BM114</f>
        <v>-521.20000000000005</v>
      </c>
      <c r="BN116" s="459">
        <f>BN115</f>
        <v>-521.20000000000005</v>
      </c>
      <c r="BO116" s="459">
        <f>SUM(BO114:BO115)</f>
        <v>0</v>
      </c>
      <c r="BP116" s="459">
        <f>BP114</f>
        <v>547.20000000000005</v>
      </c>
      <c r="BQ116" s="459">
        <f>BQ115</f>
        <v>549.1</v>
      </c>
      <c r="BR116" s="459">
        <f>SUM(BR114:BR115)</f>
        <v>1.8999999999999773</v>
      </c>
      <c r="BS116" s="282"/>
      <c r="BT116" s="282"/>
      <c r="BU116" s="282"/>
      <c r="BV116" s="282"/>
      <c r="BW116" s="298" t="s">
        <v>855</v>
      </c>
    </row>
    <row r="117" spans="1:87" ht="15" customHeight="1" x14ac:dyDescent="0.2">
      <c r="A117" s="297">
        <f t="shared" si="111"/>
        <v>62009026</v>
      </c>
      <c r="B117" s="297" t="s">
        <v>55</v>
      </c>
      <c r="C117" s="297" t="s">
        <v>631</v>
      </c>
      <c r="D117" s="326" t="s">
        <v>852</v>
      </c>
      <c r="E117" s="283" t="s">
        <v>872</v>
      </c>
      <c r="F117" s="310" t="str">
        <f t="shared" si="87"/>
        <v>09/17/20</v>
      </c>
      <c r="G117" s="298" t="s">
        <v>873</v>
      </c>
      <c r="H117" s="298" t="s">
        <v>775</v>
      </c>
      <c r="I117" s="306"/>
      <c r="J117" s="299">
        <v>25.616880999999999</v>
      </c>
      <c r="K117" s="299">
        <v>37.363123000000002</v>
      </c>
      <c r="L117" s="299">
        <v>29.439450000000001</v>
      </c>
      <c r="M117" s="299">
        <v>29.706289999999999</v>
      </c>
      <c r="N117" s="284">
        <v>3875</v>
      </c>
      <c r="O117" s="284">
        <v>28.39</v>
      </c>
      <c r="P117" s="284">
        <v>0.20169999999999999</v>
      </c>
      <c r="Q117" s="284">
        <v>1.932E-2</v>
      </c>
      <c r="R117" s="285">
        <v>10.24705309</v>
      </c>
      <c r="S117" s="285">
        <f>R117+R116</f>
        <v>17.673549559999998</v>
      </c>
      <c r="T117" s="314">
        <v>16.778796</v>
      </c>
      <c r="U117" s="314">
        <v>16.778796</v>
      </c>
      <c r="V117" s="289">
        <v>55995</v>
      </c>
      <c r="W117" s="289">
        <v>57999</v>
      </c>
      <c r="X117" s="289">
        <f>W117-V117</f>
        <v>2004</v>
      </c>
      <c r="Y117" s="289">
        <f t="shared" si="112"/>
        <v>195.56842171098774</v>
      </c>
      <c r="Z117" s="308">
        <v>809.9</v>
      </c>
      <c r="AA117" s="289">
        <v>843.7</v>
      </c>
      <c r="AB117" s="289">
        <f>AA117-Z117</f>
        <v>33.800000000000068</v>
      </c>
      <c r="AC117" s="289">
        <f t="shared" si="113"/>
        <v>3.2985093082991015</v>
      </c>
      <c r="AD117" s="308">
        <v>703.06</v>
      </c>
      <c r="AE117" s="289">
        <v>732.44915500000002</v>
      </c>
      <c r="AF117" s="289">
        <f>AE117-AD117</f>
        <v>29.389155000000073</v>
      </c>
      <c r="AG117" s="289">
        <f t="shared" si="114"/>
        <v>2.8680592109628735</v>
      </c>
      <c r="AH117" s="308">
        <v>19.2</v>
      </c>
      <c r="AI117" s="289">
        <v>19.88</v>
      </c>
      <c r="AJ117" s="289">
        <f>AI117-AH117</f>
        <v>0.67999999999999972</v>
      </c>
      <c r="AK117" s="307">
        <f t="shared" si="115"/>
        <v>6.6360542297141528E-2</v>
      </c>
      <c r="AL117" s="308">
        <v>-64.8</v>
      </c>
      <c r="AM117" s="289">
        <v>-67.5</v>
      </c>
      <c r="AN117" s="289">
        <f>AM117-AL117</f>
        <v>-2.7000000000000028</v>
      </c>
      <c r="AO117" s="307">
        <f t="shared" si="116"/>
        <v>-0.26349038853276818</v>
      </c>
      <c r="AP117" s="308">
        <v>-79.5</v>
      </c>
      <c r="AQ117" s="289">
        <v>-82.9</v>
      </c>
      <c r="AR117" s="289">
        <f>AQ117-AP117</f>
        <v>-3.4000000000000057</v>
      </c>
      <c r="AS117" s="307">
        <f t="shared" si="117"/>
        <v>-0.33180271148570833</v>
      </c>
      <c r="AT117" s="308">
        <v>27.2</v>
      </c>
      <c r="AU117" s="289">
        <v>28.3</v>
      </c>
      <c r="AV117" s="289">
        <f>AU117-AT117</f>
        <v>1.1000000000000014</v>
      </c>
      <c r="AW117" s="307">
        <f t="shared" si="118"/>
        <v>0.10734793606890559</v>
      </c>
      <c r="AX117" s="308">
        <v>55527</v>
      </c>
      <c r="AY117" s="289">
        <v>57531</v>
      </c>
      <c r="AZ117" s="289">
        <f>AY117-AX117</f>
        <v>2004</v>
      </c>
      <c r="BA117" s="307">
        <f t="shared" si="119"/>
        <v>195.56842171098774</v>
      </c>
      <c r="BB117" s="308">
        <v>549.1</v>
      </c>
      <c r="BC117" s="289">
        <v>550.20000000000005</v>
      </c>
      <c r="BD117" s="289">
        <f>BC117-BB117</f>
        <v>1.1000000000000227</v>
      </c>
      <c r="BE117" s="307">
        <f t="shared" si="120"/>
        <v>0.10734793606890766</v>
      </c>
      <c r="BF117" s="308">
        <v>-521.20000000000005</v>
      </c>
      <c r="BG117" s="289">
        <v>-521.20000000000005</v>
      </c>
      <c r="BH117" s="289">
        <f>BG117-BF117</f>
        <v>0</v>
      </c>
      <c r="BI117" s="307">
        <f t="shared" si="121"/>
        <v>0</v>
      </c>
      <c r="BJ117" s="281">
        <v>16.778796</v>
      </c>
      <c r="BK117" s="281">
        <v>16.778796</v>
      </c>
      <c r="BL117" s="281">
        <f>BK117-BJ117</f>
        <v>0</v>
      </c>
      <c r="BM117" s="408">
        <v>-521.20000000000005</v>
      </c>
      <c r="BN117" s="458">
        <v>-521.20000000000005</v>
      </c>
      <c r="BO117" s="458">
        <f>BN117-BM117</f>
        <v>0</v>
      </c>
      <c r="BP117" s="408">
        <v>549.1</v>
      </c>
      <c r="BQ117" s="458">
        <v>550.20000000000005</v>
      </c>
      <c r="BR117" s="458">
        <f>BQ117-BP117</f>
        <v>1.1000000000000227</v>
      </c>
      <c r="BS117" s="281"/>
      <c r="BT117" s="281"/>
      <c r="BU117" s="281"/>
      <c r="BV117" s="281"/>
      <c r="BW117" s="298" t="s">
        <v>855</v>
      </c>
      <c r="BX117" s="422">
        <v>1772.9867340599999</v>
      </c>
      <c r="BY117" s="422">
        <v>1.4769913699999999</v>
      </c>
      <c r="BZ117" s="422">
        <v>1326.0055553</v>
      </c>
      <c r="CA117" s="422">
        <v>1306.70562595</v>
      </c>
      <c r="CB117" s="422">
        <v>7.3017477399999997</v>
      </c>
      <c r="CC117" s="422">
        <v>7.31534832</v>
      </c>
      <c r="CD117" s="422">
        <v>-9.3168409999999993E-2</v>
      </c>
      <c r="CE117" s="422">
        <v>10.247124299999999</v>
      </c>
      <c r="CF117" s="422">
        <v>10.25668029</v>
      </c>
      <c r="CG117" s="422">
        <v>-9.2922770000000002E-2</v>
      </c>
      <c r="CH117" s="422">
        <v>-0.18591842</v>
      </c>
      <c r="CI117" s="422">
        <v>0.28264850000000002</v>
      </c>
    </row>
    <row r="118" spans="1:87" ht="15" customHeight="1" x14ac:dyDescent="0.2">
      <c r="A118" s="297">
        <f t="shared" si="111"/>
        <v>62009026</v>
      </c>
      <c r="B118" s="297" t="s">
        <v>841</v>
      </c>
      <c r="C118" s="297" t="s">
        <v>810</v>
      </c>
      <c r="D118" s="326" t="s">
        <v>852</v>
      </c>
      <c r="E118" s="283" t="s">
        <v>872</v>
      </c>
      <c r="F118" s="310" t="str">
        <f t="shared" si="87"/>
        <v>09/17/20</v>
      </c>
      <c r="G118" s="298" t="s">
        <v>873</v>
      </c>
      <c r="H118" s="298" t="s">
        <v>775</v>
      </c>
      <c r="I118" s="306"/>
      <c r="J118" s="299">
        <v>21.096990999999999</v>
      </c>
      <c r="K118" s="299">
        <v>49.944592999999998</v>
      </c>
      <c r="L118" s="299">
        <v>29.424292999999999</v>
      </c>
      <c r="M118" s="299">
        <v>29.034085000000001</v>
      </c>
      <c r="N118" s="284">
        <v>3875</v>
      </c>
      <c r="O118" s="284">
        <v>28.39</v>
      </c>
      <c r="P118" s="284">
        <v>0.20169999999999999</v>
      </c>
      <c r="Q118" s="284">
        <v>1.932E-2</v>
      </c>
      <c r="R118" s="285">
        <v>3.5831083499999998</v>
      </c>
      <c r="S118" s="285">
        <f>R118+R117</f>
        <v>13.830161439999999</v>
      </c>
      <c r="T118" s="314">
        <v>16.778796</v>
      </c>
      <c r="U118" s="314">
        <v>16.778796</v>
      </c>
      <c r="V118" s="289">
        <v>58002</v>
      </c>
      <c r="W118" s="289">
        <v>58665</v>
      </c>
      <c r="X118" s="289">
        <f>W118-V118</f>
        <v>663</v>
      </c>
      <c r="Y118" s="289">
        <f t="shared" si="112"/>
        <v>185.03487342212244</v>
      </c>
      <c r="Z118" s="308">
        <v>846.2</v>
      </c>
      <c r="AA118" s="289">
        <v>896</v>
      </c>
      <c r="AB118" s="289">
        <f>AA118-Z118</f>
        <v>49.799999999999955</v>
      </c>
      <c r="AC118" s="289">
        <f t="shared" si="113"/>
        <v>13.89854705342638</v>
      </c>
      <c r="AD118" s="308">
        <v>734.66904899999997</v>
      </c>
      <c r="AE118" s="289">
        <v>779.65</v>
      </c>
      <c r="AF118" s="289">
        <f>AE118-AD118</f>
        <v>44.980951000000005</v>
      </c>
      <c r="AG118" s="289">
        <f t="shared" si="114"/>
        <v>12.553611726533473</v>
      </c>
      <c r="AH118" s="308">
        <v>32.090000000000003</v>
      </c>
      <c r="AI118" s="289">
        <v>8.42</v>
      </c>
      <c r="AJ118" s="289">
        <f>AI118-AH118</f>
        <v>-23.67</v>
      </c>
      <c r="AK118" s="307">
        <f t="shared" si="115"/>
        <v>-6.6059961597309789</v>
      </c>
      <c r="AL118" s="308">
        <v>-67.599999999999994</v>
      </c>
      <c r="AM118" s="289">
        <v>-69.400000000000006</v>
      </c>
      <c r="AN118" s="289">
        <f>AM118-AL118</f>
        <v>-1.8000000000000114</v>
      </c>
      <c r="AO118" s="307">
        <f t="shared" si="116"/>
        <v>-0.50235712241300534</v>
      </c>
      <c r="AP118" s="308">
        <v>-82.9</v>
      </c>
      <c r="AQ118" s="289">
        <v>-85.2</v>
      </c>
      <c r="AR118" s="289">
        <f>AQ118-AP118</f>
        <v>-2.2999999999999972</v>
      </c>
      <c r="AS118" s="307">
        <f t="shared" si="117"/>
        <v>-0.64190076752772418</v>
      </c>
      <c r="AT118" s="308">
        <v>28.4</v>
      </c>
      <c r="AU118" s="289">
        <v>29.1</v>
      </c>
      <c r="AV118" s="289">
        <f>AU118-AT118</f>
        <v>0.70000000000000284</v>
      </c>
      <c r="AW118" s="307">
        <f t="shared" si="118"/>
        <v>0.19536110316061273</v>
      </c>
      <c r="AX118" s="308">
        <v>57534</v>
      </c>
      <c r="AY118" s="289">
        <v>58196</v>
      </c>
      <c r="AZ118" s="289">
        <f>AY118-AX118</f>
        <v>662</v>
      </c>
      <c r="BA118" s="307">
        <f t="shared" si="119"/>
        <v>184.75578613189302</v>
      </c>
      <c r="BB118" s="308">
        <v>551</v>
      </c>
      <c r="BC118" s="289">
        <v>551.70000000000005</v>
      </c>
      <c r="BD118" s="289">
        <f>BC118-BB118</f>
        <v>0.70000000000004547</v>
      </c>
      <c r="BE118" s="307">
        <f t="shared" si="120"/>
        <v>0.19536110316062463</v>
      </c>
      <c r="BF118" s="308">
        <v>-521.20000000000005</v>
      </c>
      <c r="BG118" s="289">
        <v>-521.20000000000005</v>
      </c>
      <c r="BH118" s="289">
        <f>BG118-BF118</f>
        <v>0</v>
      </c>
      <c r="BI118" s="307">
        <f t="shared" si="121"/>
        <v>0</v>
      </c>
      <c r="BJ118" s="281">
        <v>16.778796</v>
      </c>
      <c r="BK118" s="281">
        <v>16.778796</v>
      </c>
      <c r="BL118" s="281">
        <f>BK118-BJ118</f>
        <v>0</v>
      </c>
      <c r="BM118" s="408">
        <v>-521.20000000000005</v>
      </c>
      <c r="BN118" s="458">
        <v>-521.20000000000005</v>
      </c>
      <c r="BO118" s="458">
        <f>BN118-BM118</f>
        <v>0</v>
      </c>
      <c r="BP118" s="408">
        <v>551</v>
      </c>
      <c r="BQ118" s="458">
        <v>551.70000000000005</v>
      </c>
      <c r="BR118" s="458">
        <f>BQ118-BP118</f>
        <v>0.70000000000004547</v>
      </c>
      <c r="BS118" s="281"/>
      <c r="BT118" s="281"/>
      <c r="BU118" s="281"/>
      <c r="BV118" s="281"/>
      <c r="BW118" s="298" t="s">
        <v>855</v>
      </c>
      <c r="BX118" s="422">
        <v>2196.3294521500002</v>
      </c>
      <c r="BY118" s="422">
        <v>-1.1471601199999999</v>
      </c>
      <c r="BZ118" s="422">
        <v>2025.15993129</v>
      </c>
      <c r="CA118" s="422">
        <v>2048.66135738</v>
      </c>
      <c r="CB118" s="422">
        <v>2.9305258699999999</v>
      </c>
      <c r="CC118" s="422">
        <v>2.9656636700000001</v>
      </c>
      <c r="CD118" s="422">
        <v>-0.22044874</v>
      </c>
      <c r="CE118" s="422">
        <v>3.5830631199999998</v>
      </c>
      <c r="CF118" s="422">
        <v>3.5909793900000002</v>
      </c>
      <c r="CG118" s="422">
        <v>-0.97593496999999996</v>
      </c>
      <c r="CH118" s="422">
        <v>-1.1848206299999999</v>
      </c>
      <c r="CI118" s="422">
        <v>0.59138592000000001</v>
      </c>
    </row>
    <row r="119" spans="1:87" ht="15" customHeight="1" x14ac:dyDescent="0.2">
      <c r="A119" s="297">
        <f t="shared" si="111"/>
        <v>62009026</v>
      </c>
      <c r="B119" s="297" t="s">
        <v>842</v>
      </c>
      <c r="C119" s="297" t="s">
        <v>634</v>
      </c>
      <c r="D119" s="326" t="s">
        <v>852</v>
      </c>
      <c r="E119" s="283" t="s">
        <v>872</v>
      </c>
      <c r="F119" s="310" t="str">
        <f t="shared" si="87"/>
        <v>09/17/20</v>
      </c>
      <c r="G119" s="298" t="s">
        <v>873</v>
      </c>
      <c r="H119" s="298" t="s">
        <v>775</v>
      </c>
      <c r="I119" s="306"/>
      <c r="J119" s="299">
        <v>18.928462</v>
      </c>
      <c r="K119" s="299">
        <v>57.104053999999998</v>
      </c>
      <c r="L119" s="299">
        <v>29.423812999999999</v>
      </c>
      <c r="M119" s="299">
        <v>28.102708</v>
      </c>
      <c r="N119" s="284">
        <v>3875</v>
      </c>
      <c r="O119" s="284">
        <v>28.39</v>
      </c>
      <c r="P119" s="284">
        <v>0.20169999999999999</v>
      </c>
      <c r="Q119" s="284">
        <v>1.932E-2</v>
      </c>
      <c r="R119" s="285">
        <v>3.8448743099999998</v>
      </c>
      <c r="S119" s="285">
        <f>R119+R118</f>
        <v>7.4279826599999996</v>
      </c>
      <c r="T119" s="314">
        <v>16.778796</v>
      </c>
      <c r="U119" s="314">
        <v>16.778796</v>
      </c>
      <c r="V119" s="289">
        <v>58665</v>
      </c>
      <c r="W119" s="289">
        <v>59197</v>
      </c>
      <c r="X119" s="289">
        <f>W119-V119</f>
        <v>532</v>
      </c>
      <c r="Y119" s="289">
        <f t="shared" si="112"/>
        <v>138.36603152834925</v>
      </c>
      <c r="Z119" s="308">
        <v>896</v>
      </c>
      <c r="AA119" s="289">
        <v>922.2</v>
      </c>
      <c r="AB119" s="289">
        <f>AA119-Z119</f>
        <v>26.200000000000045</v>
      </c>
      <c r="AC119" s="289">
        <f t="shared" si="113"/>
        <v>6.8142669662457829</v>
      </c>
      <c r="AD119" s="308">
        <v>779.65</v>
      </c>
      <c r="AE119" s="289">
        <v>801.77</v>
      </c>
      <c r="AF119" s="289">
        <f>AE119-AD119</f>
        <v>22.120000000000005</v>
      </c>
      <c r="AG119" s="289">
        <f t="shared" si="114"/>
        <v>5.7531139424945223</v>
      </c>
      <c r="AH119" s="308">
        <v>8.43</v>
      </c>
      <c r="AI119" s="289">
        <v>19.489999999999998</v>
      </c>
      <c r="AJ119" s="289">
        <f>AI119-AH119</f>
        <v>11.059999999999999</v>
      </c>
      <c r="AK119" s="307">
        <f t="shared" si="115"/>
        <v>2.8765569712472603</v>
      </c>
      <c r="AL119" s="308">
        <v>-69.400000000000006</v>
      </c>
      <c r="AM119" s="289">
        <v>-72.599999999999994</v>
      </c>
      <c r="AN119" s="289">
        <f>AM119-AL119</f>
        <v>-3.1999999999999886</v>
      </c>
      <c r="AO119" s="307">
        <f t="shared" si="116"/>
        <v>-0.83227688137352629</v>
      </c>
      <c r="AP119" s="308">
        <v>-85.2</v>
      </c>
      <c r="AQ119" s="289">
        <v>-89.1</v>
      </c>
      <c r="AR119" s="289">
        <f>AQ119-AP119</f>
        <v>-3.8999999999999915</v>
      </c>
      <c r="AS119" s="307">
        <f t="shared" si="117"/>
        <v>-1.0143374491739865</v>
      </c>
      <c r="AT119" s="308">
        <v>29.1</v>
      </c>
      <c r="AU119" s="289">
        <v>30.4</v>
      </c>
      <c r="AV119" s="289">
        <f>AU119-AT119</f>
        <v>1.2999999999999972</v>
      </c>
      <c r="AW119" s="307">
        <f t="shared" si="118"/>
        <v>0.33811248305799552</v>
      </c>
      <c r="AX119" s="308">
        <v>58196</v>
      </c>
      <c r="AY119" s="289">
        <v>58726</v>
      </c>
      <c r="AZ119" s="289">
        <f>AY119-AX119</f>
        <v>530</v>
      </c>
      <c r="BA119" s="307">
        <f t="shared" si="119"/>
        <v>137.84585847749079</v>
      </c>
      <c r="BB119" s="308">
        <v>551.70000000000005</v>
      </c>
      <c r="BC119" s="289">
        <v>552.9</v>
      </c>
      <c r="BD119" s="289">
        <f>BC119-BB119</f>
        <v>1.1999999999999318</v>
      </c>
      <c r="BE119" s="307">
        <f t="shared" si="120"/>
        <v>0.31210383051505575</v>
      </c>
      <c r="BF119" s="308">
        <v>-521.20000000000005</v>
      </c>
      <c r="BG119" s="289">
        <v>-521.20000000000005</v>
      </c>
      <c r="BH119" s="289">
        <f>BG119-BF119</f>
        <v>0</v>
      </c>
      <c r="BI119" s="307">
        <f t="shared" si="121"/>
        <v>0</v>
      </c>
      <c r="BJ119" s="281">
        <v>16.778796</v>
      </c>
      <c r="BK119" s="281">
        <v>16.778796</v>
      </c>
      <c r="BL119" s="281">
        <f>BK119-BJ119</f>
        <v>0</v>
      </c>
      <c r="BM119" s="408">
        <v>-521.20000000000005</v>
      </c>
      <c r="BN119" s="458">
        <v>-521.20000000000005</v>
      </c>
      <c r="BO119" s="458">
        <f>BN119-BM119</f>
        <v>0</v>
      </c>
      <c r="BP119" s="408">
        <v>551.70000000000005</v>
      </c>
      <c r="BQ119" s="458">
        <v>552.9</v>
      </c>
      <c r="BR119" s="458">
        <f>BQ119-BP119</f>
        <v>1.1999999999999318</v>
      </c>
      <c r="BS119" s="281"/>
      <c r="BT119" s="281"/>
      <c r="BU119" s="281"/>
      <c r="BV119" s="281"/>
      <c r="BW119" s="298" t="s">
        <v>855</v>
      </c>
      <c r="BX119" s="422">
        <v>1348.6732896200001</v>
      </c>
      <c r="BY119" s="422">
        <v>-1.33140529</v>
      </c>
      <c r="BZ119" s="422">
        <v>3370.5673162200001</v>
      </c>
      <c r="CA119" s="422">
        <v>3416.0487703099998</v>
      </c>
      <c r="CB119" s="422">
        <v>2.7012119600000002</v>
      </c>
      <c r="CC119" s="422">
        <v>2.7415452899999999</v>
      </c>
      <c r="CD119" s="422">
        <v>-0.39177504000000002</v>
      </c>
      <c r="CE119" s="422">
        <v>3.8447080800000002</v>
      </c>
      <c r="CF119" s="422">
        <v>3.8598299300000001</v>
      </c>
      <c r="CG119" s="422">
        <v>-1.0955322300000001</v>
      </c>
      <c r="CH119" s="422">
        <v>-1.4711899100000001</v>
      </c>
      <c r="CI119" s="422">
        <v>0.71728154</v>
      </c>
    </row>
    <row r="120" spans="1:87" ht="15" customHeight="1" x14ac:dyDescent="0.2">
      <c r="A120" s="297">
        <f t="shared" si="111"/>
        <v>62009026</v>
      </c>
      <c r="B120" s="297" t="s">
        <v>843</v>
      </c>
      <c r="C120" s="297" t="s">
        <v>635</v>
      </c>
      <c r="D120" s="326" t="s">
        <v>852</v>
      </c>
      <c r="E120" s="283" t="s">
        <v>872</v>
      </c>
      <c r="F120" s="310" t="str">
        <f t="shared" si="87"/>
        <v>09/17/20</v>
      </c>
      <c r="G120" s="298" t="s">
        <v>873</v>
      </c>
      <c r="H120" s="298" t="s">
        <v>775</v>
      </c>
      <c r="I120" s="306"/>
      <c r="J120" s="300">
        <f>AVERAGE(J118:J119)</f>
        <v>20.012726499999999</v>
      </c>
      <c r="K120" s="300">
        <f>AVERAGE(K118:K119)</f>
        <v>53.524323499999994</v>
      </c>
      <c r="L120" s="300">
        <f>AVERAGE(L118:L119)</f>
        <v>29.424053000000001</v>
      </c>
      <c r="M120" s="300">
        <f>AVERAGE(M118:M119)</f>
        <v>28.568396499999999</v>
      </c>
      <c r="N120" s="286"/>
      <c r="O120" s="284"/>
      <c r="P120" s="302"/>
      <c r="Q120" s="301"/>
      <c r="R120" s="287">
        <f>R119+R118</f>
        <v>7.4279826599999996</v>
      </c>
      <c r="S120" s="287">
        <f>S119</f>
        <v>7.4279826599999996</v>
      </c>
      <c r="T120" s="315">
        <f>T118</f>
        <v>16.778796</v>
      </c>
      <c r="U120" s="315">
        <f>U119</f>
        <v>16.778796</v>
      </c>
      <c r="V120" s="290">
        <f>V118</f>
        <v>58002</v>
      </c>
      <c r="W120" s="290">
        <f>W119</f>
        <v>59197</v>
      </c>
      <c r="X120" s="290">
        <f>SUM(X118:X119)</f>
        <v>1195</v>
      </c>
      <c r="Y120" s="290">
        <f t="shared" si="112"/>
        <v>160.87813538326165</v>
      </c>
      <c r="Z120" s="290">
        <f>Z118</f>
        <v>846.2</v>
      </c>
      <c r="AA120" s="290">
        <f>AA119</f>
        <v>922.2</v>
      </c>
      <c r="AB120" s="290">
        <f>SUM(AB118:AB119)</f>
        <v>76</v>
      </c>
      <c r="AC120" s="290">
        <f t="shared" si="113"/>
        <v>10.231580158266013</v>
      </c>
      <c r="AD120" s="290">
        <f>AD118</f>
        <v>734.66904899999997</v>
      </c>
      <c r="AE120" s="290">
        <f>AE119</f>
        <v>801.77</v>
      </c>
      <c r="AF120" s="290">
        <f>SUM(AF118:AF119)</f>
        <v>67.100951000000009</v>
      </c>
      <c r="AG120" s="290">
        <f t="shared" si="114"/>
        <v>9.033536300689212</v>
      </c>
      <c r="AH120" s="290">
        <f>AH118</f>
        <v>32.090000000000003</v>
      </c>
      <c r="AI120" s="290">
        <f>AI119</f>
        <v>19.489999999999998</v>
      </c>
      <c r="AJ120" s="290">
        <f>SUM(AJ118:AJ119)</f>
        <v>-12.610000000000003</v>
      </c>
      <c r="AK120" s="288">
        <f t="shared" si="115"/>
        <v>-1.6976345499438745</v>
      </c>
      <c r="AL120" s="290">
        <f>AL118</f>
        <v>-67.599999999999994</v>
      </c>
      <c r="AM120" s="290">
        <f>AM119</f>
        <v>-72.599999999999994</v>
      </c>
      <c r="AN120" s="290">
        <f>SUM(AN118:AN119)</f>
        <v>-5</v>
      </c>
      <c r="AO120" s="288">
        <f t="shared" si="116"/>
        <v>-0.67313027357013244</v>
      </c>
      <c r="AP120" s="290">
        <f>AP118</f>
        <v>-82.9</v>
      </c>
      <c r="AQ120" s="290">
        <f>AQ119</f>
        <v>-89.1</v>
      </c>
      <c r="AR120" s="290">
        <f>SUM(AR118:AR119)</f>
        <v>-6.1999999999999886</v>
      </c>
      <c r="AS120" s="288">
        <f t="shared" si="117"/>
        <v>-0.83468153922696275</v>
      </c>
      <c r="AT120" s="290">
        <f>AT118</f>
        <v>28.4</v>
      </c>
      <c r="AU120" s="290">
        <f>AU119</f>
        <v>30.4</v>
      </c>
      <c r="AV120" s="290">
        <f>SUM(AV118:AV119)</f>
        <v>2</v>
      </c>
      <c r="AW120" s="288">
        <f t="shared" si="118"/>
        <v>0.269252109428053</v>
      </c>
      <c r="AX120" s="290">
        <f>AX118</f>
        <v>57534</v>
      </c>
      <c r="AY120" s="290">
        <f>AY119</f>
        <v>58726</v>
      </c>
      <c r="AZ120" s="290">
        <f>SUM(AZ118:AZ119)</f>
        <v>1192</v>
      </c>
      <c r="BA120" s="288">
        <f t="shared" si="119"/>
        <v>160.47425721911958</v>
      </c>
      <c r="BB120" s="290">
        <f>BB118</f>
        <v>551</v>
      </c>
      <c r="BC120" s="290">
        <f>BC119</f>
        <v>552.9</v>
      </c>
      <c r="BD120" s="290">
        <f>SUM(BD118:BD119)</f>
        <v>1.8999999999999773</v>
      </c>
      <c r="BE120" s="288">
        <f t="shared" si="120"/>
        <v>0.25578950395664729</v>
      </c>
      <c r="BF120" s="290">
        <f>BF118</f>
        <v>-521.20000000000005</v>
      </c>
      <c r="BG120" s="290">
        <f>BG119</f>
        <v>-521.20000000000005</v>
      </c>
      <c r="BH120" s="290">
        <f>SUM(BH118:BH119)</f>
        <v>0</v>
      </c>
      <c r="BI120" s="288">
        <f t="shared" si="121"/>
        <v>0</v>
      </c>
      <c r="BJ120" s="282"/>
      <c r="BK120" s="282"/>
      <c r="BL120" s="282">
        <f>SUM(BL118:BL119)</f>
        <v>0</v>
      </c>
      <c r="BM120" s="459">
        <f>BM118</f>
        <v>-521.20000000000005</v>
      </c>
      <c r="BN120" s="459">
        <f>BN119</f>
        <v>-521.20000000000005</v>
      </c>
      <c r="BO120" s="459">
        <f>SUM(BO118:BO119)</f>
        <v>0</v>
      </c>
      <c r="BP120" s="459">
        <f>BP118</f>
        <v>551</v>
      </c>
      <c r="BQ120" s="459">
        <f>BQ119</f>
        <v>552.9</v>
      </c>
      <c r="BR120" s="459">
        <f>SUM(BR118:BR119)</f>
        <v>1.8999999999999773</v>
      </c>
      <c r="BS120" s="282"/>
      <c r="BT120" s="282"/>
      <c r="BU120" s="282"/>
      <c r="BV120" s="282"/>
      <c r="BW120" s="298" t="s">
        <v>855</v>
      </c>
    </row>
    <row r="121" spans="1:87" ht="15" customHeight="1" x14ac:dyDescent="0.2">
      <c r="A121" s="297">
        <f>A120+1</f>
        <v>62009027</v>
      </c>
      <c r="B121" s="297" t="s">
        <v>833</v>
      </c>
      <c r="C121" s="297" t="s">
        <v>626</v>
      </c>
      <c r="D121" s="326" t="s">
        <v>781</v>
      </c>
      <c r="E121" s="283" t="s">
        <v>874</v>
      </c>
      <c r="F121" s="310" t="str">
        <f t="shared" si="87"/>
        <v>09/17/20</v>
      </c>
      <c r="G121" s="298" t="s">
        <v>875</v>
      </c>
      <c r="H121" s="298" t="s">
        <v>775</v>
      </c>
      <c r="I121" s="306"/>
      <c r="J121" s="299">
        <v>26.094743999999999</v>
      </c>
      <c r="K121" s="299">
        <v>36.233285000000002</v>
      </c>
      <c r="L121" s="299">
        <v>29.440189</v>
      </c>
      <c r="M121" s="299">
        <v>30.994382000000002</v>
      </c>
      <c r="N121" s="284">
        <v>3875</v>
      </c>
      <c r="O121" s="284">
        <v>28.39</v>
      </c>
      <c r="P121" s="284">
        <v>0.20169999999999999</v>
      </c>
      <c r="Q121" s="284">
        <v>1.932E-2</v>
      </c>
      <c r="R121" s="285">
        <v>20.848594030000001</v>
      </c>
      <c r="S121" s="285">
        <f>R121+R120</f>
        <v>28.276576689999999</v>
      </c>
      <c r="T121" s="314">
        <v>9.6970949999999991</v>
      </c>
      <c r="U121" s="314">
        <v>0.10070900000000001</v>
      </c>
      <c r="V121" s="289">
        <v>59199</v>
      </c>
      <c r="W121" s="289">
        <v>64594</v>
      </c>
      <c r="X121" s="289">
        <f>W121-V121</f>
        <v>5395</v>
      </c>
      <c r="Y121" s="289">
        <f t="shared" si="112"/>
        <v>258.77044716957346</v>
      </c>
      <c r="Z121" s="308">
        <v>924.48827400000005</v>
      </c>
      <c r="AA121" s="289">
        <v>994.8</v>
      </c>
      <c r="AB121" s="289">
        <f>AA121-Z121</f>
        <v>70.311725999999908</v>
      </c>
      <c r="AC121" s="289">
        <f t="shared" si="113"/>
        <v>3.3724924519526414</v>
      </c>
      <c r="AD121" s="308">
        <v>803.72765500000003</v>
      </c>
      <c r="AE121" s="289">
        <v>866.13</v>
      </c>
      <c r="AF121" s="289">
        <f>AE121-AD121</f>
        <v>62.402344999999968</v>
      </c>
      <c r="AG121" s="289">
        <f t="shared" si="114"/>
        <v>2.9931200593290064</v>
      </c>
      <c r="AH121" s="308">
        <v>26.611173000000001</v>
      </c>
      <c r="AI121" s="289">
        <v>18.010000000000002</v>
      </c>
      <c r="AJ121" s="289">
        <f>AI121-AH121</f>
        <v>-8.6011729999999993</v>
      </c>
      <c r="AK121" s="307">
        <f t="shared" si="115"/>
        <v>-0.41255410257513653</v>
      </c>
      <c r="AL121" s="308">
        <v>-72.7</v>
      </c>
      <c r="AM121" s="289">
        <v>-76.900000000000006</v>
      </c>
      <c r="AN121" s="289">
        <f>AM121-AL121</f>
        <v>-4.2000000000000028</v>
      </c>
      <c r="AO121" s="307">
        <f t="shared" si="116"/>
        <v>-0.20145243338502489</v>
      </c>
      <c r="AP121" s="308">
        <v>-89</v>
      </c>
      <c r="AQ121" s="289">
        <v>-94.3</v>
      </c>
      <c r="AR121" s="289">
        <f>AQ121-AP121</f>
        <v>-5.2999999999999972</v>
      </c>
      <c r="AS121" s="307">
        <f t="shared" si="117"/>
        <v>-0.25421378498586444</v>
      </c>
      <c r="AT121" s="308">
        <v>30.4</v>
      </c>
      <c r="AU121" s="289">
        <v>32.200000000000003</v>
      </c>
      <c r="AV121" s="289">
        <f>AU121-AT121</f>
        <v>1.8000000000000043</v>
      </c>
      <c r="AW121" s="307">
        <f t="shared" si="118"/>
        <v>8.6336757165010811E-2</v>
      </c>
      <c r="AX121" s="308">
        <v>58729</v>
      </c>
      <c r="AY121" s="289">
        <v>64125</v>
      </c>
      <c r="AZ121" s="289">
        <f>AY121-AX121</f>
        <v>5396</v>
      </c>
      <c r="BA121" s="307">
        <f t="shared" si="119"/>
        <v>258.81841203466513</v>
      </c>
      <c r="BB121" s="308">
        <v>553.4</v>
      </c>
      <c r="BC121" s="289">
        <v>555.20000000000005</v>
      </c>
      <c r="BD121" s="289">
        <f>BC121-BB121</f>
        <v>1.8000000000000682</v>
      </c>
      <c r="BE121" s="307">
        <f t="shared" si="120"/>
        <v>8.6336757165013878E-2</v>
      </c>
      <c r="BF121" s="308">
        <v>-521.20000000000005</v>
      </c>
      <c r="BG121" s="289">
        <v>-521.20000000000005</v>
      </c>
      <c r="BH121" s="289">
        <f>BG121-BF121</f>
        <v>0</v>
      </c>
      <c r="BI121" s="307">
        <f t="shared" si="121"/>
        <v>0</v>
      </c>
      <c r="BJ121" s="281">
        <v>9.6970949999999991</v>
      </c>
      <c r="BK121" s="281">
        <v>0.10070900000000001</v>
      </c>
      <c r="BL121" s="281">
        <f>BK121-BJ121</f>
        <v>-9.596385999999999</v>
      </c>
      <c r="BM121" s="408">
        <v>-521.20000000000005</v>
      </c>
      <c r="BN121" s="458">
        <v>-521.20000000000005</v>
      </c>
      <c r="BO121" s="458">
        <f>BN121-BM121</f>
        <v>0</v>
      </c>
      <c r="BP121" s="408">
        <v>553.4</v>
      </c>
      <c r="BQ121" s="458">
        <v>555.20000000000005</v>
      </c>
      <c r="BR121" s="458">
        <f>BQ121-BP121</f>
        <v>1.8000000000000682</v>
      </c>
      <c r="BS121" s="281"/>
      <c r="BT121" s="281"/>
      <c r="BU121" s="281"/>
      <c r="BV121" s="281"/>
      <c r="BW121" s="298" t="s">
        <v>855</v>
      </c>
      <c r="BX121" s="422">
        <v>91.214678789999994</v>
      </c>
      <c r="BY121" s="422">
        <v>35.886628459999997</v>
      </c>
      <c r="BZ121" s="422">
        <v>789.70785900999999</v>
      </c>
      <c r="CA121" s="422">
        <v>581.15200000000004</v>
      </c>
      <c r="CB121" s="422">
        <v>17.828005539999999</v>
      </c>
      <c r="CC121" s="422">
        <v>21.767074600000001</v>
      </c>
      <c r="CD121" s="422">
        <v>-12.96124644</v>
      </c>
      <c r="CE121" s="422">
        <v>20.848741449999999</v>
      </c>
      <c r="CF121" s="422">
        <v>23.95340075</v>
      </c>
      <c r="CG121" s="422">
        <v>-6.2698256800000003</v>
      </c>
      <c r="CH121" s="422">
        <v>-18.096455880000001</v>
      </c>
      <c r="CI121" s="422">
        <v>3.4601920000000001E-2</v>
      </c>
    </row>
    <row r="122" spans="1:87" ht="15" customHeight="1" x14ac:dyDescent="0.2">
      <c r="A122" s="297">
        <f>A121+1</f>
        <v>62009028</v>
      </c>
      <c r="B122" s="339" t="s">
        <v>616</v>
      </c>
      <c r="C122" s="339" t="s">
        <v>626</v>
      </c>
      <c r="D122" s="326" t="s">
        <v>858</v>
      </c>
      <c r="E122" s="283" t="s">
        <v>878</v>
      </c>
      <c r="F122" s="310" t="str">
        <f t="shared" si="87"/>
        <v>09/17/20</v>
      </c>
      <c r="G122" s="298" t="s">
        <v>860</v>
      </c>
      <c r="H122" s="298" t="s">
        <v>775</v>
      </c>
      <c r="I122" s="306"/>
      <c r="J122" s="299">
        <v>1109.5461170000001</v>
      </c>
      <c r="K122" s="299">
        <v>2367.9307199999998</v>
      </c>
      <c r="L122" s="299">
        <v>1491.8867009999999</v>
      </c>
      <c r="M122" s="299">
        <v>1112.4283499999999</v>
      </c>
      <c r="N122" s="284">
        <v>3875</v>
      </c>
      <c r="O122" s="284">
        <v>28.39</v>
      </c>
      <c r="P122" s="284">
        <v>0.20169999999999999</v>
      </c>
      <c r="Q122" s="284">
        <v>1.932E-2</v>
      </c>
      <c r="R122" s="285">
        <v>2.7634929999999999E-2</v>
      </c>
      <c r="S122" s="285">
        <f>R122+R121</f>
        <v>20.876228960000002</v>
      </c>
      <c r="T122" s="314" t="s">
        <v>1157</v>
      </c>
      <c r="U122" s="314" t="s">
        <v>1158</v>
      </c>
      <c r="V122" s="289">
        <v>64594</v>
      </c>
      <c r="W122" s="289">
        <v>64450</v>
      </c>
      <c r="X122" s="289">
        <f>W122-V122</f>
        <v>-144</v>
      </c>
      <c r="Y122" s="289">
        <f t="shared" si="112"/>
        <v>-5210.796625864441</v>
      </c>
      <c r="Z122" s="308">
        <v>994.8</v>
      </c>
      <c r="AA122" s="289">
        <v>1565.7</v>
      </c>
      <c r="AB122" s="289">
        <f>AA122-Z122</f>
        <v>570.90000000000009</v>
      </c>
      <c r="AC122" s="289">
        <f t="shared" si="113"/>
        <v>20658.637456291734</v>
      </c>
      <c r="AD122" s="308">
        <v>866.09</v>
      </c>
      <c r="AE122" s="289">
        <v>1272.72</v>
      </c>
      <c r="AF122" s="289">
        <f>AE122-AD122</f>
        <v>406.63</v>
      </c>
      <c r="AG122" s="289">
        <f t="shared" si="114"/>
        <v>14714.34883316151</v>
      </c>
      <c r="AH122" s="308">
        <v>23.55</v>
      </c>
      <c r="AI122" s="289">
        <v>-55.94</v>
      </c>
      <c r="AJ122" s="289">
        <f>AI122-AH122</f>
        <v>-79.489999999999995</v>
      </c>
      <c r="AK122" s="307">
        <f t="shared" si="115"/>
        <v>-2876.4321096525305</v>
      </c>
      <c r="AL122" s="308">
        <v>-76.900000000000006</v>
      </c>
      <c r="AM122" s="289">
        <v>-77.3</v>
      </c>
      <c r="AN122" s="289">
        <f>AM122-AL122</f>
        <v>-0.39999999999999147</v>
      </c>
      <c r="AO122" s="307">
        <f t="shared" si="116"/>
        <v>-14.47443507184536</v>
      </c>
      <c r="AP122" s="308">
        <v>-94.3</v>
      </c>
      <c r="AQ122" s="289">
        <v>-94.7</v>
      </c>
      <c r="AR122" s="289">
        <f>AQ122-AP122</f>
        <v>-0.40000000000000568</v>
      </c>
      <c r="AS122" s="307">
        <f t="shared" si="117"/>
        <v>-14.474435071845875</v>
      </c>
      <c r="AT122" s="308">
        <v>32.200000000000003</v>
      </c>
      <c r="AU122" s="289">
        <v>125.7</v>
      </c>
      <c r="AV122" s="289">
        <f>AU122-AT122</f>
        <v>93.5</v>
      </c>
      <c r="AW122" s="307">
        <f t="shared" si="118"/>
        <v>3383.399198043925</v>
      </c>
      <c r="AX122" s="308">
        <v>64125</v>
      </c>
      <c r="AY122" s="289">
        <v>-1990</v>
      </c>
      <c r="AZ122" s="289">
        <f>AY122-AX122</f>
        <v>-66115</v>
      </c>
      <c r="BA122" s="307">
        <f t="shared" si="119"/>
        <v>-2392443.1869376907</v>
      </c>
      <c r="BB122" s="308">
        <v>555.6</v>
      </c>
      <c r="BC122" s="289">
        <v>71584.600000000006</v>
      </c>
      <c r="BD122" s="289">
        <f>BC122-BB122</f>
        <v>71029</v>
      </c>
      <c r="BE122" s="307">
        <f t="shared" si="120"/>
        <v>2570261.6217953148</v>
      </c>
      <c r="BF122" s="308">
        <v>-521.20000000000005</v>
      </c>
      <c r="BG122" s="289">
        <v>-71442.100000000006</v>
      </c>
      <c r="BH122" s="289">
        <f>BG122-BF122</f>
        <v>-70920.900000000009</v>
      </c>
      <c r="BI122" s="307">
        <f t="shared" si="121"/>
        <v>-2566349.9057171489</v>
      </c>
      <c r="BJ122" s="281" t="s">
        <v>1157</v>
      </c>
      <c r="BK122" s="281" t="s">
        <v>1159</v>
      </c>
      <c r="BL122" s="281" t="e">
        <f>BK122-BJ122</f>
        <v>#VALUE!</v>
      </c>
      <c r="BM122" s="408">
        <v>-521.20000000000005</v>
      </c>
      <c r="BN122" s="458">
        <v>-71442.100000000006</v>
      </c>
      <c r="BO122" s="458">
        <f>BN122-BM122</f>
        <v>-70920.900000000009</v>
      </c>
      <c r="BP122" s="408">
        <v>555.6</v>
      </c>
      <c r="BQ122" s="458">
        <v>71584.600000000006</v>
      </c>
      <c r="BR122" s="458">
        <f>BQ122-BP122</f>
        <v>71029</v>
      </c>
      <c r="BS122" s="281"/>
      <c r="BT122" s="281"/>
      <c r="BU122" s="281"/>
      <c r="BV122" s="281"/>
      <c r="BW122" s="298" t="s">
        <v>855</v>
      </c>
      <c r="BX122" s="422">
        <v>0</v>
      </c>
      <c r="BY122" s="422" t="s">
        <v>777</v>
      </c>
      <c r="BZ122" s="422">
        <v>0</v>
      </c>
      <c r="CA122" s="422">
        <v>0</v>
      </c>
      <c r="CB122" s="422">
        <v>0</v>
      </c>
      <c r="CC122" s="422">
        <v>0</v>
      </c>
      <c r="CD122" s="422" t="s">
        <v>777</v>
      </c>
      <c r="CE122" s="422">
        <v>0</v>
      </c>
      <c r="CF122" s="422">
        <v>0</v>
      </c>
      <c r="CG122" s="422" t="s">
        <v>777</v>
      </c>
      <c r="CH122" s="422" t="s">
        <v>777</v>
      </c>
      <c r="CI122" s="422" t="s">
        <v>777</v>
      </c>
    </row>
    <row r="123" spans="1:87" ht="15" customHeight="1" x14ac:dyDescent="0.2">
      <c r="A123" s="457" t="s">
        <v>879</v>
      </c>
      <c r="B123" s="334"/>
      <c r="C123" s="334"/>
      <c r="D123" s="335"/>
      <c r="E123" s="334"/>
      <c r="F123" s="334"/>
      <c r="G123" s="335"/>
      <c r="H123" s="335"/>
      <c r="I123" s="335"/>
      <c r="J123" s="335"/>
      <c r="K123" s="335"/>
      <c r="L123" s="335"/>
      <c r="M123" s="335"/>
      <c r="N123" s="335"/>
      <c r="O123" s="335"/>
      <c r="P123" s="336"/>
      <c r="Q123" s="337"/>
      <c r="R123" s="334"/>
      <c r="S123" s="334"/>
      <c r="T123" s="334"/>
      <c r="U123" s="334"/>
      <c r="V123" s="341"/>
      <c r="W123" s="341"/>
      <c r="X123" s="334"/>
      <c r="Y123" s="334"/>
      <c r="Z123" s="341"/>
      <c r="AA123" s="341"/>
      <c r="AB123" s="334"/>
      <c r="AC123" s="334"/>
      <c r="AD123" s="341"/>
      <c r="AE123" s="341"/>
      <c r="AF123" s="334"/>
      <c r="AG123" s="334"/>
      <c r="AH123" s="334"/>
      <c r="AI123" s="334"/>
      <c r="AJ123" s="334"/>
      <c r="AK123" s="334"/>
      <c r="AL123" s="341"/>
      <c r="AM123" s="341"/>
      <c r="AN123" s="334"/>
      <c r="AO123" s="334"/>
      <c r="AP123" s="334"/>
      <c r="AQ123" s="334"/>
      <c r="AR123" s="334"/>
      <c r="AS123" s="334"/>
      <c r="AT123" s="334"/>
      <c r="AU123" s="334"/>
      <c r="AV123" s="334"/>
      <c r="AW123" s="334"/>
      <c r="AX123" s="334"/>
      <c r="AY123" s="334"/>
      <c r="AZ123" s="334"/>
      <c r="BA123" s="334"/>
      <c r="BB123" s="334"/>
      <c r="BC123" s="334"/>
      <c r="BD123" s="334"/>
      <c r="BE123" s="334"/>
      <c r="BF123" s="334"/>
      <c r="BG123" s="334"/>
      <c r="BH123" s="334"/>
      <c r="BI123" s="334"/>
      <c r="BJ123" s="334"/>
      <c r="BK123" s="334"/>
      <c r="BL123" s="338"/>
    </row>
    <row r="124" spans="1:87" ht="15" customHeight="1" x14ac:dyDescent="0.2">
      <c r="A124" s="297">
        <v>62009029</v>
      </c>
      <c r="B124" s="297" t="s">
        <v>607</v>
      </c>
      <c r="C124" s="297" t="s">
        <v>626</v>
      </c>
      <c r="D124" s="326" t="s">
        <v>778</v>
      </c>
      <c r="E124" s="283" t="s">
        <v>883</v>
      </c>
      <c r="F124" s="310" t="str">
        <f t="shared" si="87"/>
        <v>09/18/20</v>
      </c>
      <c r="G124" s="298" t="s">
        <v>884</v>
      </c>
      <c r="H124" s="298" t="s">
        <v>775</v>
      </c>
      <c r="I124" s="306"/>
      <c r="J124" s="299">
        <v>23.770510999999999</v>
      </c>
      <c r="K124" s="299">
        <v>42.952683</v>
      </c>
      <c r="L124" s="299">
        <v>29.580691000000002</v>
      </c>
      <c r="M124" s="299">
        <v>25.075583000000002</v>
      </c>
      <c r="N124" s="284">
        <v>3875</v>
      </c>
      <c r="O124" s="284">
        <v>28.39</v>
      </c>
      <c r="P124" s="284">
        <v>0.20169999999999999</v>
      </c>
      <c r="Q124" s="284">
        <v>1.932E-2</v>
      </c>
      <c r="R124" s="285">
        <v>3.5739591900000001</v>
      </c>
      <c r="S124" s="285">
        <f>R124+R123</f>
        <v>3.5739591900000001</v>
      </c>
      <c r="T124" s="314">
        <v>97.492802999999995</v>
      </c>
      <c r="U124" s="314">
        <v>96.546745000000001</v>
      </c>
      <c r="V124" s="289">
        <v>4</v>
      </c>
      <c r="W124" s="289">
        <v>749</v>
      </c>
      <c r="X124" s="289">
        <f>W124-V124</f>
        <v>745</v>
      </c>
      <c r="Y124" s="289">
        <f t="shared" ref="Y124:Y153" si="122">X124/$R124</f>
        <v>208.45229628937088</v>
      </c>
      <c r="Z124" s="308">
        <v>6</v>
      </c>
      <c r="AA124" s="289">
        <v>25.9</v>
      </c>
      <c r="AB124" s="289">
        <f>AA124-Z124</f>
        <v>19.899999999999999</v>
      </c>
      <c r="AC124" s="289">
        <f t="shared" ref="AC124:AC153" si="123">AB124/$R124</f>
        <v>5.5680546257160808</v>
      </c>
      <c r="AD124" s="308">
        <v>5.21</v>
      </c>
      <c r="AE124" s="289">
        <v>21.9</v>
      </c>
      <c r="AF124" s="289">
        <f>AE124-AD124</f>
        <v>16.689999999999998</v>
      </c>
      <c r="AG124" s="289">
        <f t="shared" ref="AG124:AG153" si="124">AF124/$R124</f>
        <v>4.669891040361879</v>
      </c>
      <c r="AH124" s="308">
        <v>4.6500000000000004</v>
      </c>
      <c r="AI124" s="289">
        <v>8.0299999999999994</v>
      </c>
      <c r="AJ124" s="289">
        <f>AI124-AH124</f>
        <v>3.379999999999999</v>
      </c>
      <c r="AK124" s="307">
        <f t="shared" ref="AK124:AK153" si="125">AJ124/$R124</f>
        <v>0.94572988115177636</v>
      </c>
      <c r="AL124" s="308">
        <v>-0.4</v>
      </c>
      <c r="AM124" s="289">
        <v>-2.5</v>
      </c>
      <c r="AN124" s="289">
        <f>AM124-AL124</f>
        <v>-2.1</v>
      </c>
      <c r="AO124" s="307">
        <f t="shared" ref="AO124:AO153" si="126">AN124/$R124</f>
        <v>-0.58758365397003876</v>
      </c>
      <c r="AP124" s="308">
        <v>-0.2</v>
      </c>
      <c r="AQ124" s="289">
        <v>-3</v>
      </c>
      <c r="AR124" s="289">
        <f>AQ124-AP124</f>
        <v>-2.8</v>
      </c>
      <c r="AS124" s="307">
        <f t="shared" ref="AS124:AS153" si="127">AR124/$R124</f>
        <v>-0.78344487196005164</v>
      </c>
      <c r="AT124" s="308">
        <v>0.2</v>
      </c>
      <c r="AU124" s="289">
        <v>1.1000000000000001</v>
      </c>
      <c r="AV124" s="289">
        <f>AU124-AT124</f>
        <v>0.90000000000000013</v>
      </c>
      <c r="AW124" s="307">
        <f t="shared" ref="AW124:AW153" si="128">AV124/$R124</f>
        <v>0.25182156598715949</v>
      </c>
      <c r="AX124" s="308">
        <v>-15</v>
      </c>
      <c r="AY124" s="289">
        <v>729</v>
      </c>
      <c r="AZ124" s="289">
        <f>AY124-AX124</f>
        <v>744</v>
      </c>
      <c r="BA124" s="307">
        <f t="shared" ref="BA124:BA153" si="129">AZ124/$R124</f>
        <v>208.17249454938516</v>
      </c>
      <c r="BB124" s="308">
        <v>23.7</v>
      </c>
      <c r="BC124" s="289">
        <v>24.4</v>
      </c>
      <c r="BD124" s="289">
        <f>BC124-BB124</f>
        <v>0.69999999999999929</v>
      </c>
      <c r="BE124" s="307">
        <f t="shared" ref="BE124:BE153" si="130">BD124/$R124</f>
        <v>0.19586121799001271</v>
      </c>
      <c r="BF124" s="308">
        <v>-23.2</v>
      </c>
      <c r="BG124" s="289">
        <v>-23.2</v>
      </c>
      <c r="BH124" s="289">
        <f>BG124-BF124</f>
        <v>0</v>
      </c>
      <c r="BI124" s="307">
        <f t="shared" ref="BI124:BI153" si="131">BH124/$R124</f>
        <v>0</v>
      </c>
      <c r="BJ124" s="281">
        <v>97.492802999999995</v>
      </c>
      <c r="BK124" s="281">
        <v>96.546745000000001</v>
      </c>
      <c r="BL124" s="281">
        <f>BK124-BJ124</f>
        <v>-0.94605799999999363</v>
      </c>
      <c r="BM124" s="408">
        <v>-23.2</v>
      </c>
      <c r="BN124" s="458">
        <v>-23.2</v>
      </c>
      <c r="BO124" s="458">
        <f>BN124-BM124</f>
        <v>0</v>
      </c>
      <c r="BP124" s="408">
        <v>23.7</v>
      </c>
      <c r="BQ124" s="458">
        <v>24.4</v>
      </c>
      <c r="BR124" s="458">
        <f>BQ124-BP124</f>
        <v>0.69999999999999929</v>
      </c>
      <c r="BS124" s="281"/>
      <c r="BT124" s="281"/>
      <c r="BU124" s="281"/>
      <c r="BV124" s="281"/>
      <c r="BW124" s="298" t="s">
        <v>855</v>
      </c>
      <c r="BX124" s="422">
        <v>2204.7629731100001</v>
      </c>
      <c r="BY124" s="422">
        <v>1.2670878400000001</v>
      </c>
      <c r="BZ124" s="422">
        <v>2074.8125893900001</v>
      </c>
      <c r="CA124" s="422">
        <v>2048.8518370000002</v>
      </c>
      <c r="CB124" s="422">
        <v>2.9518423399999998</v>
      </c>
      <c r="CC124" s="422">
        <v>2.9659075800000001</v>
      </c>
      <c r="CD124" s="422">
        <v>-0.47648169000000001</v>
      </c>
      <c r="CE124" s="422">
        <v>3.5738705999999998</v>
      </c>
      <c r="CF124" s="422">
        <v>3.5909809699999999</v>
      </c>
      <c r="CG124" s="422">
        <v>2.26195E-3</v>
      </c>
      <c r="CH124" s="422">
        <v>-0.47423047000000002</v>
      </c>
      <c r="CI124" s="422">
        <v>0.59141767000000001</v>
      </c>
    </row>
    <row r="125" spans="1:87" ht="15" customHeight="1" x14ac:dyDescent="0.2">
      <c r="A125" s="297">
        <f>A124</f>
        <v>62009029</v>
      </c>
      <c r="B125" s="297" t="s">
        <v>608</v>
      </c>
      <c r="C125" s="297" t="s">
        <v>627</v>
      </c>
      <c r="D125" s="326" t="s">
        <v>778</v>
      </c>
      <c r="E125" s="283" t="s">
        <v>883</v>
      </c>
      <c r="F125" s="310" t="str">
        <f t="shared" si="87"/>
        <v>09/18/20</v>
      </c>
      <c r="G125" s="298" t="s">
        <v>884</v>
      </c>
      <c r="H125" s="298" t="s">
        <v>775</v>
      </c>
      <c r="I125" s="306"/>
      <c r="J125" s="299">
        <v>21.943736000000001</v>
      </c>
      <c r="K125" s="299">
        <v>45.266112999999997</v>
      </c>
      <c r="L125" s="299">
        <v>29.582051</v>
      </c>
      <c r="M125" s="299">
        <v>26.974813999999999</v>
      </c>
      <c r="N125" s="284">
        <v>3875</v>
      </c>
      <c r="O125" s="284">
        <v>28.39</v>
      </c>
      <c r="P125" s="284">
        <v>0.20169999999999999</v>
      </c>
      <c r="Q125" s="284">
        <v>1.932E-2</v>
      </c>
      <c r="R125" s="285">
        <v>3.8441463599999999</v>
      </c>
      <c r="S125" s="285">
        <f>R125+R124</f>
        <v>7.4181055499999999</v>
      </c>
      <c r="T125" s="314">
        <v>96.546745000000001</v>
      </c>
      <c r="U125" s="314">
        <v>95.789897999999994</v>
      </c>
      <c r="V125" s="289">
        <v>749</v>
      </c>
      <c r="W125" s="289">
        <v>1323</v>
      </c>
      <c r="X125" s="289">
        <f>W125-V125</f>
        <v>574</v>
      </c>
      <c r="Y125" s="289">
        <f t="shared" si="122"/>
        <v>149.3179359591293</v>
      </c>
      <c r="Z125" s="308">
        <v>25.9</v>
      </c>
      <c r="AA125" s="289">
        <v>62.1</v>
      </c>
      <c r="AB125" s="289">
        <f>AA125-Z125</f>
        <v>36.200000000000003</v>
      </c>
      <c r="AC125" s="289">
        <f t="shared" si="123"/>
        <v>9.4169151249485736</v>
      </c>
      <c r="AD125" s="308">
        <v>21.906735999999999</v>
      </c>
      <c r="AE125" s="289">
        <v>52.62</v>
      </c>
      <c r="AF125" s="289">
        <f>AE125-AD125</f>
        <v>30.713263999999999</v>
      </c>
      <c r="AG125" s="289">
        <f t="shared" si="124"/>
        <v>7.9896187927662563</v>
      </c>
      <c r="AH125" s="308">
        <v>8.0299999999999994</v>
      </c>
      <c r="AI125" s="289">
        <v>10.56</v>
      </c>
      <c r="AJ125" s="289">
        <f>AI125-AH125</f>
        <v>2.5300000000000011</v>
      </c>
      <c r="AK125" s="307">
        <f t="shared" si="125"/>
        <v>0.65814351563867124</v>
      </c>
      <c r="AL125" s="308">
        <v>-2.5</v>
      </c>
      <c r="AM125" s="289">
        <v>-6.3</v>
      </c>
      <c r="AN125" s="289">
        <f>AM125-AL125</f>
        <v>-3.8</v>
      </c>
      <c r="AO125" s="307">
        <f t="shared" si="126"/>
        <v>-0.98851595234266776</v>
      </c>
      <c r="AP125" s="308">
        <v>-3</v>
      </c>
      <c r="AQ125" s="289">
        <v>-7.7</v>
      </c>
      <c r="AR125" s="289">
        <f>AQ125-AP125</f>
        <v>-4.7</v>
      </c>
      <c r="AS125" s="307">
        <f t="shared" si="127"/>
        <v>-1.2226381515817208</v>
      </c>
      <c r="AT125" s="308">
        <v>1.1000000000000001</v>
      </c>
      <c r="AU125" s="289">
        <v>2.6</v>
      </c>
      <c r="AV125" s="289">
        <f>AU125-AT125</f>
        <v>1.5</v>
      </c>
      <c r="AW125" s="307">
        <f t="shared" si="128"/>
        <v>0.39020366539842155</v>
      </c>
      <c r="AX125" s="308">
        <v>729</v>
      </c>
      <c r="AY125" s="289">
        <v>1302</v>
      </c>
      <c r="AZ125" s="289">
        <f>AY125-AX125</f>
        <v>573</v>
      </c>
      <c r="BA125" s="307">
        <f t="shared" si="129"/>
        <v>149.05780018219701</v>
      </c>
      <c r="BB125" s="308">
        <v>24.4</v>
      </c>
      <c r="BC125" s="289">
        <v>25.6</v>
      </c>
      <c r="BD125" s="289">
        <f>BC125-BB125</f>
        <v>1.2000000000000028</v>
      </c>
      <c r="BE125" s="307">
        <f t="shared" si="130"/>
        <v>0.31216293231873798</v>
      </c>
      <c r="BF125" s="308">
        <v>-23.2</v>
      </c>
      <c r="BG125" s="289">
        <v>-23.2</v>
      </c>
      <c r="BH125" s="289">
        <f>BG125-BF125</f>
        <v>0</v>
      </c>
      <c r="BI125" s="307">
        <f t="shared" si="131"/>
        <v>0</v>
      </c>
      <c r="BJ125" s="281">
        <v>96.546745000000001</v>
      </c>
      <c r="BK125" s="281">
        <v>95.789897999999994</v>
      </c>
      <c r="BL125" s="281">
        <f>BK125-BJ125</f>
        <v>-0.7568470000000076</v>
      </c>
      <c r="BM125" s="408">
        <v>-23.2</v>
      </c>
      <c r="BN125" s="458">
        <v>-23.2</v>
      </c>
      <c r="BO125" s="458">
        <f>BN125-BM125</f>
        <v>0</v>
      </c>
      <c r="BP125" s="408">
        <v>24.4</v>
      </c>
      <c r="BQ125" s="458">
        <v>25.6</v>
      </c>
      <c r="BR125" s="458">
        <f>BQ125-BP125</f>
        <v>1.2000000000000028</v>
      </c>
      <c r="BS125" s="281"/>
      <c r="BT125" s="281"/>
      <c r="BU125" s="281"/>
      <c r="BV125" s="281"/>
      <c r="BW125" s="298" t="s">
        <v>855</v>
      </c>
      <c r="BX125" s="422">
        <v>1349.1241482200001</v>
      </c>
      <c r="BY125" s="422">
        <v>-1.40438441</v>
      </c>
      <c r="BZ125" s="422">
        <v>3368.1781606999998</v>
      </c>
      <c r="CA125" s="422">
        <v>3416.1540962399999</v>
      </c>
      <c r="CB125" s="422">
        <v>2.7007112100000001</v>
      </c>
      <c r="CC125" s="422">
        <v>2.7417043900000002</v>
      </c>
      <c r="CD125" s="422">
        <v>-0.41035949999999999</v>
      </c>
      <c r="CE125" s="422">
        <v>3.8439915400000002</v>
      </c>
      <c r="CF125" s="422">
        <v>3.8598307200000002</v>
      </c>
      <c r="CG125" s="422">
        <v>-1.1012779100000001</v>
      </c>
      <c r="CH125" s="422">
        <v>-1.4951714199999999</v>
      </c>
      <c r="CI125" s="422">
        <v>0.71726776999999997</v>
      </c>
    </row>
    <row r="126" spans="1:87" ht="15" customHeight="1" x14ac:dyDescent="0.2">
      <c r="A126" s="297">
        <f>A125</f>
        <v>62009029</v>
      </c>
      <c r="B126" s="297" t="s">
        <v>609</v>
      </c>
      <c r="C126" s="297" t="s">
        <v>628</v>
      </c>
      <c r="D126" s="326" t="s">
        <v>778</v>
      </c>
      <c r="E126" s="283" t="s">
        <v>883</v>
      </c>
      <c r="F126" s="310" t="str">
        <f t="shared" si="87"/>
        <v>09/18/20</v>
      </c>
      <c r="G126" s="298" t="s">
        <v>884</v>
      </c>
      <c r="H126" s="298" t="s">
        <v>775</v>
      </c>
      <c r="I126" s="306"/>
      <c r="J126" s="300">
        <f>AVERAGE(J124:J125)</f>
        <v>22.8571235</v>
      </c>
      <c r="K126" s="300">
        <f>AVERAGE(K124:K125)</f>
        <v>44.109397999999999</v>
      </c>
      <c r="L126" s="300">
        <f>AVERAGE(L124:L125)</f>
        <v>29.581371000000001</v>
      </c>
      <c r="M126" s="300">
        <f>AVERAGE(M124:M125)</f>
        <v>26.025198500000002</v>
      </c>
      <c r="N126" s="286"/>
      <c r="O126" s="284"/>
      <c r="P126" s="302"/>
      <c r="Q126" s="301"/>
      <c r="R126" s="287">
        <f>R125+R124</f>
        <v>7.4181055499999999</v>
      </c>
      <c r="S126" s="287">
        <f>S125</f>
        <v>7.4181055499999999</v>
      </c>
      <c r="T126" s="315">
        <f>T124</f>
        <v>97.492802999999995</v>
      </c>
      <c r="U126" s="315">
        <f>U125</f>
        <v>95.789897999999994</v>
      </c>
      <c r="V126" s="290">
        <f>V124</f>
        <v>4</v>
      </c>
      <c r="W126" s="290">
        <f>W125</f>
        <v>1323</v>
      </c>
      <c r="X126" s="290">
        <f>SUM(X124:X125)</f>
        <v>1319</v>
      </c>
      <c r="Y126" s="290">
        <f t="shared" si="122"/>
        <v>177.80820063958242</v>
      </c>
      <c r="Z126" s="290">
        <f>Z124</f>
        <v>6</v>
      </c>
      <c r="AA126" s="290">
        <f>AA125</f>
        <v>62.1</v>
      </c>
      <c r="AB126" s="290">
        <f>SUM(AB124:AB125)</f>
        <v>56.1</v>
      </c>
      <c r="AC126" s="290">
        <f t="shared" si="123"/>
        <v>7.5625777527525209</v>
      </c>
      <c r="AD126" s="290">
        <f>AD124</f>
        <v>5.21</v>
      </c>
      <c r="AE126" s="290">
        <f>AE125</f>
        <v>52.62</v>
      </c>
      <c r="AF126" s="290">
        <f>SUM(AF124:AF125)</f>
        <v>47.403263999999993</v>
      </c>
      <c r="AG126" s="290">
        <f t="shared" si="124"/>
        <v>6.3902115817157652</v>
      </c>
      <c r="AH126" s="290">
        <f>AH124</f>
        <v>4.6500000000000004</v>
      </c>
      <c r="AI126" s="290">
        <f>AI125</f>
        <v>10.56</v>
      </c>
      <c r="AJ126" s="290">
        <f>SUM(AJ124:AJ125)</f>
        <v>5.91</v>
      </c>
      <c r="AK126" s="288">
        <f t="shared" si="125"/>
        <v>0.79669936753596071</v>
      </c>
      <c r="AL126" s="290">
        <f>AL124</f>
        <v>-0.4</v>
      </c>
      <c r="AM126" s="290">
        <f>AM125</f>
        <v>-6.3</v>
      </c>
      <c r="AN126" s="290">
        <f>SUM(AN124:AN125)</f>
        <v>-5.9</v>
      </c>
      <c r="AO126" s="288">
        <f t="shared" si="126"/>
        <v>-0.79535131446060381</v>
      </c>
      <c r="AP126" s="290">
        <f>AP124</f>
        <v>-0.2</v>
      </c>
      <c r="AQ126" s="290">
        <f>AQ125</f>
        <v>-7.7</v>
      </c>
      <c r="AR126" s="290">
        <f>SUM(AR124:AR125)</f>
        <v>-7.5</v>
      </c>
      <c r="AS126" s="288">
        <f t="shared" si="127"/>
        <v>-1.0110398065177166</v>
      </c>
      <c r="AT126" s="290">
        <f>AT124</f>
        <v>0.2</v>
      </c>
      <c r="AU126" s="290">
        <f>AU125</f>
        <v>2.6</v>
      </c>
      <c r="AV126" s="290">
        <f>SUM(AV124:AV125)</f>
        <v>2.4000000000000004</v>
      </c>
      <c r="AW126" s="288">
        <f t="shared" si="128"/>
        <v>0.3235327380856694</v>
      </c>
      <c r="AX126" s="290">
        <f>AX124</f>
        <v>-15</v>
      </c>
      <c r="AY126" s="290">
        <f>AY125</f>
        <v>1302</v>
      </c>
      <c r="AZ126" s="290">
        <f>SUM(AZ124:AZ125)</f>
        <v>1317</v>
      </c>
      <c r="BA126" s="288">
        <f t="shared" si="129"/>
        <v>177.53859002451105</v>
      </c>
      <c r="BB126" s="290">
        <f>BB124</f>
        <v>23.7</v>
      </c>
      <c r="BC126" s="290">
        <f>BC125</f>
        <v>25.6</v>
      </c>
      <c r="BD126" s="290">
        <f>SUM(BD124:BD125)</f>
        <v>1.9000000000000021</v>
      </c>
      <c r="BE126" s="288">
        <f t="shared" si="130"/>
        <v>0.25613008431782186</v>
      </c>
      <c r="BF126" s="290">
        <f>BF124</f>
        <v>-23.2</v>
      </c>
      <c r="BG126" s="290">
        <f>BG125</f>
        <v>-23.2</v>
      </c>
      <c r="BH126" s="290">
        <f>SUM(BH124:BH125)</f>
        <v>0</v>
      </c>
      <c r="BI126" s="288">
        <f t="shared" si="131"/>
        <v>0</v>
      </c>
      <c r="BJ126" s="282"/>
      <c r="BK126" s="282"/>
      <c r="BL126" s="282">
        <f>SUM(BL124:BL125)</f>
        <v>-1.7029050000000012</v>
      </c>
      <c r="BM126" s="459">
        <f>BM124</f>
        <v>-23.2</v>
      </c>
      <c r="BN126" s="459">
        <f>BN125</f>
        <v>-23.2</v>
      </c>
      <c r="BO126" s="459">
        <f>SUM(BO124:BO125)</f>
        <v>0</v>
      </c>
      <c r="BP126" s="459">
        <f>BP124</f>
        <v>23.7</v>
      </c>
      <c r="BQ126" s="459">
        <f>BQ125</f>
        <v>25.6</v>
      </c>
      <c r="BR126" s="459">
        <f>SUM(BR124:BR125)</f>
        <v>1.9000000000000021</v>
      </c>
      <c r="BS126" s="282"/>
      <c r="BT126" s="282"/>
      <c r="BU126" s="282"/>
      <c r="BV126" s="282"/>
      <c r="BW126" s="298" t="s">
        <v>855</v>
      </c>
    </row>
    <row r="127" spans="1:87" ht="15" customHeight="1" x14ac:dyDescent="0.2">
      <c r="A127" s="297">
        <f t="shared" ref="A127:A133" si="132">A126</f>
        <v>62009029</v>
      </c>
      <c r="B127" s="297" t="s">
        <v>610</v>
      </c>
      <c r="C127" s="297" t="s">
        <v>629</v>
      </c>
      <c r="D127" s="326" t="s">
        <v>778</v>
      </c>
      <c r="E127" s="283" t="s">
        <v>883</v>
      </c>
      <c r="F127" s="310" t="str">
        <f t="shared" si="87"/>
        <v>09/18/20</v>
      </c>
      <c r="G127" s="298" t="s">
        <v>884</v>
      </c>
      <c r="H127" s="298" t="s">
        <v>775</v>
      </c>
      <c r="I127" s="306"/>
      <c r="J127" s="299">
        <v>25.009927999999999</v>
      </c>
      <c r="K127" s="299">
        <v>37.368893</v>
      </c>
      <c r="L127" s="299">
        <v>29.596093</v>
      </c>
      <c r="M127" s="299">
        <v>28.283746000000001</v>
      </c>
      <c r="N127" s="284">
        <v>3875</v>
      </c>
      <c r="O127" s="284">
        <v>28.39</v>
      </c>
      <c r="P127" s="284">
        <v>0.20169999999999999</v>
      </c>
      <c r="Q127" s="284">
        <v>1.932E-2</v>
      </c>
      <c r="R127" s="285">
        <v>10.2462009</v>
      </c>
      <c r="S127" s="285">
        <f>R127+R126</f>
        <v>17.664306449999998</v>
      </c>
      <c r="T127" s="314">
        <v>95.788371999999995</v>
      </c>
      <c r="U127" s="314">
        <v>93.046329999999998</v>
      </c>
      <c r="V127" s="289">
        <v>1324</v>
      </c>
      <c r="W127" s="289">
        <v>3387</v>
      </c>
      <c r="X127" s="289">
        <f>W127-V127</f>
        <v>2063</v>
      </c>
      <c r="Y127" s="289">
        <f t="shared" si="122"/>
        <v>201.34291920823063</v>
      </c>
      <c r="Z127" s="308">
        <v>62.8</v>
      </c>
      <c r="AA127" s="289">
        <v>96.6</v>
      </c>
      <c r="AB127" s="289">
        <f>AA127-Z127</f>
        <v>33.799999999999997</v>
      </c>
      <c r="AC127" s="289">
        <f t="shared" si="123"/>
        <v>3.2987836496549661</v>
      </c>
      <c r="AD127" s="308">
        <v>53.24</v>
      </c>
      <c r="AE127" s="289">
        <v>82.12</v>
      </c>
      <c r="AF127" s="289">
        <f>AE127-AD127</f>
        <v>28.880000000000003</v>
      </c>
      <c r="AG127" s="289">
        <f t="shared" si="124"/>
        <v>2.8186056746164332</v>
      </c>
      <c r="AH127" s="308">
        <v>10.6</v>
      </c>
      <c r="AI127" s="289">
        <v>12.37</v>
      </c>
      <c r="AJ127" s="289">
        <f>AI127-AH127</f>
        <v>1.7699999999999996</v>
      </c>
      <c r="AK127" s="307">
        <f t="shared" si="125"/>
        <v>0.17274695443459434</v>
      </c>
      <c r="AL127" s="308">
        <v>-6.4</v>
      </c>
      <c r="AM127" s="289">
        <v>-9.6999999999999993</v>
      </c>
      <c r="AN127" s="289">
        <f>AM127-AL127</f>
        <v>-3.2999999999999989</v>
      </c>
      <c r="AO127" s="307">
        <f t="shared" si="126"/>
        <v>-0.32207059301365043</v>
      </c>
      <c r="AP127" s="308">
        <v>-7.8</v>
      </c>
      <c r="AQ127" s="289">
        <v>-11.9</v>
      </c>
      <c r="AR127" s="289">
        <f>AQ127-AP127</f>
        <v>-4.1000000000000005</v>
      </c>
      <c r="AS127" s="307">
        <f t="shared" si="127"/>
        <v>-0.40014831253211136</v>
      </c>
      <c r="AT127" s="308">
        <v>2.7</v>
      </c>
      <c r="AU127" s="289">
        <v>4</v>
      </c>
      <c r="AV127" s="289">
        <f>AU127-AT127</f>
        <v>1.2999999999999998</v>
      </c>
      <c r="AW127" s="307">
        <f t="shared" si="128"/>
        <v>0.12687629421749869</v>
      </c>
      <c r="AX127" s="308">
        <v>1303</v>
      </c>
      <c r="AY127" s="289">
        <v>3365</v>
      </c>
      <c r="AZ127" s="289">
        <f>AY127-AX127</f>
        <v>2062</v>
      </c>
      <c r="BA127" s="307">
        <f t="shared" si="129"/>
        <v>201.24532205883256</v>
      </c>
      <c r="BB127" s="308">
        <v>25.6</v>
      </c>
      <c r="BC127" s="289">
        <v>26.7</v>
      </c>
      <c r="BD127" s="289">
        <f>BC127-BB127</f>
        <v>1.0999999999999979</v>
      </c>
      <c r="BE127" s="307">
        <f t="shared" si="130"/>
        <v>0.10735686433788331</v>
      </c>
      <c r="BF127" s="308">
        <v>-23.2</v>
      </c>
      <c r="BG127" s="289">
        <v>-23.2</v>
      </c>
      <c r="BH127" s="289">
        <f>BG127-BF127</f>
        <v>0</v>
      </c>
      <c r="BI127" s="307">
        <f t="shared" si="131"/>
        <v>0</v>
      </c>
      <c r="BJ127" s="281">
        <v>95.788371999999995</v>
      </c>
      <c r="BK127" s="281">
        <v>93.046329999999998</v>
      </c>
      <c r="BL127" s="281">
        <f>BK127-BJ127</f>
        <v>-2.7420419999999979</v>
      </c>
      <c r="BM127" s="408">
        <v>-23.2</v>
      </c>
      <c r="BN127" s="458">
        <v>-23.2</v>
      </c>
      <c r="BO127" s="458">
        <f>BN127-BM127</f>
        <v>0</v>
      </c>
      <c r="BP127" s="408">
        <v>25.6</v>
      </c>
      <c r="BQ127" s="458">
        <v>26.7</v>
      </c>
      <c r="BR127" s="458">
        <f>BQ127-BP127</f>
        <v>1.0999999999999979</v>
      </c>
      <c r="BS127" s="281"/>
      <c r="BT127" s="281"/>
      <c r="BU127" s="281"/>
      <c r="BV127" s="281"/>
      <c r="BW127" s="298" t="s">
        <v>855</v>
      </c>
      <c r="BX127" s="422">
        <v>1773.2912487999999</v>
      </c>
      <c r="BY127" s="422">
        <v>1.3943492200000001</v>
      </c>
      <c r="BZ127" s="422">
        <v>1324.94847996</v>
      </c>
      <c r="CA127" s="422">
        <v>1306.7281264799999</v>
      </c>
      <c r="CB127" s="422">
        <v>7.30156356</v>
      </c>
      <c r="CC127" s="422">
        <v>7.3154061099999996</v>
      </c>
      <c r="CD127" s="422">
        <v>-0.10140115</v>
      </c>
      <c r="CE127" s="422">
        <v>10.246279899999999</v>
      </c>
      <c r="CF127" s="422">
        <v>10.25668029</v>
      </c>
      <c r="CG127" s="422">
        <v>-8.7989960000000006E-2</v>
      </c>
      <c r="CH127" s="422">
        <v>-0.18922460999999999</v>
      </c>
      <c r="CI127" s="422">
        <v>0.28265169000000001</v>
      </c>
    </row>
    <row r="128" spans="1:87" ht="15" customHeight="1" x14ac:dyDescent="0.2">
      <c r="A128" s="297">
        <f t="shared" si="132"/>
        <v>62009029</v>
      </c>
      <c r="B128" s="297" t="s">
        <v>611</v>
      </c>
      <c r="C128" s="297" t="s">
        <v>630</v>
      </c>
      <c r="D128" s="326" t="s">
        <v>778</v>
      </c>
      <c r="E128" s="283" t="s">
        <v>883</v>
      </c>
      <c r="F128" s="310" t="str">
        <f t="shared" si="87"/>
        <v>09/18/20</v>
      </c>
      <c r="G128" s="298" t="s">
        <v>884</v>
      </c>
      <c r="H128" s="298" t="s">
        <v>775</v>
      </c>
      <c r="I128" s="306"/>
      <c r="J128" s="299">
        <v>20.552244999999999</v>
      </c>
      <c r="K128" s="299">
        <v>54.298893999999997</v>
      </c>
      <c r="L128" s="299">
        <v>29.593305999999998</v>
      </c>
      <c r="M128" s="299">
        <v>27.715043999999999</v>
      </c>
      <c r="N128" s="284">
        <v>3875</v>
      </c>
      <c r="O128" s="284">
        <v>28.39</v>
      </c>
      <c r="P128" s="284">
        <v>0.20169999999999999</v>
      </c>
      <c r="Q128" s="284">
        <v>1.932E-2</v>
      </c>
      <c r="R128" s="285">
        <v>3.58246742</v>
      </c>
      <c r="S128" s="285">
        <f>R128+R127</f>
        <v>13.82866832</v>
      </c>
      <c r="T128" s="314">
        <v>93.044803999999999</v>
      </c>
      <c r="U128" s="314">
        <v>93.044803999999999</v>
      </c>
      <c r="V128" s="289">
        <v>3392</v>
      </c>
      <c r="W128" s="289">
        <v>4046</v>
      </c>
      <c r="X128" s="289">
        <f>W128-V128</f>
        <v>654</v>
      </c>
      <c r="Y128" s="289">
        <f t="shared" si="122"/>
        <v>182.55574254461749</v>
      </c>
      <c r="Z128" s="308">
        <v>101.3</v>
      </c>
      <c r="AA128" s="289">
        <v>123</v>
      </c>
      <c r="AB128" s="289">
        <f>AA128-Z128</f>
        <v>21.700000000000003</v>
      </c>
      <c r="AC128" s="289">
        <f t="shared" si="123"/>
        <v>6.0572776960522932</v>
      </c>
      <c r="AD128" s="308">
        <v>86.2</v>
      </c>
      <c r="AE128" s="289">
        <v>104.76</v>
      </c>
      <c r="AF128" s="289">
        <f>AE128-AD128</f>
        <v>18.560000000000002</v>
      </c>
      <c r="AG128" s="289">
        <f t="shared" si="124"/>
        <v>5.1807868220613162</v>
      </c>
      <c r="AH128" s="308">
        <v>23.41</v>
      </c>
      <c r="AI128" s="289">
        <v>24.86</v>
      </c>
      <c r="AJ128" s="289">
        <f>AI128-AH128</f>
        <v>1.4499999999999993</v>
      </c>
      <c r="AK128" s="307">
        <f t="shared" si="125"/>
        <v>0.40474897047354008</v>
      </c>
      <c r="AL128" s="308">
        <v>-9.9</v>
      </c>
      <c r="AM128" s="289">
        <v>-12.1</v>
      </c>
      <c r="AN128" s="289">
        <f>AM128-AL128</f>
        <v>-2.1999999999999993</v>
      </c>
      <c r="AO128" s="307">
        <f t="shared" si="126"/>
        <v>-0.61410188623571604</v>
      </c>
      <c r="AP128" s="308">
        <v>-11.9</v>
      </c>
      <c r="AQ128" s="289">
        <v>-14.7</v>
      </c>
      <c r="AR128" s="289">
        <f>AQ128-AP128</f>
        <v>-2.7999999999999989</v>
      </c>
      <c r="AS128" s="307">
        <f t="shared" si="127"/>
        <v>-0.78158421884545681</v>
      </c>
      <c r="AT128" s="308">
        <v>4.0999999999999996</v>
      </c>
      <c r="AU128" s="289">
        <v>5</v>
      </c>
      <c r="AV128" s="289">
        <f>AU128-AT128</f>
        <v>0.90000000000000036</v>
      </c>
      <c r="AW128" s="307">
        <f t="shared" si="128"/>
        <v>0.25122349891461132</v>
      </c>
      <c r="AX128" s="308">
        <v>3370</v>
      </c>
      <c r="AY128" s="289">
        <v>4022.5522369999999</v>
      </c>
      <c r="AZ128" s="289">
        <f>AY128-AX128</f>
        <v>652.55223699999988</v>
      </c>
      <c r="BA128" s="307">
        <f t="shared" si="129"/>
        <v>182.15161800410732</v>
      </c>
      <c r="BB128" s="308">
        <v>27.5</v>
      </c>
      <c r="BC128" s="289">
        <v>28.2</v>
      </c>
      <c r="BD128" s="289">
        <f>BC128-BB128</f>
        <v>0.69999999999999929</v>
      </c>
      <c r="BE128" s="307">
        <f t="shared" si="130"/>
        <v>0.19539605471136406</v>
      </c>
      <c r="BF128" s="308">
        <v>-23.2</v>
      </c>
      <c r="BG128" s="289">
        <v>-23.2</v>
      </c>
      <c r="BH128" s="289">
        <f>BG128-BF128</f>
        <v>0</v>
      </c>
      <c r="BI128" s="307">
        <f t="shared" si="131"/>
        <v>0</v>
      </c>
      <c r="BJ128" s="281">
        <v>93.044803999999999</v>
      </c>
      <c r="BK128" s="281">
        <v>93.044803999999999</v>
      </c>
      <c r="BL128" s="281">
        <f>BK128-BJ128</f>
        <v>0</v>
      </c>
      <c r="BM128" s="408">
        <v>-23.2</v>
      </c>
      <c r="BN128" s="458">
        <v>-23.2</v>
      </c>
      <c r="BO128" s="458">
        <f>BN128-BM128</f>
        <v>0</v>
      </c>
      <c r="BP128" s="408">
        <v>27.5</v>
      </c>
      <c r="BQ128" s="458">
        <v>28.2</v>
      </c>
      <c r="BR128" s="458">
        <f>BQ128-BP128</f>
        <v>0.69999999999999929</v>
      </c>
      <c r="BS128" s="281"/>
      <c r="BT128" s="281"/>
      <c r="BU128" s="281"/>
      <c r="BV128" s="281"/>
      <c r="BW128" s="298" t="s">
        <v>855</v>
      </c>
      <c r="BX128" s="422">
        <v>2196.2272458699999</v>
      </c>
      <c r="BY128" s="422">
        <v>-1.03516707</v>
      </c>
      <c r="BZ128" s="422">
        <v>2027.44420124</v>
      </c>
      <c r="CA128" s="422">
        <v>2048.6511634899998</v>
      </c>
      <c r="CB128" s="422">
        <v>2.9307412400000001</v>
      </c>
      <c r="CC128" s="422">
        <v>2.96566068</v>
      </c>
      <c r="CD128" s="422">
        <v>-0.23962800000000001</v>
      </c>
      <c r="CE128" s="422">
        <v>3.5823749299999998</v>
      </c>
      <c r="CF128" s="422">
        <v>3.5909799200000001</v>
      </c>
      <c r="CG128" s="422">
        <v>-0.94900505999999996</v>
      </c>
      <c r="CH128" s="422">
        <v>-1.1774589200000001</v>
      </c>
      <c r="CI128" s="422">
        <v>0.59138173999999999</v>
      </c>
    </row>
    <row r="129" spans="1:87" ht="15" customHeight="1" x14ac:dyDescent="0.2">
      <c r="A129" s="297">
        <f t="shared" si="132"/>
        <v>62009029</v>
      </c>
      <c r="B129" s="297" t="s">
        <v>224</v>
      </c>
      <c r="C129" s="297" t="s">
        <v>631</v>
      </c>
      <c r="D129" s="326" t="s">
        <v>778</v>
      </c>
      <c r="E129" s="283" t="s">
        <v>883</v>
      </c>
      <c r="F129" s="310" t="str">
        <f t="shared" si="87"/>
        <v>09/18/20</v>
      </c>
      <c r="G129" s="298" t="s">
        <v>884</v>
      </c>
      <c r="H129" s="298" t="s">
        <v>775</v>
      </c>
      <c r="I129" s="306"/>
      <c r="J129" s="299">
        <v>19.764398</v>
      </c>
      <c r="K129" s="299">
        <v>54.546351000000001</v>
      </c>
      <c r="L129" s="299">
        <v>29.601455000000001</v>
      </c>
      <c r="M129" s="299">
        <v>27.140167000000002</v>
      </c>
      <c r="N129" s="284">
        <v>3875</v>
      </c>
      <c r="O129" s="284">
        <v>28.39</v>
      </c>
      <c r="P129" s="284">
        <v>0.20169999999999999</v>
      </c>
      <c r="Q129" s="284">
        <v>1.932E-2</v>
      </c>
      <c r="R129" s="285">
        <v>3.845072</v>
      </c>
      <c r="S129" s="285">
        <f>R129+R128</f>
        <v>7.4275394200000004</v>
      </c>
      <c r="T129" s="314">
        <v>93.044803999999999</v>
      </c>
      <c r="U129" s="314">
        <v>93.044803999999999</v>
      </c>
      <c r="V129" s="289">
        <v>4046</v>
      </c>
      <c r="W129" s="289">
        <v>4607</v>
      </c>
      <c r="X129" s="289">
        <f>W129-V129</f>
        <v>561</v>
      </c>
      <c r="Y129" s="289">
        <f t="shared" si="122"/>
        <v>145.90103904426238</v>
      </c>
      <c r="Z129" s="308">
        <v>123</v>
      </c>
      <c r="AA129" s="289">
        <v>161.1</v>
      </c>
      <c r="AB129" s="289">
        <f>AA129-Z129</f>
        <v>38.099999999999994</v>
      </c>
      <c r="AC129" s="289">
        <f t="shared" si="123"/>
        <v>9.9087871436477641</v>
      </c>
      <c r="AD129" s="308">
        <v>104.765547</v>
      </c>
      <c r="AE129" s="289">
        <v>137.285201</v>
      </c>
      <c r="AF129" s="289">
        <f>AE129-AD129</f>
        <v>32.519654000000003</v>
      </c>
      <c r="AG129" s="289">
        <f t="shared" si="124"/>
        <v>8.457488962495372</v>
      </c>
      <c r="AH129" s="308">
        <v>24.86</v>
      </c>
      <c r="AI129" s="289">
        <v>25.55</v>
      </c>
      <c r="AJ129" s="289">
        <f>AI129-AH129</f>
        <v>0.69000000000000128</v>
      </c>
      <c r="AK129" s="307">
        <f t="shared" si="125"/>
        <v>0.17945047582984175</v>
      </c>
      <c r="AL129" s="308">
        <v>-12.1</v>
      </c>
      <c r="AM129" s="289">
        <v>-15.9</v>
      </c>
      <c r="AN129" s="289">
        <f>AM129-AL129</f>
        <v>-3.8000000000000007</v>
      </c>
      <c r="AO129" s="307">
        <f t="shared" si="126"/>
        <v>-0.98827798283101087</v>
      </c>
      <c r="AP129" s="308">
        <v>-14.7</v>
      </c>
      <c r="AQ129" s="289">
        <v>-19.3</v>
      </c>
      <c r="AR129" s="289">
        <f>AQ129-AP129</f>
        <v>-4.6000000000000014</v>
      </c>
      <c r="AS129" s="307">
        <f t="shared" si="127"/>
        <v>-1.1963365055322766</v>
      </c>
      <c r="AT129" s="308">
        <v>5</v>
      </c>
      <c r="AU129" s="289">
        <v>6.5</v>
      </c>
      <c r="AV129" s="289">
        <f>AU129-AT129</f>
        <v>1.5</v>
      </c>
      <c r="AW129" s="307">
        <f t="shared" si="128"/>
        <v>0.39010973006487265</v>
      </c>
      <c r="AX129" s="308">
        <v>4023</v>
      </c>
      <c r="AY129" s="289">
        <v>4582</v>
      </c>
      <c r="AZ129" s="289">
        <f>AY129-AX129</f>
        <v>559</v>
      </c>
      <c r="BA129" s="307">
        <f t="shared" si="129"/>
        <v>145.38089273750921</v>
      </c>
      <c r="BB129" s="308">
        <v>28.2</v>
      </c>
      <c r="BC129" s="289">
        <v>29.4</v>
      </c>
      <c r="BD129" s="289">
        <f>BC129-BB129</f>
        <v>1.1999999999999993</v>
      </c>
      <c r="BE129" s="307">
        <f t="shared" si="130"/>
        <v>0.31208778405189791</v>
      </c>
      <c r="BF129" s="308">
        <v>-23.2</v>
      </c>
      <c r="BG129" s="289">
        <v>-23.2</v>
      </c>
      <c r="BH129" s="289">
        <f>BG129-BF129</f>
        <v>0</v>
      </c>
      <c r="BI129" s="307">
        <f t="shared" si="131"/>
        <v>0</v>
      </c>
      <c r="BJ129" s="281">
        <v>93.044803999999999</v>
      </c>
      <c r="BK129" s="281">
        <v>93.044803999999999</v>
      </c>
      <c r="BL129" s="281">
        <f>BK129-BJ129</f>
        <v>0</v>
      </c>
      <c r="BM129" s="408">
        <v>-23.2</v>
      </c>
      <c r="BN129" s="458">
        <v>-23.2</v>
      </c>
      <c r="BO129" s="458">
        <f>BN129-BM129</f>
        <v>0</v>
      </c>
      <c r="BP129" s="408">
        <v>28.2</v>
      </c>
      <c r="BQ129" s="458">
        <v>29.4</v>
      </c>
      <c r="BR129" s="458">
        <f>BQ129-BP129</f>
        <v>1.1999999999999993</v>
      </c>
      <c r="BS129" s="281"/>
      <c r="BT129" s="281"/>
      <c r="BU129" s="281"/>
      <c r="BV129" s="281"/>
      <c r="BW129" s="298" t="s">
        <v>855</v>
      </c>
      <c r="BX129" s="422">
        <v>1348.2505325</v>
      </c>
      <c r="BY129" s="422">
        <v>-1.3650263600000001</v>
      </c>
      <c r="BZ129" s="422">
        <v>3369.3633052700002</v>
      </c>
      <c r="CA129" s="422">
        <v>3415.9925035599999</v>
      </c>
      <c r="CB129" s="422">
        <v>2.7021424199999999</v>
      </c>
      <c r="CC129" s="422">
        <v>2.7414872300000002</v>
      </c>
      <c r="CD129" s="422">
        <v>-0.38561867</v>
      </c>
      <c r="CE129" s="422">
        <v>3.8449454799999998</v>
      </c>
      <c r="CF129" s="422">
        <v>3.8598297100000001</v>
      </c>
      <c r="CG129" s="422">
        <v>-1.0648264700000001</v>
      </c>
      <c r="CH129" s="422">
        <v>-1.43516314</v>
      </c>
      <c r="CI129" s="422">
        <v>0.71727943999999999</v>
      </c>
    </row>
    <row r="130" spans="1:87" ht="15" customHeight="1" x14ac:dyDescent="0.2">
      <c r="A130" s="297">
        <f t="shared" si="132"/>
        <v>62009029</v>
      </c>
      <c r="B130" s="297" t="s">
        <v>612</v>
      </c>
      <c r="C130" s="297" t="s">
        <v>632</v>
      </c>
      <c r="D130" s="326" t="s">
        <v>778</v>
      </c>
      <c r="E130" s="283" t="s">
        <v>883</v>
      </c>
      <c r="F130" s="310" t="str">
        <f t="shared" si="87"/>
        <v>09/18/20</v>
      </c>
      <c r="G130" s="298" t="s">
        <v>884</v>
      </c>
      <c r="H130" s="298" t="s">
        <v>775</v>
      </c>
      <c r="I130" s="306"/>
      <c r="J130" s="300">
        <f>AVERAGE(J128:J129)</f>
        <v>20.1583215</v>
      </c>
      <c r="K130" s="300">
        <f>AVERAGE(K128:K129)</f>
        <v>54.422622500000003</v>
      </c>
      <c r="L130" s="300">
        <f>AVERAGE(L128:L129)</f>
        <v>29.5973805</v>
      </c>
      <c r="M130" s="300">
        <f>AVERAGE(M128:M129)</f>
        <v>27.427605499999999</v>
      </c>
      <c r="N130" s="286"/>
      <c r="O130" s="284"/>
      <c r="P130" s="302"/>
      <c r="Q130" s="301"/>
      <c r="R130" s="287">
        <f>R129+R128</f>
        <v>7.4275394200000004</v>
      </c>
      <c r="S130" s="287">
        <f>S129</f>
        <v>7.4275394200000004</v>
      </c>
      <c r="T130" s="315">
        <f>T128</f>
        <v>93.044803999999999</v>
      </c>
      <c r="U130" s="315">
        <f>U129</f>
        <v>93.044803999999999</v>
      </c>
      <c r="V130" s="290">
        <f>V128</f>
        <v>3392</v>
      </c>
      <c r="W130" s="290">
        <f>W129</f>
        <v>4607</v>
      </c>
      <c r="X130" s="290">
        <f>SUM(X128:X129)</f>
        <v>1215</v>
      </c>
      <c r="Y130" s="290">
        <f t="shared" si="122"/>
        <v>163.5804175913751</v>
      </c>
      <c r="Z130" s="290">
        <f>Z128</f>
        <v>101.3</v>
      </c>
      <c r="AA130" s="290">
        <f>AA129</f>
        <v>161.1</v>
      </c>
      <c r="AB130" s="290">
        <f>SUM(AB128:AB129)</f>
        <v>59.8</v>
      </c>
      <c r="AC130" s="290">
        <f t="shared" si="123"/>
        <v>8.0511184954438111</v>
      </c>
      <c r="AD130" s="290">
        <f>AD128</f>
        <v>86.2</v>
      </c>
      <c r="AE130" s="290">
        <f>AE129</f>
        <v>137.285201</v>
      </c>
      <c r="AF130" s="290">
        <f>SUM(AF128:AF129)</f>
        <v>51.079654000000005</v>
      </c>
      <c r="AG130" s="290">
        <f t="shared" si="124"/>
        <v>6.8770626598707434</v>
      </c>
      <c r="AH130" s="290">
        <f>AH128</f>
        <v>23.41</v>
      </c>
      <c r="AI130" s="290">
        <f>AI129</f>
        <v>25.55</v>
      </c>
      <c r="AJ130" s="290">
        <f>SUM(AJ128:AJ129)</f>
        <v>2.1400000000000006</v>
      </c>
      <c r="AK130" s="288">
        <f t="shared" si="125"/>
        <v>0.28811694950250433</v>
      </c>
      <c r="AL130" s="290">
        <f>AL128</f>
        <v>-9.9</v>
      </c>
      <c r="AM130" s="290">
        <f>AM129</f>
        <v>-15.9</v>
      </c>
      <c r="AN130" s="290">
        <f>SUM(AN128:AN129)</f>
        <v>-6</v>
      </c>
      <c r="AO130" s="288">
        <f t="shared" si="126"/>
        <v>-0.80780453131543251</v>
      </c>
      <c r="AP130" s="290">
        <f>AP128</f>
        <v>-11.9</v>
      </c>
      <c r="AQ130" s="290">
        <f>AQ129</f>
        <v>-19.3</v>
      </c>
      <c r="AR130" s="290">
        <f>SUM(AR128:AR129)</f>
        <v>-7.4</v>
      </c>
      <c r="AS130" s="288">
        <f t="shared" si="127"/>
        <v>-0.99629225528903353</v>
      </c>
      <c r="AT130" s="290">
        <f>AT128</f>
        <v>4.0999999999999996</v>
      </c>
      <c r="AU130" s="290">
        <f>AU129</f>
        <v>6.5</v>
      </c>
      <c r="AV130" s="290">
        <f>SUM(AV128:AV129)</f>
        <v>2.4000000000000004</v>
      </c>
      <c r="AW130" s="288">
        <f t="shared" si="128"/>
        <v>0.32312181252617306</v>
      </c>
      <c r="AX130" s="290">
        <f>AX128</f>
        <v>3370</v>
      </c>
      <c r="AY130" s="290">
        <f>AY129</f>
        <v>4582</v>
      </c>
      <c r="AZ130" s="290">
        <f>SUM(AZ128:AZ129)</f>
        <v>1211.5522369999999</v>
      </c>
      <c r="BA130" s="288">
        <f t="shared" si="129"/>
        <v>163.11623116232479</v>
      </c>
      <c r="BB130" s="290">
        <f>BB128</f>
        <v>27.5</v>
      </c>
      <c r="BC130" s="290">
        <f>BC129</f>
        <v>29.4</v>
      </c>
      <c r="BD130" s="290">
        <f>SUM(BD128:BD129)</f>
        <v>1.8999999999999986</v>
      </c>
      <c r="BE130" s="288">
        <f t="shared" si="130"/>
        <v>0.25580476824988679</v>
      </c>
      <c r="BF130" s="290">
        <f>BF128</f>
        <v>-23.2</v>
      </c>
      <c r="BG130" s="290">
        <f>BG129</f>
        <v>-23.2</v>
      </c>
      <c r="BH130" s="290">
        <f>SUM(BH128:BH129)</f>
        <v>0</v>
      </c>
      <c r="BI130" s="288">
        <f t="shared" si="131"/>
        <v>0</v>
      </c>
      <c r="BJ130" s="282"/>
      <c r="BK130" s="282"/>
      <c r="BL130" s="282">
        <f>SUM(BL128:BL129)</f>
        <v>0</v>
      </c>
      <c r="BM130" s="459">
        <f>BM128</f>
        <v>-23.2</v>
      </c>
      <c r="BN130" s="459">
        <f>BN129</f>
        <v>-23.2</v>
      </c>
      <c r="BO130" s="459">
        <f>SUM(BO128:BO129)</f>
        <v>0</v>
      </c>
      <c r="BP130" s="459">
        <f>BP128</f>
        <v>27.5</v>
      </c>
      <c r="BQ130" s="459">
        <f>BQ129</f>
        <v>29.4</v>
      </c>
      <c r="BR130" s="459">
        <f>SUM(BR128:BR129)</f>
        <v>1.8999999999999986</v>
      </c>
      <c r="BS130" s="282"/>
      <c r="BT130" s="282"/>
      <c r="BU130" s="282"/>
      <c r="BV130" s="282"/>
      <c r="BW130" s="298" t="s">
        <v>855</v>
      </c>
    </row>
    <row r="131" spans="1:87" ht="15" customHeight="1" x14ac:dyDescent="0.2">
      <c r="A131" s="297">
        <f t="shared" si="132"/>
        <v>62009029</v>
      </c>
      <c r="B131" s="297" t="s">
        <v>613</v>
      </c>
      <c r="C131" s="297" t="s">
        <v>633</v>
      </c>
      <c r="D131" s="326" t="s">
        <v>778</v>
      </c>
      <c r="E131" s="283" t="s">
        <v>883</v>
      </c>
      <c r="F131" s="310" t="str">
        <f t="shared" si="87"/>
        <v>09/18/20</v>
      </c>
      <c r="G131" s="298" t="s">
        <v>884</v>
      </c>
      <c r="H131" s="298" t="s">
        <v>775</v>
      </c>
      <c r="I131" s="306"/>
      <c r="J131" s="299">
        <v>23.025200999999999</v>
      </c>
      <c r="K131" s="299">
        <v>42.286597999999998</v>
      </c>
      <c r="L131" s="299">
        <v>29.612697000000001</v>
      </c>
      <c r="M131" s="299">
        <v>29.37077</v>
      </c>
      <c r="N131" s="284">
        <v>3875</v>
      </c>
      <c r="O131" s="284">
        <v>28.39</v>
      </c>
      <c r="P131" s="284">
        <v>0.20169999999999999</v>
      </c>
      <c r="Q131" s="284">
        <v>1.932E-2</v>
      </c>
      <c r="R131" s="285">
        <v>1.76446031</v>
      </c>
      <c r="S131" s="285">
        <f>R131+R130</f>
        <v>9.1919997300000009</v>
      </c>
      <c r="T131" s="314">
        <v>93.044803999999999</v>
      </c>
      <c r="U131" s="314">
        <v>93.044803999999999</v>
      </c>
      <c r="V131" s="289">
        <v>4612</v>
      </c>
      <c r="W131" s="289">
        <v>6774</v>
      </c>
      <c r="X131" s="289">
        <f>W131-V131-X132</f>
        <v>463</v>
      </c>
      <c r="Y131" s="289">
        <f t="shared" si="122"/>
        <v>262.40318208121101</v>
      </c>
      <c r="Z131" s="308">
        <v>165.4</v>
      </c>
      <c r="AA131" s="289">
        <v>193.2</v>
      </c>
      <c r="AB131" s="289">
        <f>AA131-Z131-AB132</f>
        <v>10.799999999999983</v>
      </c>
      <c r="AC131" s="289">
        <f t="shared" si="123"/>
        <v>6.1208517634494042</v>
      </c>
      <c r="AD131" s="308">
        <v>140.97</v>
      </c>
      <c r="AE131" s="289">
        <v>164.78</v>
      </c>
      <c r="AF131" s="289">
        <f>AE131-AD131-AF132</f>
        <v>9.2449509999999862</v>
      </c>
      <c r="AG131" s="289">
        <f t="shared" si="124"/>
        <v>5.2395346880882725</v>
      </c>
      <c r="AH131" s="308">
        <v>25.62</v>
      </c>
      <c r="AI131" s="289">
        <v>25.99</v>
      </c>
      <c r="AJ131" s="289">
        <f>AI131-AH131-AJ132</f>
        <v>0.13999999999999702</v>
      </c>
      <c r="AK131" s="307">
        <f t="shared" si="125"/>
        <v>7.9344374711379603E-2</v>
      </c>
      <c r="AL131" s="308">
        <v>-16.3</v>
      </c>
      <c r="AM131" s="289">
        <v>-18.899999999999999</v>
      </c>
      <c r="AN131" s="289">
        <f>AM131-AL131-AN132</f>
        <v>-1.0999999999999979</v>
      </c>
      <c r="AO131" s="307">
        <f t="shared" si="126"/>
        <v>-0.62342008701799467</v>
      </c>
      <c r="AP131" s="308">
        <v>-19.8</v>
      </c>
      <c r="AQ131" s="289">
        <v>-23</v>
      </c>
      <c r="AR131" s="289">
        <f>AQ131-AP131-AR132</f>
        <v>-1.3000000000000007</v>
      </c>
      <c r="AS131" s="307">
        <f t="shared" si="127"/>
        <v>-0.736769193748541</v>
      </c>
      <c r="AT131" s="308">
        <v>6.7</v>
      </c>
      <c r="AU131" s="289">
        <v>7.7</v>
      </c>
      <c r="AV131" s="289">
        <f>AU131-AT131-AV132</f>
        <v>0.30000000000000071</v>
      </c>
      <c r="AW131" s="307">
        <f t="shared" si="128"/>
        <v>0.17002366009581746</v>
      </c>
      <c r="AX131" s="308">
        <v>4587</v>
      </c>
      <c r="AY131" s="289">
        <v>6750</v>
      </c>
      <c r="AZ131" s="289">
        <f>AY131-AX131-AZ132</f>
        <v>463</v>
      </c>
      <c r="BA131" s="307">
        <f t="shared" si="129"/>
        <v>262.40318208121101</v>
      </c>
      <c r="BB131" s="308">
        <v>29.5</v>
      </c>
      <c r="BC131" s="289">
        <v>30.4</v>
      </c>
      <c r="BD131" s="289">
        <f>BC131-BB131-BD132</f>
        <v>0.39999999999999858</v>
      </c>
      <c r="BE131" s="307">
        <f t="shared" si="130"/>
        <v>0.22669821346108859</v>
      </c>
      <c r="BF131" s="308">
        <v>-23.2</v>
      </c>
      <c r="BG131" s="289">
        <v>-23.2</v>
      </c>
      <c r="BH131" s="289">
        <f>BG131-BF131-BH132</f>
        <v>0</v>
      </c>
      <c r="BI131" s="307">
        <f t="shared" si="131"/>
        <v>0</v>
      </c>
      <c r="BJ131" s="281">
        <v>93.044803999999999</v>
      </c>
      <c r="BK131" s="281">
        <v>93.044803999999999</v>
      </c>
      <c r="BL131" s="281">
        <f>BK131-BJ131-BL132</f>
        <v>0</v>
      </c>
      <c r="BM131" s="408">
        <v>-23.2</v>
      </c>
      <c r="BN131" s="458">
        <v>-23.2</v>
      </c>
      <c r="BO131" s="458">
        <f>BN131-BM131-BO132</f>
        <v>0</v>
      </c>
      <c r="BP131" s="408">
        <v>29.5</v>
      </c>
      <c r="BQ131" s="458">
        <v>30.4</v>
      </c>
      <c r="BR131" s="458">
        <f>BQ131-BP131-BR132</f>
        <v>0.39999999999999858</v>
      </c>
      <c r="BS131" s="281"/>
      <c r="BT131" s="281"/>
      <c r="BU131" s="281"/>
      <c r="BV131" s="281"/>
      <c r="BW131" s="298" t="s">
        <v>855</v>
      </c>
      <c r="BX131" s="422">
        <v>5068.4452714099998</v>
      </c>
      <c r="BY131" s="422">
        <v>-2.8487291899999998</v>
      </c>
      <c r="BZ131" s="422">
        <v>2389.2186437599998</v>
      </c>
      <c r="CA131" s="422">
        <v>2459.2767791900001</v>
      </c>
      <c r="CB131" s="422">
        <v>2.8545535499999999</v>
      </c>
      <c r="CC131" s="422">
        <v>2.9251995000000002</v>
      </c>
      <c r="CD131" s="422">
        <v>-0.43369797999999998</v>
      </c>
      <c r="CE131" s="422">
        <v>1.7644185299999999</v>
      </c>
      <c r="CF131" s="422">
        <v>1.7721041099999999</v>
      </c>
      <c r="CG131" s="422">
        <v>-2.0304196000000001</v>
      </c>
      <c r="CH131" s="422">
        <v>-2.4150812899999998</v>
      </c>
      <c r="CI131" s="422">
        <v>0.81463677000000001</v>
      </c>
    </row>
    <row r="132" spans="1:87" ht="15" customHeight="1" x14ac:dyDescent="0.2">
      <c r="A132" s="297">
        <f t="shared" si="132"/>
        <v>62009029</v>
      </c>
      <c r="B132" s="297" t="s">
        <v>614</v>
      </c>
      <c r="C132" s="297" t="s">
        <v>634</v>
      </c>
      <c r="D132" s="326" t="s">
        <v>778</v>
      </c>
      <c r="E132" s="283" t="s">
        <v>883</v>
      </c>
      <c r="F132" s="310" t="str">
        <f t="shared" si="87"/>
        <v>09/18/20</v>
      </c>
      <c r="G132" s="298" t="s">
        <v>884</v>
      </c>
      <c r="H132" s="298" t="s">
        <v>775</v>
      </c>
      <c r="I132" s="306"/>
      <c r="J132" s="299">
        <v>27.028848</v>
      </c>
      <c r="K132" s="299">
        <v>33.075468000000001</v>
      </c>
      <c r="L132" s="299">
        <v>29.642996</v>
      </c>
      <c r="M132" s="299">
        <v>29.584589000000001</v>
      </c>
      <c r="N132" s="284">
        <v>3875</v>
      </c>
      <c r="O132" s="284">
        <v>28.39</v>
      </c>
      <c r="P132" s="284">
        <v>0.20169999999999999</v>
      </c>
      <c r="Q132" s="284">
        <v>1.932E-2</v>
      </c>
      <c r="R132" s="285">
        <v>6.2282626399999996</v>
      </c>
      <c r="S132" s="285">
        <f>R132+R131</f>
        <v>7.9927229499999992</v>
      </c>
      <c r="T132" s="314">
        <v>93.044803999999999</v>
      </c>
      <c r="U132" s="314">
        <v>93.044803999999999</v>
      </c>
      <c r="V132" s="289">
        <v>4934</v>
      </c>
      <c r="W132" s="289">
        <v>6633</v>
      </c>
      <c r="X132" s="289">
        <f>W132-V132</f>
        <v>1699</v>
      </c>
      <c r="Y132" s="289">
        <f t="shared" si="122"/>
        <v>272.7887531730679</v>
      </c>
      <c r="Z132" s="308">
        <v>171.4</v>
      </c>
      <c r="AA132" s="289">
        <v>188.4</v>
      </c>
      <c r="AB132" s="289">
        <f>AA132-Z132</f>
        <v>17</v>
      </c>
      <c r="AC132" s="289">
        <f t="shared" si="123"/>
        <v>2.7294931159165121</v>
      </c>
      <c r="AD132" s="308">
        <v>146.1</v>
      </c>
      <c r="AE132" s="289">
        <v>160.66504900000001</v>
      </c>
      <c r="AF132" s="289">
        <f>AE132-AD132</f>
        <v>14.565049000000016</v>
      </c>
      <c r="AG132" s="289">
        <f t="shared" si="124"/>
        <v>2.3385412340286305</v>
      </c>
      <c r="AH132" s="308">
        <v>25.7</v>
      </c>
      <c r="AI132" s="289">
        <v>25.93</v>
      </c>
      <c r="AJ132" s="289">
        <f>AI132-AH132</f>
        <v>0.23000000000000043</v>
      </c>
      <c r="AK132" s="307">
        <f t="shared" si="125"/>
        <v>3.6928436274164644E-2</v>
      </c>
      <c r="AL132" s="308">
        <v>-16.899999999999999</v>
      </c>
      <c r="AM132" s="289">
        <v>-18.399999999999999</v>
      </c>
      <c r="AN132" s="289">
        <f>AM132-AL132</f>
        <v>-1.5</v>
      </c>
      <c r="AO132" s="307">
        <f t="shared" si="126"/>
        <v>-0.24083762787498636</v>
      </c>
      <c r="AP132" s="308">
        <v>-20.5</v>
      </c>
      <c r="AQ132" s="289">
        <v>-22.4</v>
      </c>
      <c r="AR132" s="289">
        <f>AQ132-AP132</f>
        <v>-1.8999999999999986</v>
      </c>
      <c r="AS132" s="307">
        <f t="shared" si="127"/>
        <v>-0.30506099530831582</v>
      </c>
      <c r="AT132" s="308">
        <v>6.9</v>
      </c>
      <c r="AU132" s="289">
        <v>7.6</v>
      </c>
      <c r="AV132" s="289">
        <f>AU132-AT132</f>
        <v>0.69999999999999929</v>
      </c>
      <c r="AW132" s="307">
        <f t="shared" si="128"/>
        <v>0.11239089300832684</v>
      </c>
      <c r="AX132" s="308">
        <v>4909</v>
      </c>
      <c r="AY132" s="289">
        <v>6609</v>
      </c>
      <c r="AZ132" s="289">
        <f>AY132-AX132</f>
        <v>1700</v>
      </c>
      <c r="BA132" s="307">
        <f t="shared" si="129"/>
        <v>272.94931159165122</v>
      </c>
      <c r="BB132" s="308">
        <v>29.7</v>
      </c>
      <c r="BC132" s="289">
        <v>30.2</v>
      </c>
      <c r="BD132" s="289">
        <f>BC132-BB132</f>
        <v>0.5</v>
      </c>
      <c r="BE132" s="307">
        <f t="shared" si="130"/>
        <v>8.0279209291662115E-2</v>
      </c>
      <c r="BF132" s="308">
        <v>-23.2</v>
      </c>
      <c r="BG132" s="289">
        <v>-23.2</v>
      </c>
      <c r="BH132" s="289">
        <f>BG132-BF132</f>
        <v>0</v>
      </c>
      <c r="BI132" s="307">
        <f t="shared" si="131"/>
        <v>0</v>
      </c>
      <c r="BJ132" s="281">
        <v>93.044803999999999</v>
      </c>
      <c r="BK132" s="281">
        <v>93.044803999999999</v>
      </c>
      <c r="BL132" s="281">
        <f>BK132-BJ132</f>
        <v>0</v>
      </c>
      <c r="BM132" s="408">
        <v>-23.2</v>
      </c>
      <c r="BN132" s="458">
        <v>-23.2</v>
      </c>
      <c r="BO132" s="458">
        <f>BN132-BM132</f>
        <v>0</v>
      </c>
      <c r="BP132" s="408">
        <v>29.7</v>
      </c>
      <c r="BQ132" s="458">
        <v>30.2</v>
      </c>
      <c r="BR132" s="458">
        <f>BQ132-BP132</f>
        <v>0.5</v>
      </c>
      <c r="BS132" s="281"/>
      <c r="BT132" s="281"/>
      <c r="BU132" s="281"/>
      <c r="BV132" s="281"/>
      <c r="BW132" s="298" t="s">
        <v>855</v>
      </c>
      <c r="BX132" s="422">
        <v>10788.00595366</v>
      </c>
      <c r="BY132" s="422">
        <v>-6.9257210699999998</v>
      </c>
      <c r="BZ132" s="422">
        <v>1059.4275230200001</v>
      </c>
      <c r="CA132" s="422">
        <v>1138.26025319</v>
      </c>
      <c r="CB132" s="422">
        <v>6.3877446100000004</v>
      </c>
      <c r="CC132" s="422">
        <v>6.5094690699999997</v>
      </c>
      <c r="CD132" s="422">
        <v>-0.10517095</v>
      </c>
      <c r="CE132" s="422">
        <v>6.2283009600000003</v>
      </c>
      <c r="CF132" s="422">
        <v>6.2348582199999996</v>
      </c>
      <c r="CG132" s="422">
        <v>-1.79841871</v>
      </c>
      <c r="CH132" s="422">
        <v>-1.8699599499999999</v>
      </c>
      <c r="CI132" s="422">
        <v>0.34620529999999999</v>
      </c>
    </row>
    <row r="133" spans="1:87" ht="15" customHeight="1" x14ac:dyDescent="0.2">
      <c r="A133" s="297">
        <f t="shared" si="132"/>
        <v>62009029</v>
      </c>
      <c r="B133" s="297" t="s">
        <v>615</v>
      </c>
      <c r="C133" s="297" t="s">
        <v>635</v>
      </c>
      <c r="D133" s="326" t="s">
        <v>778</v>
      </c>
      <c r="E133" s="283" t="s">
        <v>883</v>
      </c>
      <c r="F133" s="310" t="str">
        <f t="shared" si="87"/>
        <v>09/18/20</v>
      </c>
      <c r="G133" s="298" t="s">
        <v>884</v>
      </c>
      <c r="H133" s="298" t="s">
        <v>775</v>
      </c>
      <c r="I133" s="306"/>
      <c r="J133" s="300">
        <f>AVERAGE(J131:J132)</f>
        <v>25.0270245</v>
      </c>
      <c r="K133" s="300">
        <f>AVERAGE(K131:K132)</f>
        <v>37.681032999999999</v>
      </c>
      <c r="L133" s="300">
        <f>AVERAGE(L131:L132)</f>
        <v>29.6278465</v>
      </c>
      <c r="M133" s="300">
        <f>AVERAGE(M131:M132)</f>
        <v>29.477679500000001</v>
      </c>
      <c r="N133" s="286"/>
      <c r="O133" s="284"/>
      <c r="P133" s="302"/>
      <c r="Q133" s="301"/>
      <c r="R133" s="287">
        <f>R132+R131</f>
        <v>7.9927229499999992</v>
      </c>
      <c r="S133" s="287">
        <f>S132</f>
        <v>7.9927229499999992</v>
      </c>
      <c r="T133" s="315">
        <f>T131</f>
        <v>93.044803999999999</v>
      </c>
      <c r="U133" s="315">
        <f>U132</f>
        <v>93.044803999999999</v>
      </c>
      <c r="V133" s="290">
        <f>V131</f>
        <v>4612</v>
      </c>
      <c r="W133" s="290">
        <f>W132</f>
        <v>6633</v>
      </c>
      <c r="X133" s="290">
        <f>SUM(X131:X132)</f>
        <v>2162</v>
      </c>
      <c r="Y133" s="290">
        <f t="shared" si="122"/>
        <v>270.49605166159301</v>
      </c>
      <c r="Z133" s="290">
        <f>Z131</f>
        <v>165.4</v>
      </c>
      <c r="AA133" s="290">
        <f>AA132</f>
        <v>188.4</v>
      </c>
      <c r="AB133" s="290">
        <f>SUM(AB131:AB132)</f>
        <v>27.799999999999983</v>
      </c>
      <c r="AC133" s="290">
        <f t="shared" si="123"/>
        <v>3.4781638465274196</v>
      </c>
      <c r="AD133" s="290">
        <f>AD131</f>
        <v>140.97</v>
      </c>
      <c r="AE133" s="290">
        <f>AE132</f>
        <v>160.66504900000001</v>
      </c>
      <c r="AF133" s="290">
        <f>SUM(AF131:AF132)</f>
        <v>23.810000000000002</v>
      </c>
      <c r="AG133" s="290">
        <f t="shared" si="124"/>
        <v>2.9789597548855369</v>
      </c>
      <c r="AH133" s="290">
        <f>AH131</f>
        <v>25.62</v>
      </c>
      <c r="AI133" s="290">
        <f>AI132</f>
        <v>25.93</v>
      </c>
      <c r="AJ133" s="290">
        <f>SUM(AJ131:AJ132)</f>
        <v>0.36999999999999744</v>
      </c>
      <c r="AK133" s="288">
        <f t="shared" si="125"/>
        <v>4.6292108748745946E-2</v>
      </c>
      <c r="AL133" s="290">
        <f>AL131</f>
        <v>-16.3</v>
      </c>
      <c r="AM133" s="290">
        <f>AM132</f>
        <v>-18.399999999999999</v>
      </c>
      <c r="AN133" s="290">
        <f>SUM(AN131:AN132)</f>
        <v>-2.5999999999999979</v>
      </c>
      <c r="AO133" s="288">
        <f t="shared" si="126"/>
        <v>-0.325295899315514</v>
      </c>
      <c r="AP133" s="290">
        <f>AP131</f>
        <v>-19.8</v>
      </c>
      <c r="AQ133" s="290">
        <f>AQ132</f>
        <v>-22.4</v>
      </c>
      <c r="AR133" s="290">
        <f>SUM(AR131:AR132)</f>
        <v>-3.1999999999999993</v>
      </c>
      <c r="AS133" s="288">
        <f t="shared" si="127"/>
        <v>-0.40036418377294059</v>
      </c>
      <c r="AT133" s="290">
        <f>AT131</f>
        <v>6.7</v>
      </c>
      <c r="AU133" s="290">
        <f>AU132</f>
        <v>7.6</v>
      </c>
      <c r="AV133" s="290">
        <f>SUM(AV131:AV132)</f>
        <v>1</v>
      </c>
      <c r="AW133" s="288">
        <f t="shared" si="128"/>
        <v>0.12511380742904396</v>
      </c>
      <c r="AX133" s="290">
        <f>AX131</f>
        <v>4587</v>
      </c>
      <c r="AY133" s="290">
        <f>AY132</f>
        <v>6609</v>
      </c>
      <c r="AZ133" s="290">
        <f>SUM(AZ131:AZ132)</f>
        <v>2163</v>
      </c>
      <c r="BA133" s="288">
        <f t="shared" si="129"/>
        <v>270.62116546902206</v>
      </c>
      <c r="BB133" s="290">
        <f>BB131</f>
        <v>29.5</v>
      </c>
      <c r="BC133" s="290">
        <f>BC132</f>
        <v>30.2</v>
      </c>
      <c r="BD133" s="290">
        <f>SUM(BD131:BD132)</f>
        <v>0.89999999999999858</v>
      </c>
      <c r="BE133" s="288">
        <f t="shared" si="130"/>
        <v>0.11260242668613937</v>
      </c>
      <c r="BF133" s="290">
        <f>BF131</f>
        <v>-23.2</v>
      </c>
      <c r="BG133" s="290">
        <f>BG132</f>
        <v>-23.2</v>
      </c>
      <c r="BH133" s="290">
        <f>SUM(BH131:BH132)</f>
        <v>0</v>
      </c>
      <c r="BI133" s="288">
        <f t="shared" si="131"/>
        <v>0</v>
      </c>
      <c r="BJ133" s="282"/>
      <c r="BK133" s="282"/>
      <c r="BL133" s="282">
        <f>SUM(BL131:BL132)</f>
        <v>0</v>
      </c>
      <c r="BM133" s="459">
        <f>BM131</f>
        <v>-23.2</v>
      </c>
      <c r="BN133" s="459">
        <f>BN132</f>
        <v>-23.2</v>
      </c>
      <c r="BO133" s="459">
        <f>SUM(BO131:BO132)</f>
        <v>0</v>
      </c>
      <c r="BP133" s="459">
        <f>BP131</f>
        <v>29.5</v>
      </c>
      <c r="BQ133" s="459">
        <f>BQ132</f>
        <v>30.2</v>
      </c>
      <c r="BR133" s="459">
        <f>SUM(BR131:BR132)</f>
        <v>0.89999999999999858</v>
      </c>
      <c r="BS133" s="282"/>
      <c r="BT133" s="282"/>
      <c r="BU133" s="282"/>
      <c r="BV133" s="282"/>
      <c r="BW133" s="298" t="s">
        <v>855</v>
      </c>
    </row>
    <row r="134" spans="1:87" ht="15" customHeight="1" x14ac:dyDescent="0.2">
      <c r="A134" s="423">
        <v>62009030</v>
      </c>
      <c r="B134" s="297" t="s">
        <v>808</v>
      </c>
      <c r="C134" s="297" t="s">
        <v>626</v>
      </c>
      <c r="D134" s="326" t="s">
        <v>885</v>
      </c>
      <c r="E134" s="283" t="s">
        <v>886</v>
      </c>
      <c r="F134" s="310" t="str">
        <f t="shared" si="87"/>
        <v>09/18/20</v>
      </c>
      <c r="G134" s="298" t="s">
        <v>887</v>
      </c>
      <c r="H134" s="298" t="s">
        <v>775</v>
      </c>
      <c r="I134" s="306"/>
      <c r="J134" s="299">
        <v>18.589345999999999</v>
      </c>
      <c r="K134" s="299">
        <v>56.180216999999999</v>
      </c>
      <c r="L134" s="299">
        <v>29.616665999999999</v>
      </c>
      <c r="M134" s="299">
        <v>28.680755999999999</v>
      </c>
      <c r="N134" s="284">
        <v>3875</v>
      </c>
      <c r="O134" s="284">
        <v>28.39</v>
      </c>
      <c r="P134" s="284">
        <v>0.20169999999999999</v>
      </c>
      <c r="Q134" s="284">
        <v>1.932E-2</v>
      </c>
      <c r="R134" s="285">
        <v>1.9078204299999999</v>
      </c>
      <c r="S134" s="285">
        <f t="shared" ref="S134:S141" si="133">R134+R133</f>
        <v>9.9005433799999985</v>
      </c>
      <c r="T134" s="314">
        <v>88.448792999999995</v>
      </c>
      <c r="U134" s="314">
        <v>88.071895999999995</v>
      </c>
      <c r="V134" s="289">
        <v>6777</v>
      </c>
      <c r="W134" s="289">
        <v>7054</v>
      </c>
      <c r="X134" s="289">
        <f t="shared" ref="X134:X141" si="134">W134-V134</f>
        <v>277</v>
      </c>
      <c r="Y134" s="289">
        <f t="shared" si="122"/>
        <v>145.19186168899554</v>
      </c>
      <c r="Z134" s="308">
        <v>195.7</v>
      </c>
      <c r="AA134" s="289">
        <v>222.5</v>
      </c>
      <c r="AB134" s="289">
        <f t="shared" ref="AB134:AB141" si="135">AA134-Z134</f>
        <v>26.800000000000011</v>
      </c>
      <c r="AC134" s="289">
        <f t="shared" si="123"/>
        <v>14.047443657996688</v>
      </c>
      <c r="AD134" s="308">
        <v>166.95056600000001</v>
      </c>
      <c r="AE134" s="289">
        <v>189.96497199999999</v>
      </c>
      <c r="AF134" s="289">
        <f t="shared" ref="AF134:AF141" si="136">AE134-AD134</f>
        <v>23.01440599999998</v>
      </c>
      <c r="AG134" s="289">
        <f t="shared" si="124"/>
        <v>12.063192970420168</v>
      </c>
      <c r="AH134" s="308">
        <v>33.384717000000002</v>
      </c>
      <c r="AI134" s="289">
        <v>33.32</v>
      </c>
      <c r="AJ134" s="289">
        <f t="shared" ref="AJ134:AJ141" si="137">AI134-AH134</f>
        <v>-6.471700000000169E-2</v>
      </c>
      <c r="AK134" s="307">
        <f t="shared" si="125"/>
        <v>-3.3921955642335633E-2</v>
      </c>
      <c r="AL134" s="308">
        <v>-19</v>
      </c>
      <c r="AM134" s="289">
        <v>-21.5</v>
      </c>
      <c r="AN134" s="289">
        <f t="shared" ref="AN134:AN141" si="138">AM134-AL134</f>
        <v>-2.5</v>
      </c>
      <c r="AO134" s="307">
        <f t="shared" si="126"/>
        <v>-1.3103958636190933</v>
      </c>
      <c r="AP134" s="308">
        <v>-22.9</v>
      </c>
      <c r="AQ134" s="289">
        <v>-26</v>
      </c>
      <c r="AR134" s="289">
        <f t="shared" ref="AR134:AR141" si="139">AQ134-AP134</f>
        <v>-3.1000000000000014</v>
      </c>
      <c r="AS134" s="307">
        <f t="shared" si="127"/>
        <v>-1.6248908708876766</v>
      </c>
      <c r="AT134" s="308">
        <v>7.8</v>
      </c>
      <c r="AU134" s="289">
        <v>8.8000000000000007</v>
      </c>
      <c r="AV134" s="289">
        <f t="shared" ref="AV134:AV141" si="140">AU134-AT134</f>
        <v>1.0000000000000009</v>
      </c>
      <c r="AW134" s="307">
        <f t="shared" si="128"/>
        <v>0.52415834544763784</v>
      </c>
      <c r="AX134" s="308">
        <v>6753</v>
      </c>
      <c r="AY134" s="289">
        <v>7029</v>
      </c>
      <c r="AZ134" s="289">
        <f t="shared" ref="AZ134:AZ141" si="141">AY134-AX134</f>
        <v>276</v>
      </c>
      <c r="BA134" s="307">
        <f t="shared" si="129"/>
        <v>144.66770334354791</v>
      </c>
      <c r="BB134" s="308">
        <v>30.9</v>
      </c>
      <c r="BC134" s="289">
        <v>31.7</v>
      </c>
      <c r="BD134" s="289">
        <f t="shared" ref="BD134:BD141" si="142">BC134-BB134</f>
        <v>0.80000000000000071</v>
      </c>
      <c r="BE134" s="307">
        <f t="shared" si="130"/>
        <v>0.41932667635811027</v>
      </c>
      <c r="BF134" s="308">
        <v>-23.2</v>
      </c>
      <c r="BG134" s="289">
        <v>-23.2</v>
      </c>
      <c r="BH134" s="289">
        <f t="shared" ref="BH134:BH141" si="143">BG134-BF134</f>
        <v>0</v>
      </c>
      <c r="BI134" s="307">
        <f t="shared" si="131"/>
        <v>0</v>
      </c>
      <c r="BJ134" s="281">
        <v>88.448792999999995</v>
      </c>
      <c r="BK134" s="281">
        <v>88.071895999999995</v>
      </c>
      <c r="BL134" s="281">
        <f t="shared" ref="BL134:BL141" si="144">BK134-BJ134</f>
        <v>-0.37689699999999959</v>
      </c>
      <c r="BM134" s="408">
        <v>-23.2</v>
      </c>
      <c r="BN134" s="458">
        <v>-23.2</v>
      </c>
      <c r="BO134" s="458">
        <f t="shared" ref="BO134:BO141" si="145">BN134-BM134</f>
        <v>0</v>
      </c>
      <c r="BP134" s="408">
        <v>30.9</v>
      </c>
      <c r="BQ134" s="458">
        <v>31.7</v>
      </c>
      <c r="BR134" s="458">
        <f t="shared" ref="BR134:BR141" si="146">BQ134-BP134</f>
        <v>0.80000000000000071</v>
      </c>
      <c r="BS134" s="281"/>
      <c r="BT134" s="281"/>
      <c r="BU134" s="281"/>
      <c r="BV134" s="281"/>
      <c r="BW134" s="298" t="s">
        <v>855</v>
      </c>
      <c r="BX134" s="422">
        <v>1001.86798311</v>
      </c>
      <c r="BY134" s="422">
        <v>-3.3288546299999999</v>
      </c>
      <c r="BZ134" s="422">
        <v>1932.56641199</v>
      </c>
      <c r="CA134" s="422">
        <v>1999.1140113199999</v>
      </c>
      <c r="CB134" s="422">
        <v>1.4101133800000001</v>
      </c>
      <c r="CC134" s="422">
        <v>1.45195798</v>
      </c>
      <c r="CD134" s="422">
        <v>-0.34546913000000001</v>
      </c>
      <c r="CE134" s="422">
        <v>1.9076972299999999</v>
      </c>
      <c r="CF134" s="422">
        <v>1.9143105899999999</v>
      </c>
      <c r="CG134" s="422">
        <v>-2.61174274</v>
      </c>
      <c r="CH134" s="422">
        <v>-2.8819429400000001</v>
      </c>
      <c r="CI134" s="422">
        <v>0.79371926000000004</v>
      </c>
    </row>
    <row r="135" spans="1:87" ht="15" customHeight="1" x14ac:dyDescent="0.2">
      <c r="A135" s="423">
        <v>62009030</v>
      </c>
      <c r="B135" s="297" t="s">
        <v>808</v>
      </c>
      <c r="C135" s="297" t="s">
        <v>627</v>
      </c>
      <c r="D135" s="326" t="s">
        <v>885</v>
      </c>
      <c r="E135" s="283" t="s">
        <v>886</v>
      </c>
      <c r="F135" s="310" t="str">
        <f t="shared" si="87"/>
        <v>09/18/20</v>
      </c>
      <c r="G135" s="298" t="s">
        <v>887</v>
      </c>
      <c r="H135" s="298" t="s">
        <v>775</v>
      </c>
      <c r="I135" s="306"/>
      <c r="J135" s="299">
        <v>20.667515000000002</v>
      </c>
      <c r="K135" s="299">
        <v>54.993158000000001</v>
      </c>
      <c r="L135" s="299">
        <v>29.620132999999999</v>
      </c>
      <c r="M135" s="299">
        <v>27.313023999999999</v>
      </c>
      <c r="N135" s="284">
        <v>3875</v>
      </c>
      <c r="O135" s="284">
        <v>28.39</v>
      </c>
      <c r="P135" s="284">
        <v>0.20169999999999999</v>
      </c>
      <c r="Q135" s="284">
        <v>1.932E-2</v>
      </c>
      <c r="R135" s="285">
        <v>2.9450897500000002</v>
      </c>
      <c r="S135" s="285">
        <f t="shared" si="133"/>
        <v>4.8529101800000003</v>
      </c>
      <c r="T135" s="314">
        <v>88.071895999999995</v>
      </c>
      <c r="U135" s="314">
        <v>87.423389</v>
      </c>
      <c r="V135" s="289">
        <v>7054</v>
      </c>
      <c r="W135" s="289">
        <v>7528</v>
      </c>
      <c r="X135" s="289">
        <f t="shared" si="134"/>
        <v>474</v>
      </c>
      <c r="Y135" s="289">
        <f t="shared" si="122"/>
        <v>160.94585912025261</v>
      </c>
      <c r="Z135" s="308">
        <v>222.5</v>
      </c>
      <c r="AA135" s="289">
        <v>242</v>
      </c>
      <c r="AB135" s="289">
        <f t="shared" si="135"/>
        <v>19.5</v>
      </c>
      <c r="AC135" s="289">
        <f t="shared" si="123"/>
        <v>6.6211904068458347</v>
      </c>
      <c r="AD135" s="308">
        <v>189.97</v>
      </c>
      <c r="AE135" s="289">
        <v>206.69</v>
      </c>
      <c r="AF135" s="289">
        <f t="shared" si="136"/>
        <v>16.72</v>
      </c>
      <c r="AG135" s="289">
        <f t="shared" si="124"/>
        <v>5.6772463385878131</v>
      </c>
      <c r="AH135" s="308">
        <v>33.32</v>
      </c>
      <c r="AI135" s="289">
        <v>33.46</v>
      </c>
      <c r="AJ135" s="289">
        <f t="shared" si="137"/>
        <v>0.14000000000000057</v>
      </c>
      <c r="AK135" s="307">
        <f t="shared" si="125"/>
        <v>4.7536751638893371E-2</v>
      </c>
      <c r="AL135" s="308">
        <v>-21.5</v>
      </c>
      <c r="AM135" s="289">
        <v>-23.4</v>
      </c>
      <c r="AN135" s="289">
        <f t="shared" si="138"/>
        <v>-1.8999999999999986</v>
      </c>
      <c r="AO135" s="307">
        <f t="shared" si="126"/>
        <v>-0.64514162938497832</v>
      </c>
      <c r="AP135" s="308">
        <v>-26</v>
      </c>
      <c r="AQ135" s="289">
        <v>-28.2</v>
      </c>
      <c r="AR135" s="289">
        <f t="shared" si="139"/>
        <v>-2.1999999999999993</v>
      </c>
      <c r="AS135" s="307">
        <f t="shared" si="127"/>
        <v>-0.7470060971826068</v>
      </c>
      <c r="AT135" s="308">
        <v>8.8000000000000007</v>
      </c>
      <c r="AU135" s="289">
        <v>9.6</v>
      </c>
      <c r="AV135" s="289">
        <f t="shared" si="140"/>
        <v>0.79999999999999893</v>
      </c>
      <c r="AW135" s="307">
        <f t="shared" si="128"/>
        <v>0.27163858079367492</v>
      </c>
      <c r="AX135" s="308">
        <v>7029</v>
      </c>
      <c r="AY135" s="289">
        <v>7502</v>
      </c>
      <c r="AZ135" s="289">
        <f t="shared" si="141"/>
        <v>473</v>
      </c>
      <c r="BA135" s="307">
        <f t="shared" si="129"/>
        <v>160.6063108942605</v>
      </c>
      <c r="BB135" s="308">
        <v>31.7</v>
      </c>
      <c r="BC135" s="289">
        <v>32.299999999999997</v>
      </c>
      <c r="BD135" s="289">
        <f t="shared" si="142"/>
        <v>0.59999999999999787</v>
      </c>
      <c r="BE135" s="307">
        <f t="shared" si="130"/>
        <v>0.20372893559525573</v>
      </c>
      <c r="BF135" s="308">
        <v>-23.2</v>
      </c>
      <c r="BG135" s="289">
        <v>-23.2</v>
      </c>
      <c r="BH135" s="289">
        <f t="shared" si="143"/>
        <v>0</v>
      </c>
      <c r="BI135" s="307">
        <f t="shared" si="131"/>
        <v>0</v>
      </c>
      <c r="BJ135" s="281">
        <v>88.071895999999995</v>
      </c>
      <c r="BK135" s="281">
        <v>87.423389</v>
      </c>
      <c r="BL135" s="281">
        <f t="shared" si="144"/>
        <v>-0.64850699999999506</v>
      </c>
      <c r="BM135" s="408">
        <v>-23.2</v>
      </c>
      <c r="BN135" s="458">
        <v>-23.2</v>
      </c>
      <c r="BO135" s="458">
        <f t="shared" si="145"/>
        <v>0</v>
      </c>
      <c r="BP135" s="408">
        <v>31.7</v>
      </c>
      <c r="BQ135" s="458">
        <v>32.299999999999997</v>
      </c>
      <c r="BR135" s="458">
        <f t="shared" si="146"/>
        <v>0.59999999999999787</v>
      </c>
      <c r="BS135" s="281"/>
      <c r="BT135" s="281"/>
      <c r="BU135" s="281"/>
      <c r="BV135" s="281"/>
      <c r="BW135" s="298" t="s">
        <v>855</v>
      </c>
      <c r="BX135" s="422">
        <v>1966.37318134</v>
      </c>
      <c r="BY135" s="422">
        <v>-3.7233685599999999</v>
      </c>
      <c r="BZ135" s="422">
        <v>1788.73115732</v>
      </c>
      <c r="CA135" s="422">
        <v>1857.9079165400001</v>
      </c>
      <c r="CB135" s="422">
        <v>2.40583905</v>
      </c>
      <c r="CC135" s="422">
        <v>2.4524235499999998</v>
      </c>
      <c r="CD135" s="422">
        <v>-0.10992992</v>
      </c>
      <c r="CE135" s="422">
        <v>2.94507699</v>
      </c>
      <c r="CF135" s="422">
        <v>2.94831807</v>
      </c>
      <c r="CG135" s="422">
        <v>-1.8242516900000001</v>
      </c>
      <c r="CH135" s="422">
        <v>-1.89952941</v>
      </c>
      <c r="CI135" s="422">
        <v>0.68639841999999995</v>
      </c>
    </row>
    <row r="136" spans="1:87" ht="15" customHeight="1" x14ac:dyDescent="0.2">
      <c r="A136" s="423">
        <v>62009030</v>
      </c>
      <c r="B136" s="297" t="s">
        <v>809</v>
      </c>
      <c r="C136" s="297" t="s">
        <v>629</v>
      </c>
      <c r="D136" s="326" t="s">
        <v>885</v>
      </c>
      <c r="E136" s="283" t="s">
        <v>886</v>
      </c>
      <c r="F136" s="310" t="str">
        <f t="shared" si="87"/>
        <v>09/18/20</v>
      </c>
      <c r="G136" s="298" t="s">
        <v>887</v>
      </c>
      <c r="H136" s="298" t="s">
        <v>775</v>
      </c>
      <c r="I136" s="306"/>
      <c r="J136" s="299">
        <v>24.041689000000002</v>
      </c>
      <c r="K136" s="299">
        <v>42.529113000000002</v>
      </c>
      <c r="L136" s="299">
        <v>29.630814999999998</v>
      </c>
      <c r="M136" s="299">
        <v>28.723485</v>
      </c>
      <c r="N136" s="284">
        <v>3875</v>
      </c>
      <c r="O136" s="284">
        <v>28.39</v>
      </c>
      <c r="P136" s="284">
        <v>0.20169999999999999</v>
      </c>
      <c r="Q136" s="284">
        <v>1.932E-2</v>
      </c>
      <c r="R136" s="285">
        <v>4.3829438999999999</v>
      </c>
      <c r="S136" s="285">
        <f t="shared" si="133"/>
        <v>7.3280336500000001</v>
      </c>
      <c r="T136" s="314">
        <v>87.423389</v>
      </c>
      <c r="U136" s="314">
        <v>86.28049</v>
      </c>
      <c r="V136" s="289">
        <v>7528</v>
      </c>
      <c r="W136" s="289">
        <v>8364</v>
      </c>
      <c r="X136" s="289">
        <f t="shared" si="134"/>
        <v>836</v>
      </c>
      <c r="Y136" s="289">
        <f t="shared" si="122"/>
        <v>190.73937952981785</v>
      </c>
      <c r="Z136" s="308">
        <v>242</v>
      </c>
      <c r="AA136" s="289">
        <v>262.8</v>
      </c>
      <c r="AB136" s="289">
        <f t="shared" si="135"/>
        <v>20.800000000000011</v>
      </c>
      <c r="AC136" s="289">
        <f t="shared" si="123"/>
        <v>4.7456687729906859</v>
      </c>
      <c r="AD136" s="308">
        <v>206.7</v>
      </c>
      <c r="AE136" s="289">
        <v>224.55</v>
      </c>
      <c r="AF136" s="289">
        <f t="shared" si="136"/>
        <v>17.850000000000023</v>
      </c>
      <c r="AG136" s="289">
        <f t="shared" si="124"/>
        <v>4.0726051729751829</v>
      </c>
      <c r="AH136" s="308">
        <v>33.46</v>
      </c>
      <c r="AI136" s="289">
        <v>33.590000000000003</v>
      </c>
      <c r="AJ136" s="289">
        <f t="shared" si="137"/>
        <v>0.13000000000000256</v>
      </c>
      <c r="AK136" s="307">
        <f t="shared" si="125"/>
        <v>2.9660429831192353E-2</v>
      </c>
      <c r="AL136" s="308">
        <v>-23.4</v>
      </c>
      <c r="AM136" s="289">
        <v>-25.3</v>
      </c>
      <c r="AN136" s="289">
        <f t="shared" si="138"/>
        <v>-1.9000000000000021</v>
      </c>
      <c r="AO136" s="307">
        <f t="shared" si="126"/>
        <v>-0.43349858984049561</v>
      </c>
      <c r="AP136" s="308">
        <v>-28.2</v>
      </c>
      <c r="AQ136" s="289">
        <v>-30.6</v>
      </c>
      <c r="AR136" s="289">
        <f t="shared" si="139"/>
        <v>-2.4000000000000021</v>
      </c>
      <c r="AS136" s="307">
        <f t="shared" si="127"/>
        <v>-0.54757716611431007</v>
      </c>
      <c r="AT136" s="308">
        <v>9.6</v>
      </c>
      <c r="AU136" s="289">
        <v>10.3</v>
      </c>
      <c r="AV136" s="289">
        <f t="shared" si="140"/>
        <v>0.70000000000000107</v>
      </c>
      <c r="AW136" s="307">
        <f t="shared" si="128"/>
        <v>0.15971000678334055</v>
      </c>
      <c r="AX136" s="308">
        <v>7502</v>
      </c>
      <c r="AY136" s="289">
        <v>8337</v>
      </c>
      <c r="AZ136" s="289">
        <f t="shared" si="141"/>
        <v>835</v>
      </c>
      <c r="BA136" s="307">
        <f t="shared" si="129"/>
        <v>190.51122237727023</v>
      </c>
      <c r="BB136" s="308">
        <v>32.299999999999997</v>
      </c>
      <c r="BC136" s="289">
        <v>32.9</v>
      </c>
      <c r="BD136" s="289">
        <f t="shared" si="142"/>
        <v>0.60000000000000142</v>
      </c>
      <c r="BE136" s="307">
        <f t="shared" si="130"/>
        <v>0.13689429152857774</v>
      </c>
      <c r="BF136" s="308">
        <v>-23.2</v>
      </c>
      <c r="BG136" s="289">
        <v>-23.2</v>
      </c>
      <c r="BH136" s="289">
        <f t="shared" si="143"/>
        <v>0</v>
      </c>
      <c r="BI136" s="307">
        <f t="shared" si="131"/>
        <v>0</v>
      </c>
      <c r="BJ136" s="281">
        <v>87.423389</v>
      </c>
      <c r="BK136" s="281">
        <v>86.28049</v>
      </c>
      <c r="BL136" s="281">
        <f t="shared" si="144"/>
        <v>-1.1428989999999999</v>
      </c>
      <c r="BM136" s="408">
        <v>-23.2</v>
      </c>
      <c r="BN136" s="458">
        <v>-23.2</v>
      </c>
      <c r="BO136" s="458">
        <f t="shared" si="145"/>
        <v>0</v>
      </c>
      <c r="BP136" s="408">
        <v>32.299999999999997</v>
      </c>
      <c r="BQ136" s="458">
        <v>32.9</v>
      </c>
      <c r="BR136" s="458">
        <f t="shared" si="146"/>
        <v>0.60000000000000142</v>
      </c>
      <c r="BS136" s="281"/>
      <c r="BT136" s="281"/>
      <c r="BU136" s="281"/>
      <c r="BV136" s="281"/>
      <c r="BW136" s="298" t="s">
        <v>855</v>
      </c>
      <c r="BX136" s="422">
        <v>1731.2291609500001</v>
      </c>
      <c r="BY136" s="422">
        <v>-2.78798251</v>
      </c>
      <c r="BZ136" s="422">
        <v>1581.89575092</v>
      </c>
      <c r="CA136" s="422">
        <v>1627.26357482</v>
      </c>
      <c r="CB136" s="422">
        <v>3.4653572399999999</v>
      </c>
      <c r="CC136" s="422">
        <v>3.5123426900000001</v>
      </c>
      <c r="CD136" s="422">
        <v>-0.10595945</v>
      </c>
      <c r="CE136" s="422">
        <v>4.3829618699999999</v>
      </c>
      <c r="CF136" s="422">
        <v>4.3876109599999999</v>
      </c>
      <c r="CG136" s="422">
        <v>-1.24846547</v>
      </c>
      <c r="CH136" s="422">
        <v>-1.3377239000000001</v>
      </c>
      <c r="CI136" s="422">
        <v>0.49641646</v>
      </c>
    </row>
    <row r="137" spans="1:87" ht="15" customHeight="1" x14ac:dyDescent="0.2">
      <c r="A137" s="423">
        <v>62009030</v>
      </c>
      <c r="B137" s="297" t="s">
        <v>809</v>
      </c>
      <c r="C137" s="297" t="s">
        <v>630</v>
      </c>
      <c r="D137" s="326" t="s">
        <v>885</v>
      </c>
      <c r="E137" s="283" t="s">
        <v>886</v>
      </c>
      <c r="F137" s="310" t="str">
        <f t="shared" si="87"/>
        <v>09/18/20</v>
      </c>
      <c r="G137" s="298" t="s">
        <v>887</v>
      </c>
      <c r="H137" s="298" t="s">
        <v>775</v>
      </c>
      <c r="I137" s="306"/>
      <c r="J137" s="299">
        <v>25.853321000000001</v>
      </c>
      <c r="K137" s="299">
        <v>35.363131000000003</v>
      </c>
      <c r="L137" s="299">
        <v>29.647933999999999</v>
      </c>
      <c r="M137" s="299">
        <v>30.107296000000002</v>
      </c>
      <c r="N137" s="284">
        <v>3875</v>
      </c>
      <c r="O137" s="284">
        <v>28.39</v>
      </c>
      <c r="P137" s="284">
        <v>0.20169999999999999</v>
      </c>
      <c r="Q137" s="284">
        <v>1.932E-2</v>
      </c>
      <c r="R137" s="285">
        <v>5.1241984599999997</v>
      </c>
      <c r="S137" s="285">
        <f t="shared" si="133"/>
        <v>9.5071423599999996</v>
      </c>
      <c r="T137" s="314">
        <v>86.28049</v>
      </c>
      <c r="U137" s="314">
        <v>84.293768</v>
      </c>
      <c r="V137" s="289">
        <v>8364</v>
      </c>
      <c r="W137" s="289">
        <v>9808</v>
      </c>
      <c r="X137" s="289">
        <f t="shared" si="134"/>
        <v>1444</v>
      </c>
      <c r="Y137" s="289">
        <f t="shared" si="122"/>
        <v>281.80017055779689</v>
      </c>
      <c r="Z137" s="308">
        <v>262.8</v>
      </c>
      <c r="AA137" s="289">
        <v>277.7</v>
      </c>
      <c r="AB137" s="289">
        <f t="shared" si="135"/>
        <v>14.899999999999977</v>
      </c>
      <c r="AC137" s="289">
        <f t="shared" si="123"/>
        <v>2.9077718430132737</v>
      </c>
      <c r="AD137" s="308">
        <v>224.55456000000001</v>
      </c>
      <c r="AE137" s="289">
        <v>237.39</v>
      </c>
      <c r="AF137" s="289">
        <f t="shared" si="136"/>
        <v>12.835439999999977</v>
      </c>
      <c r="AG137" s="289">
        <f t="shared" si="124"/>
        <v>2.5048678540057909</v>
      </c>
      <c r="AH137" s="308">
        <v>33.590000000000003</v>
      </c>
      <c r="AI137" s="289">
        <v>33.67</v>
      </c>
      <c r="AJ137" s="289">
        <f t="shared" si="137"/>
        <v>7.9999999999998295E-2</v>
      </c>
      <c r="AK137" s="307">
        <f t="shared" si="125"/>
        <v>1.5612197814836059E-2</v>
      </c>
      <c r="AL137" s="308">
        <v>-25.3</v>
      </c>
      <c r="AM137" s="289">
        <v>-26.7</v>
      </c>
      <c r="AN137" s="289">
        <f t="shared" si="138"/>
        <v>-1.3999999999999986</v>
      </c>
      <c r="AO137" s="307">
        <f t="shared" si="126"/>
        <v>-0.27321346175963657</v>
      </c>
      <c r="AP137" s="308">
        <v>-30.6</v>
      </c>
      <c r="AQ137" s="289">
        <v>-32.200000000000003</v>
      </c>
      <c r="AR137" s="289">
        <f t="shared" si="139"/>
        <v>-1.6000000000000014</v>
      </c>
      <c r="AS137" s="307">
        <f t="shared" si="127"/>
        <v>-0.31224395629672813</v>
      </c>
      <c r="AT137" s="308">
        <v>10.3</v>
      </c>
      <c r="AU137" s="289">
        <v>10.9</v>
      </c>
      <c r="AV137" s="289">
        <f t="shared" si="140"/>
        <v>0.59999999999999964</v>
      </c>
      <c r="AW137" s="307">
        <f t="shared" si="128"/>
        <v>0.11709148361127288</v>
      </c>
      <c r="AX137" s="308">
        <v>8337</v>
      </c>
      <c r="AY137" s="289">
        <v>9782</v>
      </c>
      <c r="AZ137" s="289">
        <f t="shared" si="141"/>
        <v>1445</v>
      </c>
      <c r="BA137" s="307">
        <f t="shared" si="129"/>
        <v>281.99532303048233</v>
      </c>
      <c r="BB137" s="308">
        <v>32.9</v>
      </c>
      <c r="BC137" s="289">
        <v>33.4</v>
      </c>
      <c r="BD137" s="289">
        <f t="shared" si="142"/>
        <v>0.5</v>
      </c>
      <c r="BE137" s="307">
        <f t="shared" si="130"/>
        <v>9.7576236342727454E-2</v>
      </c>
      <c r="BF137" s="308">
        <v>-23.2</v>
      </c>
      <c r="BG137" s="289">
        <v>-23.2</v>
      </c>
      <c r="BH137" s="289">
        <f t="shared" si="143"/>
        <v>0</v>
      </c>
      <c r="BI137" s="307">
        <f t="shared" si="131"/>
        <v>0</v>
      </c>
      <c r="BJ137" s="281">
        <v>86.28049</v>
      </c>
      <c r="BK137" s="281">
        <v>84.293768</v>
      </c>
      <c r="BL137" s="281">
        <f t="shared" si="144"/>
        <v>-1.9867220000000003</v>
      </c>
      <c r="BM137" s="408">
        <v>-23.2</v>
      </c>
      <c r="BN137" s="458">
        <v>-23.2</v>
      </c>
      <c r="BO137" s="458">
        <f t="shared" si="145"/>
        <v>0</v>
      </c>
      <c r="BP137" s="408">
        <v>32.9</v>
      </c>
      <c r="BQ137" s="458">
        <v>33.4</v>
      </c>
      <c r="BR137" s="458">
        <f t="shared" si="146"/>
        <v>0.5</v>
      </c>
      <c r="BS137" s="281"/>
      <c r="BT137" s="281"/>
      <c r="BU137" s="281"/>
      <c r="BV137" s="281"/>
      <c r="BW137" s="298" t="s">
        <v>855</v>
      </c>
      <c r="BX137" s="422">
        <v>1516.52947109</v>
      </c>
      <c r="BY137" s="422">
        <v>0.37419522</v>
      </c>
      <c r="BZ137" s="422">
        <v>997.10067790000005</v>
      </c>
      <c r="CA137" s="422">
        <v>993.38348441000005</v>
      </c>
      <c r="CB137" s="422">
        <v>5.4544716900000001</v>
      </c>
      <c r="CC137" s="422">
        <v>5.45828852</v>
      </c>
      <c r="CD137" s="422">
        <v>-8.9880360000000006E-2</v>
      </c>
      <c r="CE137" s="422">
        <v>5.1242228499999998</v>
      </c>
      <c r="CF137" s="422">
        <v>5.1288326700000004</v>
      </c>
      <c r="CG137" s="422">
        <v>1.996707E-2</v>
      </c>
      <c r="CH137" s="422">
        <v>-6.9927249999999996E-2</v>
      </c>
      <c r="CI137" s="422">
        <v>0.33763728999999998</v>
      </c>
    </row>
    <row r="138" spans="1:87" ht="15" customHeight="1" x14ac:dyDescent="0.2">
      <c r="A138" s="423">
        <v>62009030</v>
      </c>
      <c r="B138" s="297" t="s">
        <v>809</v>
      </c>
      <c r="C138" s="297" t="s">
        <v>631</v>
      </c>
      <c r="D138" s="326" t="s">
        <v>885</v>
      </c>
      <c r="E138" s="283" t="s">
        <v>886</v>
      </c>
      <c r="F138" s="310" t="str">
        <f t="shared" si="87"/>
        <v>09/18/20</v>
      </c>
      <c r="G138" s="298" t="s">
        <v>887</v>
      </c>
      <c r="H138" s="298" t="s">
        <v>775</v>
      </c>
      <c r="I138" s="306"/>
      <c r="J138" s="299">
        <v>20.092686</v>
      </c>
      <c r="K138" s="299">
        <v>49.557240999999998</v>
      </c>
      <c r="L138" s="299">
        <v>29.627559000000002</v>
      </c>
      <c r="M138" s="299">
        <v>30.373232000000002</v>
      </c>
      <c r="N138" s="284">
        <v>3875</v>
      </c>
      <c r="O138" s="284">
        <v>28.39</v>
      </c>
      <c r="P138" s="284">
        <v>0.20169999999999999</v>
      </c>
      <c r="Q138" s="284">
        <v>1.932E-2</v>
      </c>
      <c r="R138" s="285">
        <v>1.90774621</v>
      </c>
      <c r="S138" s="285">
        <f t="shared" si="133"/>
        <v>7.0319446699999997</v>
      </c>
      <c r="T138" s="314">
        <v>84.292242000000002</v>
      </c>
      <c r="U138" s="314">
        <v>83.919922</v>
      </c>
      <c r="V138" s="289">
        <v>9809</v>
      </c>
      <c r="W138" s="289">
        <v>10079</v>
      </c>
      <c r="X138" s="289">
        <f t="shared" si="134"/>
        <v>270</v>
      </c>
      <c r="Y138" s="289">
        <f t="shared" si="122"/>
        <v>141.52825914931316</v>
      </c>
      <c r="Z138" s="308">
        <v>278.5</v>
      </c>
      <c r="AA138" s="289">
        <v>304.5</v>
      </c>
      <c r="AB138" s="289">
        <f t="shared" si="135"/>
        <v>26</v>
      </c>
      <c r="AC138" s="289">
        <f t="shared" si="123"/>
        <v>13.628647177341268</v>
      </c>
      <c r="AD138" s="308">
        <v>238.09</v>
      </c>
      <c r="AE138" s="289">
        <v>260.32</v>
      </c>
      <c r="AF138" s="289">
        <f t="shared" si="136"/>
        <v>22.22999999999999</v>
      </c>
      <c r="AG138" s="289">
        <f t="shared" si="124"/>
        <v>11.652493336626778</v>
      </c>
      <c r="AH138" s="308">
        <v>33.68</v>
      </c>
      <c r="AI138" s="289">
        <v>33.799999999999997</v>
      </c>
      <c r="AJ138" s="289">
        <f t="shared" si="137"/>
        <v>0.11999999999999744</v>
      </c>
      <c r="AK138" s="307">
        <f t="shared" si="125"/>
        <v>6.2901448510804508E-2</v>
      </c>
      <c r="AL138" s="308">
        <v>-26.8</v>
      </c>
      <c r="AM138" s="289">
        <v>-29.3</v>
      </c>
      <c r="AN138" s="289">
        <f t="shared" si="138"/>
        <v>-2.5</v>
      </c>
      <c r="AO138" s="307">
        <f t="shared" si="126"/>
        <v>-1.3104468439751218</v>
      </c>
      <c r="AP138" s="308">
        <v>-32.299999999999997</v>
      </c>
      <c r="AQ138" s="289">
        <v>-35.4</v>
      </c>
      <c r="AR138" s="289">
        <f t="shared" si="139"/>
        <v>-3.1000000000000014</v>
      </c>
      <c r="AS138" s="307">
        <f t="shared" si="127"/>
        <v>-1.6249540865291519</v>
      </c>
      <c r="AT138" s="308">
        <v>10.9</v>
      </c>
      <c r="AU138" s="289">
        <v>11.9</v>
      </c>
      <c r="AV138" s="289">
        <f t="shared" si="140"/>
        <v>1</v>
      </c>
      <c r="AW138" s="307">
        <f t="shared" si="128"/>
        <v>0.52417873759004874</v>
      </c>
      <c r="AX138" s="308">
        <v>9782</v>
      </c>
      <c r="AY138" s="289">
        <v>10051</v>
      </c>
      <c r="AZ138" s="289">
        <f t="shared" si="141"/>
        <v>269</v>
      </c>
      <c r="BA138" s="307">
        <f t="shared" si="129"/>
        <v>141.00408041172309</v>
      </c>
      <c r="BB138" s="308">
        <v>33.4</v>
      </c>
      <c r="BC138" s="289">
        <v>34.200000000000003</v>
      </c>
      <c r="BD138" s="289">
        <f t="shared" si="142"/>
        <v>0.80000000000000426</v>
      </c>
      <c r="BE138" s="307">
        <f t="shared" si="130"/>
        <v>0.41934299007204123</v>
      </c>
      <c r="BF138" s="308">
        <v>-23.2</v>
      </c>
      <c r="BG138" s="289">
        <v>-23.2</v>
      </c>
      <c r="BH138" s="289">
        <f t="shared" si="143"/>
        <v>0</v>
      </c>
      <c r="BI138" s="307">
        <f t="shared" si="131"/>
        <v>0</v>
      </c>
      <c r="BJ138" s="281">
        <v>84.292242000000002</v>
      </c>
      <c r="BK138" s="281">
        <v>83.919922</v>
      </c>
      <c r="BL138" s="281">
        <f t="shared" si="144"/>
        <v>-0.37232000000000198</v>
      </c>
      <c r="BM138" s="408">
        <v>-23.2</v>
      </c>
      <c r="BN138" s="458">
        <v>-23.2</v>
      </c>
      <c r="BO138" s="458">
        <f t="shared" si="145"/>
        <v>0</v>
      </c>
      <c r="BP138" s="408">
        <v>33.4</v>
      </c>
      <c r="BQ138" s="458">
        <v>34.200000000000003</v>
      </c>
      <c r="BR138" s="458">
        <f t="shared" si="146"/>
        <v>0.80000000000000426</v>
      </c>
      <c r="BS138" s="281"/>
      <c r="BT138" s="281"/>
      <c r="BU138" s="281"/>
      <c r="BV138" s="281"/>
      <c r="BW138" s="298" t="s">
        <v>855</v>
      </c>
      <c r="BX138" s="422">
        <v>1000.44925196</v>
      </c>
      <c r="BY138" s="422">
        <v>-3.3842679599999999</v>
      </c>
      <c r="BZ138" s="422">
        <v>1931.38140215</v>
      </c>
      <c r="CA138" s="422">
        <v>1999.03407178</v>
      </c>
      <c r="CB138" s="422">
        <v>1.4088162399999999</v>
      </c>
      <c r="CC138" s="422">
        <v>1.4518761099999999</v>
      </c>
      <c r="CD138" s="422">
        <v>-0.35008262000000001</v>
      </c>
      <c r="CE138" s="422">
        <v>1.9076085899999999</v>
      </c>
      <c r="CF138" s="422">
        <v>1.9143102599999999</v>
      </c>
      <c r="CG138" s="422">
        <v>-2.6956746800000002</v>
      </c>
      <c r="CH138" s="422">
        <v>-2.9658087499999999</v>
      </c>
      <c r="CI138" s="422">
        <v>0.79372770000000004</v>
      </c>
    </row>
    <row r="139" spans="1:87" ht="15" customHeight="1" x14ac:dyDescent="0.2">
      <c r="A139" s="423">
        <v>62009030</v>
      </c>
      <c r="B139" s="297" t="s">
        <v>809</v>
      </c>
      <c r="C139" s="297" t="s">
        <v>810</v>
      </c>
      <c r="D139" s="326" t="s">
        <v>885</v>
      </c>
      <c r="E139" s="283" t="s">
        <v>886</v>
      </c>
      <c r="F139" s="310" t="str">
        <f t="shared" si="87"/>
        <v>09/18/20</v>
      </c>
      <c r="G139" s="298" t="s">
        <v>887</v>
      </c>
      <c r="H139" s="298" t="s">
        <v>775</v>
      </c>
      <c r="I139" s="306"/>
      <c r="J139" s="299">
        <v>19.910616999999998</v>
      </c>
      <c r="K139" s="299">
        <v>53.292085999999998</v>
      </c>
      <c r="L139" s="299">
        <v>29.631468000000002</v>
      </c>
      <c r="M139" s="299">
        <v>28.011361000000001</v>
      </c>
      <c r="N139" s="284">
        <v>3875</v>
      </c>
      <c r="O139" s="284">
        <v>28.39</v>
      </c>
      <c r="P139" s="284">
        <v>0.20169999999999999</v>
      </c>
      <c r="Q139" s="284">
        <v>1.932E-2</v>
      </c>
      <c r="R139" s="285">
        <v>2.94544571</v>
      </c>
      <c r="S139" s="285">
        <f t="shared" si="133"/>
        <v>4.8531919200000004</v>
      </c>
      <c r="T139" s="314">
        <v>83.919922</v>
      </c>
      <c r="U139" s="314">
        <v>83.268362999999994</v>
      </c>
      <c r="V139" s="289">
        <v>10079</v>
      </c>
      <c r="W139" s="289">
        <v>10550</v>
      </c>
      <c r="X139" s="289">
        <f t="shared" si="134"/>
        <v>471</v>
      </c>
      <c r="Y139" s="289">
        <f t="shared" si="122"/>
        <v>159.90788708171436</v>
      </c>
      <c r="Z139" s="308">
        <v>304.5</v>
      </c>
      <c r="AA139" s="289">
        <v>326.60000000000002</v>
      </c>
      <c r="AB139" s="289">
        <f t="shared" si="135"/>
        <v>22.100000000000023</v>
      </c>
      <c r="AC139" s="289">
        <f t="shared" si="123"/>
        <v>7.5031089267641002</v>
      </c>
      <c r="AD139" s="308">
        <v>260.33</v>
      </c>
      <c r="AE139" s="289">
        <v>279.44392499999998</v>
      </c>
      <c r="AF139" s="289">
        <f t="shared" si="136"/>
        <v>19.113924999999995</v>
      </c>
      <c r="AG139" s="289">
        <f t="shared" si="124"/>
        <v>6.4893149906334529</v>
      </c>
      <c r="AH139" s="308">
        <v>33.799999999999997</v>
      </c>
      <c r="AI139" s="289">
        <v>31.606075000000001</v>
      </c>
      <c r="AJ139" s="289">
        <f t="shared" si="137"/>
        <v>-2.1939249999999966</v>
      </c>
      <c r="AK139" s="307">
        <f t="shared" si="125"/>
        <v>-0.74485331457696313</v>
      </c>
      <c r="AL139" s="308">
        <v>-29.3</v>
      </c>
      <c r="AM139" s="289">
        <v>-31.2</v>
      </c>
      <c r="AN139" s="289">
        <f t="shared" si="138"/>
        <v>-1.8999999999999986</v>
      </c>
      <c r="AO139" s="307">
        <f t="shared" si="126"/>
        <v>-0.64506366338695764</v>
      </c>
      <c r="AP139" s="308">
        <v>-35.4</v>
      </c>
      <c r="AQ139" s="289">
        <v>-37.6</v>
      </c>
      <c r="AR139" s="289">
        <f t="shared" si="139"/>
        <v>-2.2000000000000028</v>
      </c>
      <c r="AS139" s="307">
        <f t="shared" si="127"/>
        <v>-0.74691582076384722</v>
      </c>
      <c r="AT139" s="308">
        <v>11.9</v>
      </c>
      <c r="AU139" s="289">
        <v>12.7</v>
      </c>
      <c r="AV139" s="289">
        <f t="shared" si="140"/>
        <v>0.79999999999999893</v>
      </c>
      <c r="AW139" s="307">
        <f t="shared" si="128"/>
        <v>0.27160575300503464</v>
      </c>
      <c r="AX139" s="308">
        <v>10051</v>
      </c>
      <c r="AY139" s="289">
        <v>10521</v>
      </c>
      <c r="AZ139" s="289">
        <f t="shared" si="141"/>
        <v>470</v>
      </c>
      <c r="BA139" s="307">
        <f t="shared" si="129"/>
        <v>159.56837989045806</v>
      </c>
      <c r="BB139" s="308">
        <v>34.200000000000003</v>
      </c>
      <c r="BC139" s="289">
        <v>34.799999999999997</v>
      </c>
      <c r="BD139" s="289">
        <f t="shared" si="142"/>
        <v>0.59999999999999432</v>
      </c>
      <c r="BE139" s="307">
        <f t="shared" si="130"/>
        <v>0.20370431475377435</v>
      </c>
      <c r="BF139" s="308">
        <v>-23.2</v>
      </c>
      <c r="BG139" s="289">
        <v>-23.2</v>
      </c>
      <c r="BH139" s="289">
        <f t="shared" si="143"/>
        <v>0</v>
      </c>
      <c r="BI139" s="307">
        <f t="shared" si="131"/>
        <v>0</v>
      </c>
      <c r="BJ139" s="281">
        <v>83.919922</v>
      </c>
      <c r="BK139" s="281">
        <v>83.268362999999994</v>
      </c>
      <c r="BL139" s="281">
        <f t="shared" si="144"/>
        <v>-0.65155900000000599</v>
      </c>
      <c r="BM139" s="408">
        <v>-23.2</v>
      </c>
      <c r="BN139" s="458">
        <v>-23.2</v>
      </c>
      <c r="BO139" s="458">
        <f t="shared" si="145"/>
        <v>0</v>
      </c>
      <c r="BP139" s="408">
        <v>34.200000000000003</v>
      </c>
      <c r="BQ139" s="458">
        <v>34.799999999999997</v>
      </c>
      <c r="BR139" s="458">
        <f t="shared" si="146"/>
        <v>0.59999999999999432</v>
      </c>
      <c r="BS139" s="281"/>
      <c r="BT139" s="281"/>
      <c r="BU139" s="281"/>
      <c r="BV139" s="281"/>
      <c r="BW139" s="298" t="s">
        <v>855</v>
      </c>
      <c r="BX139" s="422">
        <v>1964.2822812300001</v>
      </c>
      <c r="BY139" s="422">
        <v>-3.6750130900000002</v>
      </c>
      <c r="BZ139" s="422">
        <v>1789.5308965199999</v>
      </c>
      <c r="CA139" s="422">
        <v>1857.8054916000001</v>
      </c>
      <c r="CB139" s="422">
        <v>2.40574647</v>
      </c>
      <c r="CC139" s="422">
        <v>2.4523136700000001</v>
      </c>
      <c r="CD139" s="422">
        <v>-9.8234769999999999E-2</v>
      </c>
      <c r="CE139" s="422">
        <v>2.9454222400000001</v>
      </c>
      <c r="CF139" s="422">
        <v>2.9483185199999999</v>
      </c>
      <c r="CG139" s="422">
        <v>-1.8355291899999999</v>
      </c>
      <c r="CH139" s="422">
        <v>-1.8989089299999999</v>
      </c>
      <c r="CI139" s="422">
        <v>0.68639808000000002</v>
      </c>
    </row>
    <row r="140" spans="1:87" ht="15" customHeight="1" x14ac:dyDescent="0.2">
      <c r="A140" s="423">
        <v>62009030</v>
      </c>
      <c r="B140" s="297" t="s">
        <v>809</v>
      </c>
      <c r="C140" s="297" t="s">
        <v>634</v>
      </c>
      <c r="D140" s="326" t="s">
        <v>885</v>
      </c>
      <c r="E140" s="283" t="s">
        <v>886</v>
      </c>
      <c r="F140" s="310" t="str">
        <f t="shared" ref="F140:F203" si="147">LEFT(E140,8)</f>
        <v>09/18/20</v>
      </c>
      <c r="G140" s="298" t="s">
        <v>887</v>
      </c>
      <c r="H140" s="298" t="s">
        <v>775</v>
      </c>
      <c r="I140" s="306"/>
      <c r="J140" s="299">
        <v>23.261482999999998</v>
      </c>
      <c r="K140" s="299">
        <v>45.820611</v>
      </c>
      <c r="L140" s="299">
        <v>29.637253999999999</v>
      </c>
      <c r="M140" s="299">
        <v>28.625426999999998</v>
      </c>
      <c r="N140" s="284">
        <v>3875</v>
      </c>
      <c r="O140" s="284">
        <v>28.39</v>
      </c>
      <c r="P140" s="284">
        <v>0.20169999999999999</v>
      </c>
      <c r="Q140" s="284">
        <v>1.932E-2</v>
      </c>
      <c r="R140" s="285">
        <v>4.3829084700000003</v>
      </c>
      <c r="S140" s="285">
        <f t="shared" si="133"/>
        <v>7.3283541799999998</v>
      </c>
      <c r="T140" s="314">
        <v>83.268362999999994</v>
      </c>
      <c r="U140" s="314">
        <v>82.096472000000006</v>
      </c>
      <c r="V140" s="289">
        <v>10550</v>
      </c>
      <c r="W140" s="289">
        <v>11395</v>
      </c>
      <c r="X140" s="289">
        <f t="shared" si="134"/>
        <v>845</v>
      </c>
      <c r="Y140" s="289">
        <f t="shared" si="122"/>
        <v>192.79435237669929</v>
      </c>
      <c r="Z140" s="308">
        <v>326.60000000000002</v>
      </c>
      <c r="AA140" s="289">
        <v>360.9</v>
      </c>
      <c r="AB140" s="289">
        <f t="shared" si="135"/>
        <v>34.299999999999955</v>
      </c>
      <c r="AC140" s="289">
        <f t="shared" si="123"/>
        <v>7.8258535935157125</v>
      </c>
      <c r="AD140" s="308">
        <v>279.45999999999998</v>
      </c>
      <c r="AE140" s="289">
        <v>310.04379899999998</v>
      </c>
      <c r="AF140" s="289">
        <f t="shared" si="136"/>
        <v>30.583798999999999</v>
      </c>
      <c r="AG140" s="289">
        <f t="shared" si="124"/>
        <v>6.9779689010936607</v>
      </c>
      <c r="AH140" s="308">
        <v>31.6</v>
      </c>
      <c r="AI140" s="289">
        <v>19.963799000000002</v>
      </c>
      <c r="AJ140" s="289">
        <f t="shared" si="137"/>
        <v>-11.636201</v>
      </c>
      <c r="AK140" s="307">
        <f t="shared" si="125"/>
        <v>-2.6549039478344385</v>
      </c>
      <c r="AL140" s="308">
        <v>-31.2</v>
      </c>
      <c r="AM140" s="289">
        <v>-33.1</v>
      </c>
      <c r="AN140" s="289">
        <f t="shared" si="138"/>
        <v>-1.9000000000000021</v>
      </c>
      <c r="AO140" s="307">
        <f t="shared" si="126"/>
        <v>-0.43350209410145452</v>
      </c>
      <c r="AP140" s="308">
        <v>-37.6</v>
      </c>
      <c r="AQ140" s="289">
        <v>-40</v>
      </c>
      <c r="AR140" s="289">
        <f t="shared" si="139"/>
        <v>-2.3999999999999986</v>
      </c>
      <c r="AS140" s="307">
        <f t="shared" si="127"/>
        <v>-0.5475815925492048</v>
      </c>
      <c r="AT140" s="308">
        <v>12.7</v>
      </c>
      <c r="AU140" s="289">
        <v>13.5</v>
      </c>
      <c r="AV140" s="289">
        <f t="shared" si="140"/>
        <v>0.80000000000000071</v>
      </c>
      <c r="AW140" s="307">
        <f t="shared" si="128"/>
        <v>0.18252719751640187</v>
      </c>
      <c r="AX140" s="308">
        <v>10521</v>
      </c>
      <c r="AY140" s="289">
        <v>11366</v>
      </c>
      <c r="AZ140" s="289">
        <f t="shared" si="141"/>
        <v>845</v>
      </c>
      <c r="BA140" s="307">
        <f t="shared" si="129"/>
        <v>192.79435237669929</v>
      </c>
      <c r="BB140" s="308">
        <v>34.799999999999997</v>
      </c>
      <c r="BC140" s="289">
        <v>35.4</v>
      </c>
      <c r="BD140" s="289">
        <f t="shared" si="142"/>
        <v>0.60000000000000142</v>
      </c>
      <c r="BE140" s="307">
        <f t="shared" si="130"/>
        <v>0.13689539813730159</v>
      </c>
      <c r="BF140" s="308">
        <v>-23.2</v>
      </c>
      <c r="BG140" s="289">
        <v>-23.2</v>
      </c>
      <c r="BH140" s="289">
        <f t="shared" si="143"/>
        <v>0</v>
      </c>
      <c r="BI140" s="307">
        <f t="shared" si="131"/>
        <v>0</v>
      </c>
      <c r="BJ140" s="281">
        <v>83.268362999999994</v>
      </c>
      <c r="BK140" s="281">
        <v>82.096472000000006</v>
      </c>
      <c r="BL140" s="281">
        <f t="shared" si="144"/>
        <v>-1.171890999999988</v>
      </c>
      <c r="BM140" s="408">
        <v>-23.2</v>
      </c>
      <c r="BN140" s="458">
        <v>-23.2</v>
      </c>
      <c r="BO140" s="458">
        <f t="shared" si="145"/>
        <v>0</v>
      </c>
      <c r="BP140" s="408">
        <v>34.799999999999997</v>
      </c>
      <c r="BQ140" s="458">
        <v>35.4</v>
      </c>
      <c r="BR140" s="458">
        <f t="shared" si="146"/>
        <v>0.60000000000000142</v>
      </c>
      <c r="BS140" s="281"/>
      <c r="BT140" s="281"/>
      <c r="BU140" s="281"/>
      <c r="BV140" s="281"/>
      <c r="BW140" s="298" t="s">
        <v>855</v>
      </c>
      <c r="BX140" s="422">
        <v>1730.7180097099999</v>
      </c>
      <c r="BY140" s="422">
        <v>-2.6706171200000002</v>
      </c>
      <c r="BZ140" s="422">
        <v>1583.7407558100001</v>
      </c>
      <c r="CA140" s="422">
        <v>1627.19695634</v>
      </c>
      <c r="CB140" s="422">
        <v>3.4642736799999998</v>
      </c>
      <c r="CC140" s="422">
        <v>3.5122664000000001</v>
      </c>
      <c r="CD140" s="422">
        <v>-0.10717152000000001</v>
      </c>
      <c r="CE140" s="422">
        <v>4.3829089799999998</v>
      </c>
      <c r="CF140" s="422">
        <v>4.38761125</v>
      </c>
      <c r="CG140" s="422">
        <v>-1.2767054</v>
      </c>
      <c r="CH140" s="422">
        <v>-1.36643161</v>
      </c>
      <c r="CI140" s="422">
        <v>0.49640845</v>
      </c>
    </row>
    <row r="141" spans="1:87" ht="15" customHeight="1" x14ac:dyDescent="0.2">
      <c r="A141" s="423">
        <v>62009030</v>
      </c>
      <c r="B141" s="297" t="s">
        <v>809</v>
      </c>
      <c r="C141" s="297" t="s">
        <v>811</v>
      </c>
      <c r="D141" s="326" t="s">
        <v>885</v>
      </c>
      <c r="E141" s="283" t="s">
        <v>886</v>
      </c>
      <c r="F141" s="310" t="str">
        <f t="shared" si="147"/>
        <v>09/18/20</v>
      </c>
      <c r="G141" s="298" t="s">
        <v>887</v>
      </c>
      <c r="H141" s="298" t="s">
        <v>775</v>
      </c>
      <c r="I141" s="306"/>
      <c r="J141" s="299">
        <v>25.706160000000001</v>
      </c>
      <c r="K141" s="299">
        <v>36.992730000000002</v>
      </c>
      <c r="L141" s="299">
        <v>29.658853000000001</v>
      </c>
      <c r="M141" s="299">
        <v>30.124216000000001</v>
      </c>
      <c r="N141" s="284">
        <v>3875</v>
      </c>
      <c r="O141" s="284">
        <v>28.39</v>
      </c>
      <c r="P141" s="284">
        <v>0.20169999999999999</v>
      </c>
      <c r="Q141" s="284">
        <v>1.932E-2</v>
      </c>
      <c r="R141" s="285">
        <v>5.1231878100000001</v>
      </c>
      <c r="S141" s="285">
        <f t="shared" si="133"/>
        <v>9.5060962800000013</v>
      </c>
      <c r="T141" s="314">
        <v>82.096472000000006</v>
      </c>
      <c r="U141" s="314">
        <v>80.089912999999996</v>
      </c>
      <c r="V141" s="289">
        <v>11395</v>
      </c>
      <c r="W141" s="289">
        <v>12836</v>
      </c>
      <c r="X141" s="289">
        <f t="shared" si="134"/>
        <v>1441</v>
      </c>
      <c r="Y141" s="289">
        <f t="shared" si="122"/>
        <v>281.27018829707902</v>
      </c>
      <c r="Z141" s="308">
        <v>360.9</v>
      </c>
      <c r="AA141" s="289">
        <v>370.8</v>
      </c>
      <c r="AB141" s="289">
        <f t="shared" si="135"/>
        <v>9.9000000000000341</v>
      </c>
      <c r="AC141" s="289">
        <f t="shared" si="123"/>
        <v>1.9323906066211602</v>
      </c>
      <c r="AD141" s="308">
        <v>310.05</v>
      </c>
      <c r="AE141" s="289">
        <v>318.21356700000001</v>
      </c>
      <c r="AF141" s="289">
        <f t="shared" si="136"/>
        <v>8.1635670000000005</v>
      </c>
      <c r="AG141" s="289">
        <f t="shared" si="124"/>
        <v>1.5934545643760032</v>
      </c>
      <c r="AH141" s="308">
        <v>19.97</v>
      </c>
      <c r="AI141" s="289">
        <v>24.68</v>
      </c>
      <c r="AJ141" s="289">
        <f t="shared" si="137"/>
        <v>4.7100000000000009</v>
      </c>
      <c r="AK141" s="307">
        <f t="shared" si="125"/>
        <v>0.91934947042279147</v>
      </c>
      <c r="AL141" s="308">
        <v>-33.1</v>
      </c>
      <c r="AM141" s="289">
        <v>-34.4</v>
      </c>
      <c r="AN141" s="289">
        <f t="shared" si="138"/>
        <v>-1.2999999999999972</v>
      </c>
      <c r="AO141" s="307">
        <f t="shared" si="126"/>
        <v>-0.2537482614755045</v>
      </c>
      <c r="AP141" s="308">
        <v>-40</v>
      </c>
      <c r="AQ141" s="289">
        <v>-41.6</v>
      </c>
      <c r="AR141" s="289">
        <f t="shared" si="139"/>
        <v>-1.6000000000000014</v>
      </c>
      <c r="AS141" s="307">
        <f t="shared" si="127"/>
        <v>-0.31230555258523723</v>
      </c>
      <c r="AT141" s="308">
        <v>13.5</v>
      </c>
      <c r="AU141" s="289">
        <v>14</v>
      </c>
      <c r="AV141" s="289">
        <f t="shared" si="140"/>
        <v>0.5</v>
      </c>
      <c r="AW141" s="307">
        <f t="shared" si="128"/>
        <v>9.7595485182886549E-2</v>
      </c>
      <c r="AX141" s="308">
        <v>11366</v>
      </c>
      <c r="AY141" s="289">
        <v>12807</v>
      </c>
      <c r="AZ141" s="289">
        <f t="shared" si="141"/>
        <v>1441</v>
      </c>
      <c r="BA141" s="307">
        <f t="shared" si="129"/>
        <v>281.27018829707902</v>
      </c>
      <c r="BB141" s="308">
        <v>35.4</v>
      </c>
      <c r="BC141" s="289">
        <v>35.9</v>
      </c>
      <c r="BD141" s="289">
        <f t="shared" si="142"/>
        <v>0.5</v>
      </c>
      <c r="BE141" s="307">
        <f t="shared" si="130"/>
        <v>9.7595485182886549E-2</v>
      </c>
      <c r="BF141" s="308">
        <v>-23.2</v>
      </c>
      <c r="BG141" s="289">
        <v>-23.2</v>
      </c>
      <c r="BH141" s="289">
        <f t="shared" si="143"/>
        <v>0</v>
      </c>
      <c r="BI141" s="307">
        <f t="shared" si="131"/>
        <v>0</v>
      </c>
      <c r="BJ141" s="281">
        <v>82.096472000000006</v>
      </c>
      <c r="BK141" s="281">
        <v>80.089912999999996</v>
      </c>
      <c r="BL141" s="281">
        <f t="shared" si="144"/>
        <v>-2.00655900000001</v>
      </c>
      <c r="BM141" s="408">
        <v>-23.2</v>
      </c>
      <c r="BN141" s="458">
        <v>-23.2</v>
      </c>
      <c r="BO141" s="458">
        <f t="shared" si="145"/>
        <v>0</v>
      </c>
      <c r="BP141" s="408">
        <v>35.4</v>
      </c>
      <c r="BQ141" s="458">
        <v>35.9</v>
      </c>
      <c r="BR141" s="458">
        <f t="shared" si="146"/>
        <v>0.5</v>
      </c>
      <c r="BS141" s="281"/>
      <c r="BT141" s="281"/>
      <c r="BU141" s="281"/>
      <c r="BV141" s="281"/>
      <c r="BW141" s="298" t="s">
        <v>855</v>
      </c>
      <c r="BX141" s="422">
        <v>1516.90638298</v>
      </c>
      <c r="BY141" s="422">
        <v>0.33503242</v>
      </c>
      <c r="BZ141" s="422">
        <v>996.70689933999995</v>
      </c>
      <c r="CA141" s="422">
        <v>993.37875842000005</v>
      </c>
      <c r="CB141" s="422">
        <v>5.4546210000000004</v>
      </c>
      <c r="CC141" s="422">
        <v>5.4582740000000003</v>
      </c>
      <c r="CD141" s="422">
        <v>-0.10958717</v>
      </c>
      <c r="CE141" s="422">
        <v>5.1232120099999996</v>
      </c>
      <c r="CF141" s="422">
        <v>5.1288325600000002</v>
      </c>
      <c r="CG141" s="422">
        <v>4.2689890000000001E-2</v>
      </c>
      <c r="CH141" s="422">
        <v>-6.6925849999999995E-2</v>
      </c>
      <c r="CI141" s="422">
        <v>0.33763596000000001</v>
      </c>
    </row>
    <row r="142" spans="1:87" ht="15" customHeight="1" x14ac:dyDescent="0.2">
      <c r="A142" s="423">
        <v>62009030</v>
      </c>
      <c r="B142" s="297" t="s">
        <v>809</v>
      </c>
      <c r="C142" s="345" t="s">
        <v>814</v>
      </c>
      <c r="D142" s="326" t="s">
        <v>885</v>
      </c>
      <c r="E142" s="283" t="s">
        <v>886</v>
      </c>
      <c r="F142" s="310" t="str">
        <f t="shared" si="147"/>
        <v>09/18/20</v>
      </c>
      <c r="G142" s="298" t="s">
        <v>887</v>
      </c>
      <c r="H142" s="298" t="s">
        <v>775</v>
      </c>
      <c r="I142" s="306"/>
      <c r="J142" s="300">
        <f t="shared" ref="J142:M143" si="148">AVERAGE(J140:J141)</f>
        <v>24.483821499999998</v>
      </c>
      <c r="K142" s="300">
        <f t="shared" si="148"/>
        <v>41.406670500000004</v>
      </c>
      <c r="L142" s="300">
        <f t="shared" si="148"/>
        <v>29.6480535</v>
      </c>
      <c r="M142" s="300">
        <f t="shared" si="148"/>
        <v>29.374821499999999</v>
      </c>
      <c r="N142" s="286"/>
      <c r="O142" s="284"/>
      <c r="P142" s="302"/>
      <c r="Q142" s="301"/>
      <c r="R142" s="287">
        <f>R141+R140</f>
        <v>9.5060962800000013</v>
      </c>
      <c r="S142" s="287">
        <f>S141</f>
        <v>9.5060962800000013</v>
      </c>
      <c r="T142" s="315">
        <f>T140</f>
        <v>83.268362999999994</v>
      </c>
      <c r="U142" s="315">
        <f>U141</f>
        <v>80.089912999999996</v>
      </c>
      <c r="V142" s="290">
        <f>V140</f>
        <v>10550</v>
      </c>
      <c r="W142" s="290">
        <f>W141</f>
        <v>12836</v>
      </c>
      <c r="X142" s="290">
        <f>SUM(X140:X141)</f>
        <v>2286</v>
      </c>
      <c r="Y142" s="290">
        <f t="shared" si="122"/>
        <v>240.47726139798783</v>
      </c>
      <c r="Z142" s="290">
        <f>Z140</f>
        <v>326.60000000000002</v>
      </c>
      <c r="AA142" s="290">
        <f>AA141</f>
        <v>370.8</v>
      </c>
      <c r="AB142" s="290">
        <f>SUM(AB140:AB141)</f>
        <v>44.199999999999989</v>
      </c>
      <c r="AC142" s="290">
        <f t="shared" si="123"/>
        <v>4.6496478363040508</v>
      </c>
      <c r="AD142" s="290">
        <f>AD140</f>
        <v>279.45999999999998</v>
      </c>
      <c r="AE142" s="290">
        <f>AE141</f>
        <v>318.21356700000001</v>
      </c>
      <c r="AF142" s="290">
        <f>SUM(AF140:AF141)</f>
        <v>38.747366</v>
      </c>
      <c r="AG142" s="290">
        <f t="shared" si="124"/>
        <v>4.0760544453479906</v>
      </c>
      <c r="AH142" s="290">
        <f>AH140</f>
        <v>31.6</v>
      </c>
      <c r="AI142" s="290">
        <f>AI141</f>
        <v>24.68</v>
      </c>
      <c r="AJ142" s="290">
        <f>SUM(AJ140:AJ141)</f>
        <v>-6.9262009999999989</v>
      </c>
      <c r="AK142" s="288">
        <f t="shared" si="125"/>
        <v>-0.72860623288364146</v>
      </c>
      <c r="AL142" s="290">
        <f>AL140</f>
        <v>-31.2</v>
      </c>
      <c r="AM142" s="290">
        <f>AM141</f>
        <v>-34.4</v>
      </c>
      <c r="AN142" s="290">
        <f>SUM(AN140:AN141)</f>
        <v>-3.1999999999999993</v>
      </c>
      <c r="AO142" s="288">
        <f t="shared" si="126"/>
        <v>-0.33662608769622088</v>
      </c>
      <c r="AP142" s="290">
        <f>AP140</f>
        <v>-37.6</v>
      </c>
      <c r="AQ142" s="290">
        <f>AQ141</f>
        <v>-41.6</v>
      </c>
      <c r="AR142" s="290">
        <f>SUM(AR140:AR141)</f>
        <v>-4</v>
      </c>
      <c r="AS142" s="288">
        <f t="shared" si="127"/>
        <v>-0.42078260962027614</v>
      </c>
      <c r="AT142" s="290">
        <f>AT140</f>
        <v>12.7</v>
      </c>
      <c r="AU142" s="290">
        <f>AU141</f>
        <v>14</v>
      </c>
      <c r="AV142" s="290">
        <f>SUM(AV140:AV141)</f>
        <v>1.3000000000000007</v>
      </c>
      <c r="AW142" s="288">
        <f t="shared" si="128"/>
        <v>0.13675434812658982</v>
      </c>
      <c r="AX142" s="290">
        <f>AX140</f>
        <v>10521</v>
      </c>
      <c r="AY142" s="290">
        <f>AY141</f>
        <v>12807</v>
      </c>
      <c r="AZ142" s="290">
        <f>SUM(AZ140:AZ141)</f>
        <v>2286</v>
      </c>
      <c r="BA142" s="288">
        <f t="shared" si="129"/>
        <v>240.47726139798783</v>
      </c>
      <c r="BB142" s="290">
        <f>BB140</f>
        <v>34.799999999999997</v>
      </c>
      <c r="BC142" s="290">
        <f>BC141</f>
        <v>35.9</v>
      </c>
      <c r="BD142" s="290">
        <f>SUM(BD140:BD141)</f>
        <v>1.1000000000000014</v>
      </c>
      <c r="BE142" s="288">
        <f t="shared" si="130"/>
        <v>0.11571521764557609</v>
      </c>
      <c r="BF142" s="290">
        <f>BF140</f>
        <v>-23.2</v>
      </c>
      <c r="BG142" s="290">
        <f>BG141</f>
        <v>-23.2</v>
      </c>
      <c r="BH142" s="290">
        <f>SUM(BH140:BH141)</f>
        <v>0</v>
      </c>
      <c r="BI142" s="288">
        <f t="shared" si="131"/>
        <v>0</v>
      </c>
      <c r="BJ142" s="282"/>
      <c r="BK142" s="282"/>
      <c r="BL142" s="282">
        <f>SUM(BL140:BL141)</f>
        <v>-3.178449999999998</v>
      </c>
      <c r="BM142" s="459">
        <f>BM140</f>
        <v>-23.2</v>
      </c>
      <c r="BN142" s="459">
        <f>BN141</f>
        <v>-23.2</v>
      </c>
      <c r="BO142" s="459">
        <f>SUM(BO140:BO141)</f>
        <v>0</v>
      </c>
      <c r="BP142" s="459">
        <f>BP140</f>
        <v>34.799999999999997</v>
      </c>
      <c r="BQ142" s="459">
        <f>BQ141</f>
        <v>35.9</v>
      </c>
      <c r="BR142" s="459">
        <f>SUM(BR140:BR141)</f>
        <v>1.1000000000000014</v>
      </c>
      <c r="BS142" s="282"/>
      <c r="BT142" s="282"/>
      <c r="BU142" s="282"/>
      <c r="BV142" s="282"/>
      <c r="BW142" s="298" t="s">
        <v>855</v>
      </c>
    </row>
    <row r="143" spans="1:87" ht="15" customHeight="1" x14ac:dyDescent="0.2">
      <c r="A143" s="423">
        <v>62009030</v>
      </c>
      <c r="B143" s="297" t="s">
        <v>809</v>
      </c>
      <c r="C143" s="345" t="s">
        <v>815</v>
      </c>
      <c r="D143" s="326" t="s">
        <v>885</v>
      </c>
      <c r="E143" s="283" t="s">
        <v>886</v>
      </c>
      <c r="F143" s="310" t="str">
        <f t="shared" si="147"/>
        <v>09/18/20</v>
      </c>
      <c r="G143" s="298" t="s">
        <v>887</v>
      </c>
      <c r="H143" s="298" t="s">
        <v>775</v>
      </c>
      <c r="I143" s="306"/>
      <c r="J143" s="300">
        <f t="shared" si="148"/>
        <v>25.094990750000001</v>
      </c>
      <c r="K143" s="300">
        <f t="shared" si="148"/>
        <v>39.199700250000006</v>
      </c>
      <c r="L143" s="300">
        <f t="shared" si="148"/>
        <v>29.653453249999998</v>
      </c>
      <c r="M143" s="300">
        <f t="shared" si="148"/>
        <v>29.74951875</v>
      </c>
      <c r="N143" s="286"/>
      <c r="O143" s="284"/>
      <c r="P143" s="302"/>
      <c r="Q143" s="301"/>
      <c r="R143" s="287">
        <f>R142+R141</f>
        <v>14.629284090000002</v>
      </c>
      <c r="S143" s="287">
        <f>S142</f>
        <v>9.5060962800000013</v>
      </c>
      <c r="T143" s="315">
        <f>T141</f>
        <v>82.096472000000006</v>
      </c>
      <c r="U143" s="315">
        <f>U142</f>
        <v>80.089912999999996</v>
      </c>
      <c r="V143" s="290">
        <f>V141</f>
        <v>11395</v>
      </c>
      <c r="W143" s="290">
        <f>W142</f>
        <v>12836</v>
      </c>
      <c r="X143" s="290">
        <f>SUM(X141:X142)</f>
        <v>3727</v>
      </c>
      <c r="Y143" s="290">
        <f t="shared" si="122"/>
        <v>254.76297931404787</v>
      </c>
      <c r="Z143" s="290">
        <f>Z141</f>
        <v>360.9</v>
      </c>
      <c r="AA143" s="290">
        <f>AA142</f>
        <v>370.8</v>
      </c>
      <c r="AB143" s="290">
        <f>SUM(AB141:AB142)</f>
        <v>54.100000000000023</v>
      </c>
      <c r="AC143" s="290">
        <f t="shared" si="123"/>
        <v>3.6980620286799022</v>
      </c>
      <c r="AD143" s="290">
        <f>AD141</f>
        <v>310.05</v>
      </c>
      <c r="AE143" s="290">
        <f>AE142</f>
        <v>318.21356700000001</v>
      </c>
      <c r="AF143" s="290">
        <f>SUM(AF141:AF142)</f>
        <v>46.910933</v>
      </c>
      <c r="AG143" s="290">
        <f t="shared" si="124"/>
        <v>3.206645842093288</v>
      </c>
      <c r="AH143" s="290">
        <f>AH141</f>
        <v>19.97</v>
      </c>
      <c r="AI143" s="290">
        <f>AI142</f>
        <v>24.68</v>
      </c>
      <c r="AJ143" s="290">
        <f>SUM(AJ141:AJ142)</f>
        <v>-2.2162009999999981</v>
      </c>
      <c r="AK143" s="288">
        <f t="shared" si="125"/>
        <v>-0.15149073504662508</v>
      </c>
      <c r="AL143" s="290">
        <f>AL141</f>
        <v>-33.1</v>
      </c>
      <c r="AM143" s="290">
        <f>AM142</f>
        <v>-34.4</v>
      </c>
      <c r="AN143" s="290">
        <f>SUM(AN141:AN142)</f>
        <v>-4.4999999999999964</v>
      </c>
      <c r="AO143" s="288">
        <f t="shared" si="126"/>
        <v>-0.30760220201588795</v>
      </c>
      <c r="AP143" s="290">
        <f>AP141</f>
        <v>-40</v>
      </c>
      <c r="AQ143" s="290">
        <f>AQ142</f>
        <v>-41.6</v>
      </c>
      <c r="AR143" s="290">
        <f>SUM(AR141:AR142)</f>
        <v>-5.6000000000000014</v>
      </c>
      <c r="AS143" s="288">
        <f t="shared" si="127"/>
        <v>-0.38279385139754984</v>
      </c>
      <c r="AT143" s="290">
        <f>AT141</f>
        <v>13.5</v>
      </c>
      <c r="AU143" s="290">
        <f>AU142</f>
        <v>14</v>
      </c>
      <c r="AV143" s="290">
        <f>SUM(AV141:AV142)</f>
        <v>1.8000000000000007</v>
      </c>
      <c r="AW143" s="288">
        <f t="shared" si="128"/>
        <v>0.12304088080635533</v>
      </c>
      <c r="AX143" s="290">
        <f>AX141</f>
        <v>11366</v>
      </c>
      <c r="AY143" s="290">
        <f>AY142</f>
        <v>12807</v>
      </c>
      <c r="AZ143" s="290">
        <f>SUM(AZ141:AZ142)</f>
        <v>3727</v>
      </c>
      <c r="BA143" s="288">
        <f t="shared" si="129"/>
        <v>254.76297931404787</v>
      </c>
      <c r="BB143" s="290">
        <f>BB141</f>
        <v>35.4</v>
      </c>
      <c r="BC143" s="290">
        <f>BC142</f>
        <v>35.9</v>
      </c>
      <c r="BD143" s="290">
        <f>SUM(BD141:BD142)</f>
        <v>1.6000000000000014</v>
      </c>
      <c r="BE143" s="288">
        <f t="shared" si="130"/>
        <v>0.10936967182787145</v>
      </c>
      <c r="BF143" s="290">
        <f>BF141</f>
        <v>-23.2</v>
      </c>
      <c r="BG143" s="290">
        <f>BG142</f>
        <v>-23.2</v>
      </c>
      <c r="BH143" s="290">
        <f>SUM(BH141:BH142)</f>
        <v>0</v>
      </c>
      <c r="BI143" s="288">
        <f t="shared" si="131"/>
        <v>0</v>
      </c>
      <c r="BJ143" s="282"/>
      <c r="BK143" s="282"/>
      <c r="BL143" s="282">
        <f>SUM(BL141:BL142)</f>
        <v>-5.185009000000008</v>
      </c>
      <c r="BM143" s="459">
        <f>BM141</f>
        <v>-23.2</v>
      </c>
      <c r="BN143" s="459">
        <f>BN142</f>
        <v>-23.2</v>
      </c>
      <c r="BO143" s="459">
        <f>SUM(BO141:BO142)</f>
        <v>0</v>
      </c>
      <c r="BP143" s="459">
        <f>BP141</f>
        <v>35.4</v>
      </c>
      <c r="BQ143" s="459">
        <f>BQ142</f>
        <v>35.9</v>
      </c>
      <c r="BR143" s="459">
        <f>SUM(BR141:BR142)</f>
        <v>1.6000000000000014</v>
      </c>
      <c r="BS143" s="282"/>
      <c r="BT143" s="282"/>
      <c r="BU143" s="282"/>
      <c r="BV143" s="282"/>
      <c r="BW143" s="298" t="s">
        <v>855</v>
      </c>
    </row>
    <row r="144" spans="1:87" ht="15" customHeight="1" x14ac:dyDescent="0.2">
      <c r="A144" s="423">
        <v>62009031</v>
      </c>
      <c r="B144" s="297" t="s">
        <v>882</v>
      </c>
      <c r="C144" s="297" t="s">
        <v>626</v>
      </c>
      <c r="D144" s="326" t="s">
        <v>888</v>
      </c>
      <c r="E144" s="283" t="s">
        <v>889</v>
      </c>
      <c r="F144" s="310" t="str">
        <f t="shared" si="147"/>
        <v>09/18/20</v>
      </c>
      <c r="G144" s="298" t="s">
        <v>890</v>
      </c>
      <c r="H144" s="298" t="s">
        <v>775</v>
      </c>
      <c r="I144" s="306"/>
      <c r="J144" s="299">
        <v>24.410257000000001</v>
      </c>
      <c r="K144" s="299">
        <v>38.720131000000002</v>
      </c>
      <c r="L144" s="299">
        <v>29.653153</v>
      </c>
      <c r="M144" s="299">
        <v>30.681484000000001</v>
      </c>
      <c r="N144" s="284">
        <v>3875</v>
      </c>
      <c r="O144" s="284">
        <v>28.39</v>
      </c>
      <c r="P144" s="284">
        <v>0.20169999999999999</v>
      </c>
      <c r="Q144" s="284">
        <v>1.932E-2</v>
      </c>
      <c r="R144" s="285">
        <v>7.9931957699999998</v>
      </c>
      <c r="S144" s="285">
        <f t="shared" ref="S144:S153" si="149">R144+R143</f>
        <v>22.622479860000002</v>
      </c>
      <c r="T144" s="314">
        <v>80.086860999999999</v>
      </c>
      <c r="U144" s="314">
        <v>77.071682999999993</v>
      </c>
      <c r="V144" s="289">
        <v>12840</v>
      </c>
      <c r="W144" s="289">
        <v>14977</v>
      </c>
      <c r="X144" s="289">
        <f t="shared" ref="X144:X153" si="150">W144-V144</f>
        <v>2137</v>
      </c>
      <c r="Y144" s="289">
        <f t="shared" si="122"/>
        <v>267.3523908948373</v>
      </c>
      <c r="Z144" s="308">
        <v>374.2</v>
      </c>
      <c r="AA144" s="289">
        <v>402.9</v>
      </c>
      <c r="AB144" s="289">
        <f t="shared" ref="AB144:AB153" si="151">AA144-Z144</f>
        <v>28.699999999999989</v>
      </c>
      <c r="AC144" s="289">
        <f t="shared" si="123"/>
        <v>3.5905538692942573</v>
      </c>
      <c r="AD144" s="308">
        <v>321.13774599999999</v>
      </c>
      <c r="AE144" s="289">
        <v>345.99370499999998</v>
      </c>
      <c r="AF144" s="289">
        <f t="shared" ref="AF144:AF153" si="152">AE144-AD144</f>
        <v>24.855958999999984</v>
      </c>
      <c r="AG144" s="289">
        <f t="shared" si="124"/>
        <v>3.1096397129780278</v>
      </c>
      <c r="AH144" s="308">
        <v>29.806127</v>
      </c>
      <c r="AI144" s="289">
        <v>29.63</v>
      </c>
      <c r="AJ144" s="289">
        <f t="shared" ref="AJ144:AJ153" si="153">AI144-AH144</f>
        <v>-0.17612700000000103</v>
      </c>
      <c r="AK144" s="307">
        <f t="shared" si="125"/>
        <v>-2.2034616074466676E-2</v>
      </c>
      <c r="AL144" s="308">
        <v>-34.700000000000003</v>
      </c>
      <c r="AM144" s="289">
        <v>-37.200000000000003</v>
      </c>
      <c r="AN144" s="289">
        <f t="shared" ref="AN144:AN153" si="154">AM144-AL144</f>
        <v>-2.5</v>
      </c>
      <c r="AO144" s="307">
        <f t="shared" si="126"/>
        <v>-0.31276601648904689</v>
      </c>
      <c r="AP144" s="308">
        <v>-41.7</v>
      </c>
      <c r="AQ144" s="289">
        <v>-44.7</v>
      </c>
      <c r="AR144" s="289">
        <f t="shared" ref="AR144:AR153" si="155">AQ144-AP144</f>
        <v>-3</v>
      </c>
      <c r="AS144" s="307">
        <f t="shared" si="127"/>
        <v>-0.37531921978685628</v>
      </c>
      <c r="AT144" s="308">
        <v>14.1</v>
      </c>
      <c r="AU144" s="289">
        <v>15.1</v>
      </c>
      <c r="AV144" s="289">
        <f t="shared" ref="AV144:AV153" si="156">AU144-AT144</f>
        <v>1</v>
      </c>
      <c r="AW144" s="307">
        <f t="shared" si="128"/>
        <v>0.12510640659561878</v>
      </c>
      <c r="AX144" s="308">
        <v>12811</v>
      </c>
      <c r="AY144" s="289">
        <v>14949</v>
      </c>
      <c r="AZ144" s="289">
        <f t="shared" ref="AZ144:AZ153" si="157">AY144-AX144</f>
        <v>2138</v>
      </c>
      <c r="BA144" s="307">
        <f t="shared" si="129"/>
        <v>267.47749730143295</v>
      </c>
      <c r="BB144" s="308">
        <v>36.299999999999997</v>
      </c>
      <c r="BC144" s="289">
        <v>37.1</v>
      </c>
      <c r="BD144" s="289">
        <f t="shared" ref="BD144:BD153" si="158">BC144-BB144</f>
        <v>0.80000000000000426</v>
      </c>
      <c r="BE144" s="307">
        <f t="shared" si="130"/>
        <v>0.10008512527649555</v>
      </c>
      <c r="BF144" s="308">
        <v>-23.2</v>
      </c>
      <c r="BG144" s="289">
        <v>-23.2</v>
      </c>
      <c r="BH144" s="289">
        <f t="shared" ref="BH144:BH153" si="159">BG144-BF144</f>
        <v>0</v>
      </c>
      <c r="BI144" s="307">
        <f t="shared" si="131"/>
        <v>0</v>
      </c>
      <c r="BJ144" s="281">
        <v>80.086860999999999</v>
      </c>
      <c r="BK144" s="281">
        <v>77.071682999999993</v>
      </c>
      <c r="BL144" s="281">
        <f t="shared" ref="BL144:BL153" si="160">BK144-BJ144</f>
        <v>-3.0151780000000059</v>
      </c>
      <c r="BM144" s="408">
        <v>-23.2</v>
      </c>
      <c r="BN144" s="458">
        <v>-23.2</v>
      </c>
      <c r="BO144" s="458">
        <f t="shared" ref="BO144:BO153" si="161">BN144-BM144</f>
        <v>0</v>
      </c>
      <c r="BP144" s="408">
        <v>36.299999999999997</v>
      </c>
      <c r="BQ144" s="458">
        <v>37.1</v>
      </c>
      <c r="BR144" s="458">
        <f t="shared" ref="BR144:BR153" si="162">BQ144-BP144</f>
        <v>0.80000000000000426</v>
      </c>
      <c r="BS144" s="281"/>
      <c r="BT144" s="281"/>
      <c r="BU144" s="281"/>
      <c r="BV144" s="281"/>
      <c r="BW144" s="298" t="s">
        <v>855</v>
      </c>
      <c r="BX144" s="422">
        <v>8583.0826483199999</v>
      </c>
      <c r="BY144" s="422">
        <v>-4.1352350099999997</v>
      </c>
      <c r="BZ144" s="422">
        <v>3450.2201801299998</v>
      </c>
      <c r="CA144" s="422">
        <v>3599.0493280400001</v>
      </c>
      <c r="CB144" s="422">
        <v>9.2460514699999994</v>
      </c>
      <c r="CC144" s="422">
        <v>9.4389719299999992</v>
      </c>
      <c r="CD144" s="422">
        <v>-0.18439684000000001</v>
      </c>
      <c r="CE144" s="422">
        <v>7.9931853899999998</v>
      </c>
      <c r="CF144" s="422">
        <v>8.0079518000000007</v>
      </c>
      <c r="CG144" s="422">
        <v>-1.89827294</v>
      </c>
      <c r="CH144" s="422">
        <v>-2.0438715200000002</v>
      </c>
      <c r="CI144" s="422">
        <v>0.49160948999999998</v>
      </c>
    </row>
    <row r="145" spans="1:87" ht="15" customHeight="1" x14ac:dyDescent="0.2">
      <c r="A145" s="423">
        <v>62009031</v>
      </c>
      <c r="B145" s="297" t="s">
        <v>882</v>
      </c>
      <c r="C145" s="297" t="s">
        <v>627</v>
      </c>
      <c r="D145" s="326" t="s">
        <v>888</v>
      </c>
      <c r="E145" s="283" t="s">
        <v>889</v>
      </c>
      <c r="F145" s="310" t="str">
        <f t="shared" si="147"/>
        <v>09/18/20</v>
      </c>
      <c r="G145" s="298" t="s">
        <v>890</v>
      </c>
      <c r="H145" s="298" t="s">
        <v>775</v>
      </c>
      <c r="I145" s="306"/>
      <c r="J145" s="299">
        <v>24.230039000000001</v>
      </c>
      <c r="K145" s="299">
        <v>38.926510999999998</v>
      </c>
      <c r="L145" s="299">
        <v>29.654752999999999</v>
      </c>
      <c r="M145" s="299">
        <v>30.984372</v>
      </c>
      <c r="N145" s="284">
        <v>3875</v>
      </c>
      <c r="O145" s="284">
        <v>28.39</v>
      </c>
      <c r="P145" s="284">
        <v>0.20169999999999999</v>
      </c>
      <c r="Q145" s="284">
        <v>1.932E-2</v>
      </c>
      <c r="R145" s="285">
        <v>7.99277748</v>
      </c>
      <c r="S145" s="285">
        <f t="shared" si="149"/>
        <v>15.985973250000001</v>
      </c>
      <c r="T145" s="314">
        <v>77.071682999999993</v>
      </c>
      <c r="U145" s="314">
        <v>74.045822999999999</v>
      </c>
      <c r="V145" s="289">
        <v>14977</v>
      </c>
      <c r="W145" s="289">
        <v>17103</v>
      </c>
      <c r="X145" s="289">
        <f t="shared" si="150"/>
        <v>2126</v>
      </c>
      <c r="Y145" s="289">
        <f t="shared" si="122"/>
        <v>265.99013988814312</v>
      </c>
      <c r="Z145" s="308">
        <v>403</v>
      </c>
      <c r="AA145" s="289">
        <v>430.8</v>
      </c>
      <c r="AB145" s="289">
        <f t="shared" si="151"/>
        <v>27.800000000000011</v>
      </c>
      <c r="AC145" s="289">
        <f t="shared" si="123"/>
        <v>3.4781401170697936</v>
      </c>
      <c r="AD145" s="308">
        <v>346.00367</v>
      </c>
      <c r="AE145" s="289">
        <v>370.05</v>
      </c>
      <c r="AF145" s="289">
        <f t="shared" si="152"/>
        <v>24.046330000000012</v>
      </c>
      <c r="AG145" s="289">
        <f t="shared" si="124"/>
        <v>3.0085073755862912</v>
      </c>
      <c r="AH145" s="308">
        <v>29.63</v>
      </c>
      <c r="AI145" s="289">
        <v>29.77</v>
      </c>
      <c r="AJ145" s="289">
        <f t="shared" si="153"/>
        <v>0.14000000000000057</v>
      </c>
      <c r="AK145" s="307">
        <f t="shared" si="125"/>
        <v>1.7515813539200464E-2</v>
      </c>
      <c r="AL145" s="308">
        <v>-37.200000000000003</v>
      </c>
      <c r="AM145" s="289">
        <v>-39.6</v>
      </c>
      <c r="AN145" s="289">
        <f t="shared" si="154"/>
        <v>-2.3999999999999986</v>
      </c>
      <c r="AO145" s="307">
        <f t="shared" si="126"/>
        <v>-0.30027108924343515</v>
      </c>
      <c r="AP145" s="308">
        <v>-44.7</v>
      </c>
      <c r="AQ145" s="289">
        <v>-47.7</v>
      </c>
      <c r="AR145" s="289">
        <f t="shared" si="155"/>
        <v>-3</v>
      </c>
      <c r="AS145" s="307">
        <f t="shared" si="127"/>
        <v>-0.37533886155429413</v>
      </c>
      <c r="AT145" s="308">
        <v>15.1</v>
      </c>
      <c r="AU145" s="289">
        <v>16.100000000000001</v>
      </c>
      <c r="AV145" s="289">
        <f t="shared" si="156"/>
        <v>1.0000000000000018</v>
      </c>
      <c r="AW145" s="307">
        <f t="shared" si="128"/>
        <v>0.12511295385143159</v>
      </c>
      <c r="AX145" s="308">
        <v>14949</v>
      </c>
      <c r="AY145" s="289">
        <v>17077</v>
      </c>
      <c r="AZ145" s="289">
        <f t="shared" si="157"/>
        <v>2128</v>
      </c>
      <c r="BA145" s="307">
        <f t="shared" si="129"/>
        <v>266.240365795846</v>
      </c>
      <c r="BB145" s="308">
        <v>37.1</v>
      </c>
      <c r="BC145" s="289">
        <v>38</v>
      </c>
      <c r="BD145" s="289">
        <f t="shared" si="158"/>
        <v>0.89999999999999858</v>
      </c>
      <c r="BE145" s="307">
        <f t="shared" si="130"/>
        <v>0.11260165846628807</v>
      </c>
      <c r="BF145" s="308">
        <v>-23.2</v>
      </c>
      <c r="BG145" s="289">
        <v>-23.2</v>
      </c>
      <c r="BH145" s="289">
        <f t="shared" si="159"/>
        <v>0</v>
      </c>
      <c r="BI145" s="307">
        <f t="shared" si="131"/>
        <v>0</v>
      </c>
      <c r="BJ145" s="281">
        <v>77.071682999999993</v>
      </c>
      <c r="BK145" s="281">
        <v>74.045822999999999</v>
      </c>
      <c r="BL145" s="281">
        <f t="shared" si="160"/>
        <v>-3.0258599999999944</v>
      </c>
      <c r="BM145" s="408">
        <v>-23.2</v>
      </c>
      <c r="BN145" s="458">
        <v>-23.2</v>
      </c>
      <c r="BO145" s="458">
        <f t="shared" si="161"/>
        <v>0</v>
      </c>
      <c r="BP145" s="408">
        <v>37.1</v>
      </c>
      <c r="BQ145" s="458">
        <v>38</v>
      </c>
      <c r="BR145" s="458">
        <f t="shared" si="162"/>
        <v>0.89999999999999858</v>
      </c>
      <c r="BS145" s="281"/>
      <c r="BT145" s="281"/>
      <c r="BU145" s="281"/>
      <c r="BV145" s="281"/>
      <c r="BW145" s="298" t="s">
        <v>855</v>
      </c>
      <c r="BX145" s="422">
        <v>8586.3985274999995</v>
      </c>
      <c r="BY145" s="422">
        <v>-4.0904182899999997</v>
      </c>
      <c r="BZ145" s="422">
        <v>3451.4093061600001</v>
      </c>
      <c r="CA145" s="422">
        <v>3598.6074016399998</v>
      </c>
      <c r="CB145" s="422">
        <v>9.2457653700000009</v>
      </c>
      <c r="CC145" s="422">
        <v>9.4383891799999997</v>
      </c>
      <c r="CD145" s="422">
        <v>-0.18852574999999999</v>
      </c>
      <c r="CE145" s="422">
        <v>7.9928548399999997</v>
      </c>
      <c r="CF145" s="422">
        <v>8.0079518899999993</v>
      </c>
      <c r="CG145" s="422">
        <v>-1.8909198199999999</v>
      </c>
      <c r="CH145" s="422">
        <v>-2.0408546400000001</v>
      </c>
      <c r="CI145" s="422">
        <v>0.49153228999999998</v>
      </c>
    </row>
    <row r="146" spans="1:87" ht="15" customHeight="1" x14ac:dyDescent="0.2">
      <c r="A146" s="423">
        <v>62009031</v>
      </c>
      <c r="B146" s="297" t="s">
        <v>882</v>
      </c>
      <c r="C146" s="297" t="s">
        <v>629</v>
      </c>
      <c r="D146" s="326" t="s">
        <v>888</v>
      </c>
      <c r="E146" s="283" t="s">
        <v>889</v>
      </c>
      <c r="F146" s="310" t="str">
        <f t="shared" si="147"/>
        <v>09/18/20</v>
      </c>
      <c r="G146" s="298" t="s">
        <v>890</v>
      </c>
      <c r="H146" s="298" t="s">
        <v>775</v>
      </c>
      <c r="I146" s="306"/>
      <c r="J146" s="299">
        <v>24.154845000000002</v>
      </c>
      <c r="K146" s="299">
        <v>39.258310000000002</v>
      </c>
      <c r="L146" s="299">
        <v>29.654982</v>
      </c>
      <c r="M146" s="299">
        <v>31.068190999999999</v>
      </c>
      <c r="N146" s="284">
        <v>3875</v>
      </c>
      <c r="O146" s="284">
        <v>28.39</v>
      </c>
      <c r="P146" s="284">
        <v>0.20169999999999999</v>
      </c>
      <c r="Q146" s="284">
        <v>1.932E-2</v>
      </c>
      <c r="R146" s="285">
        <v>7.9928706500000004</v>
      </c>
      <c r="S146" s="285">
        <f t="shared" si="149"/>
        <v>15.985648130000001</v>
      </c>
      <c r="T146" s="314">
        <v>74.045822999999999</v>
      </c>
      <c r="U146" s="314">
        <v>70.998600999999994</v>
      </c>
      <c r="V146" s="289">
        <v>17103</v>
      </c>
      <c r="W146" s="289">
        <v>19226</v>
      </c>
      <c r="X146" s="289">
        <f t="shared" si="150"/>
        <v>2123</v>
      </c>
      <c r="Y146" s="289">
        <f t="shared" si="122"/>
        <v>265.6117048509974</v>
      </c>
      <c r="Z146" s="308">
        <v>430.8</v>
      </c>
      <c r="AA146" s="289">
        <v>458.9</v>
      </c>
      <c r="AB146" s="289">
        <f t="shared" si="151"/>
        <v>28.099999999999966</v>
      </c>
      <c r="AC146" s="289">
        <f t="shared" si="123"/>
        <v>3.5156330222859249</v>
      </c>
      <c r="AD146" s="308">
        <v>370.06</v>
      </c>
      <c r="AE146" s="289">
        <v>394.26</v>
      </c>
      <c r="AF146" s="289">
        <f t="shared" si="152"/>
        <v>24.199999999999989</v>
      </c>
      <c r="AG146" s="289">
        <f t="shared" si="124"/>
        <v>3.027698190011368</v>
      </c>
      <c r="AH146" s="308">
        <v>29.77</v>
      </c>
      <c r="AI146" s="289">
        <v>29.88</v>
      </c>
      <c r="AJ146" s="289">
        <f t="shared" si="153"/>
        <v>0.10999999999999943</v>
      </c>
      <c r="AK146" s="307">
        <f t="shared" si="125"/>
        <v>1.3762264500051609E-2</v>
      </c>
      <c r="AL146" s="308">
        <v>-39.6</v>
      </c>
      <c r="AM146" s="289">
        <v>-42</v>
      </c>
      <c r="AN146" s="289">
        <f t="shared" si="154"/>
        <v>-2.3999999999999986</v>
      </c>
      <c r="AO146" s="307">
        <f t="shared" si="126"/>
        <v>-0.30026758909203649</v>
      </c>
      <c r="AP146" s="308">
        <v>-47.7</v>
      </c>
      <c r="AQ146" s="289">
        <v>-50.6</v>
      </c>
      <c r="AR146" s="289">
        <f t="shared" si="155"/>
        <v>-2.8999999999999986</v>
      </c>
      <c r="AS146" s="307">
        <f t="shared" si="127"/>
        <v>-0.3628233368195441</v>
      </c>
      <c r="AT146" s="308">
        <v>16.100000000000001</v>
      </c>
      <c r="AU146" s="289">
        <v>17.100000000000001</v>
      </c>
      <c r="AV146" s="289">
        <f t="shared" si="156"/>
        <v>1</v>
      </c>
      <c r="AW146" s="307">
        <f t="shared" si="128"/>
        <v>0.12511149545501526</v>
      </c>
      <c r="AX146" s="308">
        <v>17077</v>
      </c>
      <c r="AY146" s="289">
        <v>19201</v>
      </c>
      <c r="AZ146" s="289">
        <f t="shared" si="157"/>
        <v>2124</v>
      </c>
      <c r="BA146" s="307">
        <f t="shared" si="129"/>
        <v>265.73681634645243</v>
      </c>
      <c r="BB146" s="308">
        <v>38</v>
      </c>
      <c r="BC146" s="289">
        <v>38.799999999999997</v>
      </c>
      <c r="BD146" s="289">
        <f t="shared" si="158"/>
        <v>0.79999999999999716</v>
      </c>
      <c r="BE146" s="307">
        <f t="shared" si="130"/>
        <v>0.10008919636401185</v>
      </c>
      <c r="BF146" s="308">
        <v>-23.2</v>
      </c>
      <c r="BG146" s="289">
        <v>-23.2</v>
      </c>
      <c r="BH146" s="289">
        <f t="shared" si="159"/>
        <v>0</v>
      </c>
      <c r="BI146" s="307">
        <f t="shared" si="131"/>
        <v>0</v>
      </c>
      <c r="BJ146" s="281">
        <v>74.045822999999999</v>
      </c>
      <c r="BK146" s="281">
        <v>70.998600999999994</v>
      </c>
      <c r="BL146" s="281">
        <f t="shared" si="160"/>
        <v>-3.047222000000005</v>
      </c>
      <c r="BM146" s="408">
        <v>-23.2</v>
      </c>
      <c r="BN146" s="458">
        <v>-23.2</v>
      </c>
      <c r="BO146" s="458">
        <f t="shared" si="161"/>
        <v>0</v>
      </c>
      <c r="BP146" s="408">
        <v>38</v>
      </c>
      <c r="BQ146" s="458">
        <v>38.799999999999997</v>
      </c>
      <c r="BR146" s="458">
        <f t="shared" si="162"/>
        <v>0.79999999999999716</v>
      </c>
      <c r="BS146" s="281"/>
      <c r="BT146" s="281"/>
      <c r="BU146" s="281"/>
      <c r="BV146" s="281"/>
      <c r="BW146" s="298" t="s">
        <v>855</v>
      </c>
      <c r="BX146" s="422">
        <v>8578.9569376399995</v>
      </c>
      <c r="BY146" s="422">
        <v>-4.0415654700000001</v>
      </c>
      <c r="BZ146" s="422">
        <v>3452.84624373</v>
      </c>
      <c r="CA146" s="422">
        <v>3598.27279447</v>
      </c>
      <c r="CB146" s="422">
        <v>9.2466469900000003</v>
      </c>
      <c r="CC146" s="422">
        <v>9.4379932899999996</v>
      </c>
      <c r="CD146" s="422">
        <v>-0.18822886999999999</v>
      </c>
      <c r="CE146" s="422">
        <v>7.9928784400000001</v>
      </c>
      <c r="CF146" s="422">
        <v>8.0079517199999994</v>
      </c>
      <c r="CG146" s="422">
        <v>-1.8772346900000001</v>
      </c>
      <c r="CH146" s="422">
        <v>-2.0274044199999999</v>
      </c>
      <c r="CI146" s="422">
        <v>0.49147434000000001</v>
      </c>
    </row>
    <row r="147" spans="1:87" ht="15" customHeight="1" x14ac:dyDescent="0.2">
      <c r="A147" s="423">
        <v>62009031</v>
      </c>
      <c r="B147" s="297" t="s">
        <v>882</v>
      </c>
      <c r="C147" s="297" t="s">
        <v>630</v>
      </c>
      <c r="D147" s="326" t="s">
        <v>888</v>
      </c>
      <c r="E147" s="283" t="s">
        <v>889</v>
      </c>
      <c r="F147" s="310" t="str">
        <f t="shared" si="147"/>
        <v>09/18/20</v>
      </c>
      <c r="G147" s="298" t="s">
        <v>890</v>
      </c>
      <c r="H147" s="298" t="s">
        <v>775</v>
      </c>
      <c r="I147" s="306"/>
      <c r="J147" s="299">
        <v>24.147424999999998</v>
      </c>
      <c r="K147" s="299">
        <v>41.623212000000002</v>
      </c>
      <c r="L147" s="299">
        <v>29.654108999999998</v>
      </c>
      <c r="M147" s="299">
        <v>31.105098999999999</v>
      </c>
      <c r="N147" s="284">
        <v>3875</v>
      </c>
      <c r="O147" s="284">
        <v>28.39</v>
      </c>
      <c r="P147" s="284">
        <v>0.20169999999999999</v>
      </c>
      <c r="Q147" s="284">
        <v>1.932E-2</v>
      </c>
      <c r="R147" s="285">
        <v>7.9930627300000001</v>
      </c>
      <c r="S147" s="285">
        <f t="shared" si="149"/>
        <v>15.985933380000001</v>
      </c>
      <c r="T147" s="314">
        <v>70.998600999999994</v>
      </c>
      <c r="U147" s="314">
        <v>67.923912999999999</v>
      </c>
      <c r="V147" s="289">
        <v>19226</v>
      </c>
      <c r="W147" s="289">
        <v>21350</v>
      </c>
      <c r="X147" s="289">
        <f t="shared" si="150"/>
        <v>2124</v>
      </c>
      <c r="Y147" s="289">
        <f t="shared" si="122"/>
        <v>265.73043046792151</v>
      </c>
      <c r="Z147" s="308">
        <v>458.9</v>
      </c>
      <c r="AA147" s="289">
        <v>487</v>
      </c>
      <c r="AB147" s="289">
        <f t="shared" si="151"/>
        <v>28.100000000000023</v>
      </c>
      <c r="AC147" s="289">
        <f t="shared" si="123"/>
        <v>3.5155485386763656</v>
      </c>
      <c r="AD147" s="308">
        <v>394.26316800000001</v>
      </c>
      <c r="AE147" s="289">
        <v>418.59281199999998</v>
      </c>
      <c r="AF147" s="289">
        <f t="shared" si="152"/>
        <v>24.329643999999973</v>
      </c>
      <c r="AG147" s="289">
        <f t="shared" si="124"/>
        <v>3.0438449968226351</v>
      </c>
      <c r="AH147" s="308">
        <v>29.88</v>
      </c>
      <c r="AI147" s="289">
        <v>29.96</v>
      </c>
      <c r="AJ147" s="289">
        <f t="shared" si="153"/>
        <v>8.0000000000001847E-2</v>
      </c>
      <c r="AK147" s="307">
        <f t="shared" si="125"/>
        <v>1.0008679113669592E-2</v>
      </c>
      <c r="AL147" s="308">
        <v>-42</v>
      </c>
      <c r="AM147" s="289">
        <v>-44.5</v>
      </c>
      <c r="AN147" s="289">
        <f t="shared" si="154"/>
        <v>-2.5</v>
      </c>
      <c r="AO147" s="307">
        <f t="shared" si="126"/>
        <v>-0.31277122230216753</v>
      </c>
      <c r="AP147" s="308">
        <v>-50.6</v>
      </c>
      <c r="AQ147" s="289">
        <v>-53.6</v>
      </c>
      <c r="AR147" s="289">
        <f t="shared" si="155"/>
        <v>-3</v>
      </c>
      <c r="AS147" s="307">
        <f t="shared" si="127"/>
        <v>-0.37532546676260103</v>
      </c>
      <c r="AT147" s="308">
        <v>17.100000000000001</v>
      </c>
      <c r="AU147" s="289">
        <v>18.100000000000001</v>
      </c>
      <c r="AV147" s="289">
        <f t="shared" si="156"/>
        <v>1</v>
      </c>
      <c r="AW147" s="307">
        <f t="shared" si="128"/>
        <v>0.12510848892086701</v>
      </c>
      <c r="AX147" s="308">
        <v>19201</v>
      </c>
      <c r="AY147" s="289">
        <v>21325</v>
      </c>
      <c r="AZ147" s="289">
        <f t="shared" si="157"/>
        <v>2124</v>
      </c>
      <c r="BA147" s="307">
        <f t="shared" si="129"/>
        <v>265.73043046792151</v>
      </c>
      <c r="BB147" s="308">
        <v>38.799999999999997</v>
      </c>
      <c r="BC147" s="289">
        <v>39.6</v>
      </c>
      <c r="BD147" s="289">
        <f t="shared" si="158"/>
        <v>0.80000000000000426</v>
      </c>
      <c r="BE147" s="307">
        <f t="shared" si="130"/>
        <v>0.10008679113669414</v>
      </c>
      <c r="BF147" s="308">
        <v>-23.2</v>
      </c>
      <c r="BG147" s="289">
        <v>-23.2</v>
      </c>
      <c r="BH147" s="289">
        <f t="shared" si="159"/>
        <v>0</v>
      </c>
      <c r="BI147" s="307">
        <f t="shared" si="131"/>
        <v>0</v>
      </c>
      <c r="BJ147" s="281">
        <v>70.998600999999994</v>
      </c>
      <c r="BK147" s="281">
        <v>67.923912999999999</v>
      </c>
      <c r="BL147" s="281">
        <f t="shared" si="160"/>
        <v>-3.0746879999999948</v>
      </c>
      <c r="BM147" s="408">
        <v>-23.2</v>
      </c>
      <c r="BN147" s="458">
        <v>-23.2</v>
      </c>
      <c r="BO147" s="458">
        <f t="shared" si="161"/>
        <v>0</v>
      </c>
      <c r="BP147" s="408">
        <v>38.799999999999997</v>
      </c>
      <c r="BQ147" s="458">
        <v>39.6</v>
      </c>
      <c r="BR147" s="458">
        <f t="shared" si="162"/>
        <v>0.80000000000000426</v>
      </c>
      <c r="BS147" s="281"/>
      <c r="BT147" s="281"/>
      <c r="BU147" s="281"/>
      <c r="BV147" s="281"/>
      <c r="BW147" s="298" t="s">
        <v>855</v>
      </c>
      <c r="BX147" s="422">
        <v>8572.6678796100005</v>
      </c>
      <c r="BY147" s="422">
        <v>-4.0785901100000004</v>
      </c>
      <c r="BZ147" s="422">
        <v>3451.2377595399998</v>
      </c>
      <c r="CA147" s="422">
        <v>3597.98481227</v>
      </c>
      <c r="CB147" s="422">
        <v>9.2451532299999997</v>
      </c>
      <c r="CC147" s="422">
        <v>9.4375978499999995</v>
      </c>
      <c r="CD147" s="422">
        <v>-0.18587782999999999</v>
      </c>
      <c r="CE147" s="422">
        <v>7.9930664800000004</v>
      </c>
      <c r="CF147" s="422">
        <v>8.0079514899999999</v>
      </c>
      <c r="CG147" s="422">
        <v>-1.89182608</v>
      </c>
      <c r="CH147" s="422">
        <v>-2.03912717</v>
      </c>
      <c r="CI147" s="422">
        <v>0.49142249999999998</v>
      </c>
    </row>
    <row r="148" spans="1:87" ht="15" customHeight="1" x14ac:dyDescent="0.2">
      <c r="A148" s="423">
        <v>62009031</v>
      </c>
      <c r="B148" s="297" t="s">
        <v>882</v>
      </c>
      <c r="C148" s="297" t="s">
        <v>631</v>
      </c>
      <c r="D148" s="326" t="s">
        <v>888</v>
      </c>
      <c r="E148" s="283" t="s">
        <v>889</v>
      </c>
      <c r="F148" s="310" t="str">
        <f t="shared" si="147"/>
        <v>09/18/20</v>
      </c>
      <c r="G148" s="298" t="s">
        <v>890</v>
      </c>
      <c r="H148" s="298" t="s">
        <v>775</v>
      </c>
      <c r="I148" s="306"/>
      <c r="J148" s="299">
        <v>24.138549999999999</v>
      </c>
      <c r="K148" s="299">
        <v>40.899968000000001</v>
      </c>
      <c r="L148" s="299">
        <v>29.658179000000001</v>
      </c>
      <c r="M148" s="299">
        <v>31.155377999999999</v>
      </c>
      <c r="N148" s="284">
        <v>3875</v>
      </c>
      <c r="O148" s="284">
        <v>28.39</v>
      </c>
      <c r="P148" s="284">
        <v>0.20169999999999999</v>
      </c>
      <c r="Q148" s="284">
        <v>1.932E-2</v>
      </c>
      <c r="R148" s="285">
        <v>7.99284515</v>
      </c>
      <c r="S148" s="285">
        <f t="shared" si="149"/>
        <v>15.985907879999999</v>
      </c>
      <c r="T148" s="314">
        <v>67.923912999999999</v>
      </c>
      <c r="U148" s="314">
        <v>64.803447000000006</v>
      </c>
      <c r="V148" s="289">
        <v>21350</v>
      </c>
      <c r="W148" s="289">
        <v>23486</v>
      </c>
      <c r="X148" s="289">
        <f t="shared" si="150"/>
        <v>2136</v>
      </c>
      <c r="Y148" s="289">
        <f t="shared" si="122"/>
        <v>267.23900687604339</v>
      </c>
      <c r="Z148" s="308">
        <v>487</v>
      </c>
      <c r="AA148" s="289">
        <v>528.79999999999995</v>
      </c>
      <c r="AB148" s="289">
        <f t="shared" si="151"/>
        <v>41.799999999999955</v>
      </c>
      <c r="AC148" s="289">
        <f t="shared" si="123"/>
        <v>5.2296771944843643</v>
      </c>
      <c r="AD148" s="308">
        <v>418.6</v>
      </c>
      <c r="AE148" s="289">
        <v>455.56255399999998</v>
      </c>
      <c r="AF148" s="289">
        <f t="shared" si="152"/>
        <v>36.962553999999955</v>
      </c>
      <c r="AG148" s="289">
        <f t="shared" si="124"/>
        <v>4.6244551603755211</v>
      </c>
      <c r="AH148" s="308">
        <v>29.96</v>
      </c>
      <c r="AI148" s="289">
        <v>18.137446000000001</v>
      </c>
      <c r="AJ148" s="289">
        <f t="shared" si="153"/>
        <v>-11.822554</v>
      </c>
      <c r="AK148" s="307">
        <f t="shared" si="125"/>
        <v>-1.4791421300086116</v>
      </c>
      <c r="AL148" s="308">
        <v>-44.5</v>
      </c>
      <c r="AM148" s="289">
        <v>-46.9</v>
      </c>
      <c r="AN148" s="289">
        <f t="shared" si="154"/>
        <v>-2.3999999999999986</v>
      </c>
      <c r="AO148" s="307">
        <f t="shared" si="126"/>
        <v>-0.30026854705173395</v>
      </c>
      <c r="AP148" s="308">
        <v>-53.6</v>
      </c>
      <c r="AQ148" s="289">
        <v>-56.5</v>
      </c>
      <c r="AR148" s="289">
        <f t="shared" si="155"/>
        <v>-2.8999999999999986</v>
      </c>
      <c r="AS148" s="307">
        <f t="shared" si="127"/>
        <v>-0.36282449435417857</v>
      </c>
      <c r="AT148" s="308">
        <v>18.100000000000001</v>
      </c>
      <c r="AU148" s="289">
        <v>19.100000000000001</v>
      </c>
      <c r="AV148" s="289">
        <f t="shared" si="156"/>
        <v>1</v>
      </c>
      <c r="AW148" s="307">
        <f t="shared" si="128"/>
        <v>0.12511189460488922</v>
      </c>
      <c r="AX148" s="308">
        <v>21325</v>
      </c>
      <c r="AY148" s="289">
        <v>23463</v>
      </c>
      <c r="AZ148" s="289">
        <f t="shared" si="157"/>
        <v>2138</v>
      </c>
      <c r="BA148" s="307">
        <f t="shared" si="129"/>
        <v>267.48923066525316</v>
      </c>
      <c r="BB148" s="308">
        <v>39.6</v>
      </c>
      <c r="BC148" s="289">
        <v>40.5</v>
      </c>
      <c r="BD148" s="289">
        <f t="shared" si="158"/>
        <v>0.89999999999999858</v>
      </c>
      <c r="BE148" s="307">
        <f t="shared" si="130"/>
        <v>0.11260070514440013</v>
      </c>
      <c r="BF148" s="308">
        <v>-23.2</v>
      </c>
      <c r="BG148" s="289">
        <v>-23.2</v>
      </c>
      <c r="BH148" s="289">
        <f t="shared" si="159"/>
        <v>0</v>
      </c>
      <c r="BI148" s="307">
        <f t="shared" si="131"/>
        <v>0</v>
      </c>
      <c r="BJ148" s="281">
        <v>67.923912999999999</v>
      </c>
      <c r="BK148" s="281">
        <v>64.803447000000006</v>
      </c>
      <c r="BL148" s="281">
        <f t="shared" si="160"/>
        <v>-3.1204659999999933</v>
      </c>
      <c r="BM148" s="408">
        <v>-23.2</v>
      </c>
      <c r="BN148" s="458">
        <v>-23.2</v>
      </c>
      <c r="BO148" s="458">
        <f t="shared" si="161"/>
        <v>0</v>
      </c>
      <c r="BP148" s="408">
        <v>39.6</v>
      </c>
      <c r="BQ148" s="458">
        <v>40.5</v>
      </c>
      <c r="BR148" s="458">
        <f t="shared" si="162"/>
        <v>0.89999999999999858</v>
      </c>
      <c r="BS148" s="281"/>
      <c r="BT148" s="281"/>
      <c r="BU148" s="281"/>
      <c r="BV148" s="281"/>
      <c r="BW148" s="298" t="s">
        <v>855</v>
      </c>
      <c r="BX148" s="422">
        <v>8569.0461309500006</v>
      </c>
      <c r="BY148" s="422">
        <v>-4.0333366000000002</v>
      </c>
      <c r="BZ148" s="422">
        <v>3452.7342424799999</v>
      </c>
      <c r="CA148" s="422">
        <v>3597.8475441400001</v>
      </c>
      <c r="CB148" s="422">
        <v>9.2460414400000008</v>
      </c>
      <c r="CC148" s="422">
        <v>9.4374706699999997</v>
      </c>
      <c r="CD148" s="422">
        <v>-0.18819981999999999</v>
      </c>
      <c r="CE148" s="422">
        <v>7.9928804700000002</v>
      </c>
      <c r="CF148" s="422">
        <v>8.0079514199999995</v>
      </c>
      <c r="CG148" s="422">
        <v>-1.8782949499999999</v>
      </c>
      <c r="CH148" s="422">
        <v>-2.0283955100000002</v>
      </c>
      <c r="CI148" s="422">
        <v>0.49139706</v>
      </c>
    </row>
    <row r="149" spans="1:87" ht="15" customHeight="1" x14ac:dyDescent="0.2">
      <c r="A149" s="423">
        <v>62009031</v>
      </c>
      <c r="B149" s="297" t="s">
        <v>882</v>
      </c>
      <c r="C149" s="297" t="s">
        <v>810</v>
      </c>
      <c r="D149" s="326" t="s">
        <v>888</v>
      </c>
      <c r="E149" s="283" t="s">
        <v>889</v>
      </c>
      <c r="F149" s="310" t="str">
        <f t="shared" si="147"/>
        <v>09/18/20</v>
      </c>
      <c r="G149" s="298" t="s">
        <v>890</v>
      </c>
      <c r="H149" s="298" t="s">
        <v>775</v>
      </c>
      <c r="I149" s="306"/>
      <c r="J149" s="299">
        <v>24.147027999999999</v>
      </c>
      <c r="K149" s="299">
        <v>38.742451000000003</v>
      </c>
      <c r="L149" s="299">
        <v>29.658329999999999</v>
      </c>
      <c r="M149" s="299">
        <v>31.196646000000001</v>
      </c>
      <c r="N149" s="284">
        <v>3875</v>
      </c>
      <c r="O149" s="284">
        <v>28.39</v>
      </c>
      <c r="P149" s="284">
        <v>0.20169999999999999</v>
      </c>
      <c r="Q149" s="284">
        <v>1.932E-2</v>
      </c>
      <c r="R149" s="285">
        <v>7.9935818799999998</v>
      </c>
      <c r="S149" s="285">
        <f t="shared" si="149"/>
        <v>15.98642703</v>
      </c>
      <c r="T149" s="314">
        <v>64.803447000000006</v>
      </c>
      <c r="U149" s="314">
        <v>61.687559</v>
      </c>
      <c r="V149" s="289">
        <v>23486</v>
      </c>
      <c r="W149" s="289">
        <v>25603</v>
      </c>
      <c r="X149" s="289">
        <f t="shared" si="150"/>
        <v>2117</v>
      </c>
      <c r="Y149" s="289">
        <f t="shared" si="122"/>
        <v>264.83746983273539</v>
      </c>
      <c r="Z149" s="308">
        <v>528.79999999999995</v>
      </c>
      <c r="AA149" s="289">
        <v>551.4</v>
      </c>
      <c r="AB149" s="289">
        <f t="shared" si="151"/>
        <v>22.600000000000023</v>
      </c>
      <c r="AC149" s="289">
        <f t="shared" si="123"/>
        <v>2.8272682183371871</v>
      </c>
      <c r="AD149" s="308">
        <v>455.58248200000003</v>
      </c>
      <c r="AE149" s="289">
        <v>474.96224899999999</v>
      </c>
      <c r="AF149" s="289">
        <f t="shared" si="152"/>
        <v>19.379766999999958</v>
      </c>
      <c r="AG149" s="289">
        <f t="shared" si="124"/>
        <v>2.424415899021223</v>
      </c>
      <c r="AH149" s="308">
        <v>18.127517999999998</v>
      </c>
      <c r="AI149" s="289">
        <v>23.61</v>
      </c>
      <c r="AJ149" s="289">
        <f t="shared" si="153"/>
        <v>5.482482000000001</v>
      </c>
      <c r="AK149" s="307">
        <f t="shared" si="125"/>
        <v>0.68586049186750819</v>
      </c>
      <c r="AL149" s="308">
        <v>-46.9</v>
      </c>
      <c r="AM149" s="289">
        <v>-49.3</v>
      </c>
      <c r="AN149" s="289">
        <f t="shared" si="154"/>
        <v>-2.3999999999999986</v>
      </c>
      <c r="AO149" s="307">
        <f t="shared" si="126"/>
        <v>-0.30024087274377159</v>
      </c>
      <c r="AP149" s="308">
        <v>-56.5</v>
      </c>
      <c r="AQ149" s="289">
        <v>-59.3</v>
      </c>
      <c r="AR149" s="289">
        <f t="shared" si="155"/>
        <v>-2.7999999999999972</v>
      </c>
      <c r="AS149" s="307">
        <f t="shared" si="127"/>
        <v>-0.35028101820106672</v>
      </c>
      <c r="AT149" s="308">
        <v>19.100000000000001</v>
      </c>
      <c r="AU149" s="289">
        <v>20.100000000000001</v>
      </c>
      <c r="AV149" s="289">
        <f t="shared" si="156"/>
        <v>1</v>
      </c>
      <c r="AW149" s="307">
        <f t="shared" si="128"/>
        <v>0.12510036364323823</v>
      </c>
      <c r="AX149" s="308">
        <v>23463</v>
      </c>
      <c r="AY149" s="289">
        <v>25582</v>
      </c>
      <c r="AZ149" s="289">
        <f t="shared" si="157"/>
        <v>2119</v>
      </c>
      <c r="BA149" s="307">
        <f t="shared" si="129"/>
        <v>265.08767056002182</v>
      </c>
      <c r="BB149" s="308">
        <v>40.5</v>
      </c>
      <c r="BC149" s="289">
        <v>41.3</v>
      </c>
      <c r="BD149" s="289">
        <f t="shared" si="158"/>
        <v>0.79999999999999716</v>
      </c>
      <c r="BE149" s="307">
        <f t="shared" si="130"/>
        <v>0.10008029091459024</v>
      </c>
      <c r="BF149" s="308">
        <v>-23.2</v>
      </c>
      <c r="BG149" s="289">
        <v>-23.2</v>
      </c>
      <c r="BH149" s="289">
        <f t="shared" si="159"/>
        <v>0</v>
      </c>
      <c r="BI149" s="307">
        <f t="shared" si="131"/>
        <v>0</v>
      </c>
      <c r="BJ149" s="281">
        <v>64.803447000000006</v>
      </c>
      <c r="BK149" s="281">
        <v>61.687559</v>
      </c>
      <c r="BL149" s="281">
        <f t="shared" si="160"/>
        <v>-3.1158880000000053</v>
      </c>
      <c r="BM149" s="408">
        <v>-23.2</v>
      </c>
      <c r="BN149" s="458">
        <v>-23.2</v>
      </c>
      <c r="BO149" s="458">
        <f t="shared" si="161"/>
        <v>0</v>
      </c>
      <c r="BP149" s="408">
        <v>40.5</v>
      </c>
      <c r="BQ149" s="458">
        <v>41.3</v>
      </c>
      <c r="BR149" s="458">
        <f t="shared" si="162"/>
        <v>0.79999999999999716</v>
      </c>
      <c r="BS149" s="281"/>
      <c r="BT149" s="281"/>
      <c r="BU149" s="281"/>
      <c r="BV149" s="281"/>
      <c r="BW149" s="298" t="s">
        <v>855</v>
      </c>
      <c r="BX149" s="422">
        <v>8566.9274551800008</v>
      </c>
      <c r="BY149" s="422">
        <v>-4.03343527</v>
      </c>
      <c r="BZ149" s="422">
        <v>3452.6256974399998</v>
      </c>
      <c r="CA149" s="422">
        <v>3597.73813651</v>
      </c>
      <c r="CB149" s="422">
        <v>9.24642871</v>
      </c>
      <c r="CC149" s="422">
        <v>9.4373147999999993</v>
      </c>
      <c r="CD149" s="422">
        <v>-0.17964804000000001</v>
      </c>
      <c r="CE149" s="422">
        <v>7.9935653899999997</v>
      </c>
      <c r="CF149" s="422">
        <v>8.0079515099999998</v>
      </c>
      <c r="CG149" s="422">
        <v>-1.8810737200000001</v>
      </c>
      <c r="CH149" s="422">
        <v>-2.0226737699999999</v>
      </c>
      <c r="CI149" s="422">
        <v>0.49137986</v>
      </c>
    </row>
    <row r="150" spans="1:87" ht="15" customHeight="1" x14ac:dyDescent="0.2">
      <c r="A150" s="423">
        <v>62009031</v>
      </c>
      <c r="B150" s="297" t="s">
        <v>882</v>
      </c>
      <c r="C150" s="297" t="s">
        <v>634</v>
      </c>
      <c r="D150" s="326" t="s">
        <v>888</v>
      </c>
      <c r="E150" s="283" t="s">
        <v>889</v>
      </c>
      <c r="F150" s="310" t="str">
        <f t="shared" si="147"/>
        <v>09/18/20</v>
      </c>
      <c r="G150" s="298" t="s">
        <v>890</v>
      </c>
      <c r="H150" s="298" t="s">
        <v>775</v>
      </c>
      <c r="I150" s="306"/>
      <c r="J150" s="299">
        <v>24.145341999999999</v>
      </c>
      <c r="K150" s="299">
        <v>40.926071999999998</v>
      </c>
      <c r="L150" s="299">
        <v>29.658923000000001</v>
      </c>
      <c r="M150" s="299">
        <v>31.245151</v>
      </c>
      <c r="N150" s="284">
        <v>3875</v>
      </c>
      <c r="O150" s="284">
        <v>28.39</v>
      </c>
      <c r="P150" s="284">
        <v>0.20169999999999999</v>
      </c>
      <c r="Q150" s="284">
        <v>1.932E-2</v>
      </c>
      <c r="R150" s="285">
        <v>7.9927277300000004</v>
      </c>
      <c r="S150" s="285">
        <f t="shared" si="149"/>
        <v>15.986309609999999</v>
      </c>
      <c r="T150" s="314">
        <v>61.687559</v>
      </c>
      <c r="U150" s="314">
        <v>58.538102000000002</v>
      </c>
      <c r="V150" s="289">
        <v>25603</v>
      </c>
      <c r="W150" s="289">
        <v>27725</v>
      </c>
      <c r="X150" s="289">
        <f t="shared" si="150"/>
        <v>2122</v>
      </c>
      <c r="Y150" s="289">
        <f t="shared" si="122"/>
        <v>265.4913405889281</v>
      </c>
      <c r="Z150" s="308">
        <v>551.4</v>
      </c>
      <c r="AA150" s="289">
        <v>578.4</v>
      </c>
      <c r="AB150" s="289">
        <f t="shared" si="151"/>
        <v>27</v>
      </c>
      <c r="AC150" s="289">
        <f t="shared" si="123"/>
        <v>3.3780707803492263</v>
      </c>
      <c r="AD150" s="308">
        <v>474.97</v>
      </c>
      <c r="AE150" s="289">
        <v>498.32</v>
      </c>
      <c r="AF150" s="289">
        <f t="shared" si="152"/>
        <v>23.349999999999966</v>
      </c>
      <c r="AG150" s="289">
        <f t="shared" si="124"/>
        <v>2.9214056563390489</v>
      </c>
      <c r="AH150" s="308">
        <v>23.61</v>
      </c>
      <c r="AI150" s="289">
        <v>24.81</v>
      </c>
      <c r="AJ150" s="289">
        <f t="shared" si="153"/>
        <v>1.1999999999999993</v>
      </c>
      <c r="AK150" s="307">
        <f t="shared" si="125"/>
        <v>0.15013647912663219</v>
      </c>
      <c r="AL150" s="308">
        <v>-49.3</v>
      </c>
      <c r="AM150" s="289">
        <v>-51.6</v>
      </c>
      <c r="AN150" s="289">
        <f t="shared" si="154"/>
        <v>-2.3000000000000043</v>
      </c>
      <c r="AO150" s="307">
        <f t="shared" si="126"/>
        <v>-0.28776158499271237</v>
      </c>
      <c r="AP150" s="308">
        <v>-59.3</v>
      </c>
      <c r="AQ150" s="289">
        <v>-62.2</v>
      </c>
      <c r="AR150" s="289">
        <f t="shared" si="155"/>
        <v>-2.9000000000000057</v>
      </c>
      <c r="AS150" s="307">
        <f t="shared" si="127"/>
        <v>-0.36282982455602869</v>
      </c>
      <c r="AT150" s="308">
        <v>20.100000000000001</v>
      </c>
      <c r="AU150" s="289">
        <v>21</v>
      </c>
      <c r="AV150" s="289">
        <f t="shared" si="156"/>
        <v>0.89999999999999858</v>
      </c>
      <c r="AW150" s="307">
        <f t="shared" si="128"/>
        <v>0.11260235934497402</v>
      </c>
      <c r="AX150" s="308">
        <v>25582</v>
      </c>
      <c r="AY150" s="289">
        <v>27704</v>
      </c>
      <c r="AZ150" s="289">
        <f t="shared" si="157"/>
        <v>2122</v>
      </c>
      <c r="BA150" s="307">
        <f t="shared" si="129"/>
        <v>265.4913405889281</v>
      </c>
      <c r="BB150" s="308">
        <v>41.3</v>
      </c>
      <c r="BC150" s="289">
        <v>42.1</v>
      </c>
      <c r="BD150" s="289">
        <f t="shared" si="158"/>
        <v>0.80000000000000426</v>
      </c>
      <c r="BE150" s="307">
        <f t="shared" si="130"/>
        <v>0.10009098608442205</v>
      </c>
      <c r="BF150" s="308">
        <v>-23.2</v>
      </c>
      <c r="BG150" s="289">
        <v>-23.2</v>
      </c>
      <c r="BH150" s="289">
        <f t="shared" si="159"/>
        <v>0</v>
      </c>
      <c r="BI150" s="307">
        <f t="shared" si="131"/>
        <v>0</v>
      </c>
      <c r="BJ150" s="281">
        <v>61.687559</v>
      </c>
      <c r="BK150" s="281">
        <v>58.538102000000002</v>
      </c>
      <c r="BL150" s="281">
        <f t="shared" si="160"/>
        <v>-3.1494569999999982</v>
      </c>
      <c r="BM150" s="408">
        <v>-23.2</v>
      </c>
      <c r="BN150" s="458">
        <v>-23.2</v>
      </c>
      <c r="BO150" s="458">
        <f t="shared" si="161"/>
        <v>0</v>
      </c>
      <c r="BP150" s="408">
        <v>41.3</v>
      </c>
      <c r="BQ150" s="458">
        <v>42.1</v>
      </c>
      <c r="BR150" s="458">
        <f t="shared" si="162"/>
        <v>0.80000000000000426</v>
      </c>
      <c r="BS150" s="281"/>
      <c r="BT150" s="281"/>
      <c r="BU150" s="281"/>
      <c r="BV150" s="281"/>
      <c r="BW150" s="298" t="s">
        <v>855</v>
      </c>
      <c r="BX150" s="422">
        <v>8564.6697286899998</v>
      </c>
      <c r="BY150" s="422">
        <v>-4.0594460400000001</v>
      </c>
      <c r="BZ150" s="422">
        <v>3451.7060811299998</v>
      </c>
      <c r="CA150" s="422">
        <v>3597.7550042799999</v>
      </c>
      <c r="CB150" s="422">
        <v>9.2455737100000004</v>
      </c>
      <c r="CC150" s="422">
        <v>9.4373513199999994</v>
      </c>
      <c r="CD150" s="422">
        <v>-0.18938437999999999</v>
      </c>
      <c r="CE150" s="422">
        <v>7.9927856400000001</v>
      </c>
      <c r="CF150" s="422">
        <v>8.0079514500000002</v>
      </c>
      <c r="CG150" s="422">
        <v>-1.8809513499999999</v>
      </c>
      <c r="CH150" s="422">
        <v>-2.03211268</v>
      </c>
      <c r="CI150" s="422">
        <v>0.49138367999999999</v>
      </c>
    </row>
    <row r="151" spans="1:87" ht="15" customHeight="1" x14ac:dyDescent="0.2">
      <c r="A151" s="423">
        <v>62009031</v>
      </c>
      <c r="B151" s="297" t="s">
        <v>882</v>
      </c>
      <c r="C151" s="297" t="s">
        <v>811</v>
      </c>
      <c r="D151" s="326" t="s">
        <v>888</v>
      </c>
      <c r="E151" s="283" t="s">
        <v>889</v>
      </c>
      <c r="F151" s="310" t="str">
        <f t="shared" si="147"/>
        <v>09/18/20</v>
      </c>
      <c r="G151" s="298" t="s">
        <v>890</v>
      </c>
      <c r="H151" s="298" t="s">
        <v>775</v>
      </c>
      <c r="I151" s="306"/>
      <c r="J151" s="299">
        <v>24.186216999999999</v>
      </c>
      <c r="K151" s="299">
        <v>42.536707</v>
      </c>
      <c r="L151" s="299">
        <v>29.658431</v>
      </c>
      <c r="M151" s="299">
        <v>31.315470000000001</v>
      </c>
      <c r="N151" s="284">
        <v>3875</v>
      </c>
      <c r="O151" s="284">
        <v>28.39</v>
      </c>
      <c r="P151" s="284">
        <v>0.20169999999999999</v>
      </c>
      <c r="Q151" s="284">
        <v>1.932E-2</v>
      </c>
      <c r="R151" s="285">
        <v>7.9936075899999999</v>
      </c>
      <c r="S151" s="285">
        <f t="shared" si="149"/>
        <v>15.98633532</v>
      </c>
      <c r="T151" s="314">
        <v>58.538102000000002</v>
      </c>
      <c r="U151" s="314">
        <v>55.361178000000002</v>
      </c>
      <c r="V151" s="289">
        <v>27725</v>
      </c>
      <c r="W151" s="289">
        <v>29847</v>
      </c>
      <c r="X151" s="289">
        <f t="shared" si="150"/>
        <v>2122</v>
      </c>
      <c r="Y151" s="289">
        <f t="shared" si="122"/>
        <v>265.46211783708537</v>
      </c>
      <c r="Z151" s="308">
        <v>578.4</v>
      </c>
      <c r="AA151" s="289">
        <v>606.20000000000005</v>
      </c>
      <c r="AB151" s="289">
        <f t="shared" si="151"/>
        <v>27.800000000000068</v>
      </c>
      <c r="AC151" s="289">
        <f t="shared" si="123"/>
        <v>3.4777789235961318</v>
      </c>
      <c r="AD151" s="308">
        <v>498.32195300000001</v>
      </c>
      <c r="AE151" s="289">
        <v>522.42171099999996</v>
      </c>
      <c r="AF151" s="289">
        <f t="shared" si="152"/>
        <v>24.099757999999952</v>
      </c>
      <c r="AG151" s="289">
        <f t="shared" si="124"/>
        <v>3.014878792667874</v>
      </c>
      <c r="AH151" s="308">
        <v>24.81</v>
      </c>
      <c r="AI151" s="289">
        <v>25.28</v>
      </c>
      <c r="AJ151" s="289">
        <f t="shared" si="153"/>
        <v>0.47000000000000242</v>
      </c>
      <c r="AK151" s="307">
        <f t="shared" si="125"/>
        <v>5.8796981801805259E-2</v>
      </c>
      <c r="AL151" s="308">
        <v>-51.6</v>
      </c>
      <c r="AM151" s="289">
        <v>-54</v>
      </c>
      <c r="AN151" s="289">
        <f t="shared" si="154"/>
        <v>-2.3999999999999986</v>
      </c>
      <c r="AO151" s="307">
        <f t="shared" si="126"/>
        <v>-0.30023990707304643</v>
      </c>
      <c r="AP151" s="308">
        <v>-62.2</v>
      </c>
      <c r="AQ151" s="289">
        <v>-65</v>
      </c>
      <c r="AR151" s="289">
        <f t="shared" si="155"/>
        <v>-2.7999999999999972</v>
      </c>
      <c r="AS151" s="307">
        <f t="shared" si="127"/>
        <v>-0.35027989158522066</v>
      </c>
      <c r="AT151" s="308">
        <v>21</v>
      </c>
      <c r="AU151" s="289">
        <v>22</v>
      </c>
      <c r="AV151" s="289">
        <f t="shared" si="156"/>
        <v>1</v>
      </c>
      <c r="AW151" s="307">
        <f t="shared" si="128"/>
        <v>0.12509996128043607</v>
      </c>
      <c r="AX151" s="308">
        <v>27704</v>
      </c>
      <c r="AY151" s="289">
        <v>29828</v>
      </c>
      <c r="AZ151" s="289">
        <f t="shared" si="157"/>
        <v>2124</v>
      </c>
      <c r="BA151" s="307">
        <f t="shared" si="129"/>
        <v>265.71231775964623</v>
      </c>
      <c r="BB151" s="308">
        <v>42.1</v>
      </c>
      <c r="BC151" s="289">
        <v>43</v>
      </c>
      <c r="BD151" s="289">
        <f t="shared" si="158"/>
        <v>0.89999999999999858</v>
      </c>
      <c r="BE151" s="307">
        <f t="shared" si="130"/>
        <v>0.11258996515239229</v>
      </c>
      <c r="BF151" s="308">
        <v>-23.2</v>
      </c>
      <c r="BG151" s="289">
        <v>-23.2</v>
      </c>
      <c r="BH151" s="289">
        <f t="shared" si="159"/>
        <v>0</v>
      </c>
      <c r="BI151" s="307">
        <f t="shared" si="131"/>
        <v>0</v>
      </c>
      <c r="BJ151" s="281">
        <v>58.538102000000002</v>
      </c>
      <c r="BK151" s="281">
        <v>55.361178000000002</v>
      </c>
      <c r="BL151" s="281">
        <f t="shared" si="160"/>
        <v>-3.1769239999999996</v>
      </c>
      <c r="BM151" s="408">
        <v>-23.2</v>
      </c>
      <c r="BN151" s="458">
        <v>-23.2</v>
      </c>
      <c r="BO151" s="458">
        <f t="shared" si="161"/>
        <v>0</v>
      </c>
      <c r="BP151" s="408">
        <v>42.1</v>
      </c>
      <c r="BQ151" s="458">
        <v>43</v>
      </c>
      <c r="BR151" s="458">
        <f t="shared" si="162"/>
        <v>0.89999999999999858</v>
      </c>
      <c r="BS151" s="281"/>
      <c r="BT151" s="281"/>
      <c r="BU151" s="281"/>
      <c r="BV151" s="281"/>
      <c r="BW151" s="298" t="s">
        <v>855</v>
      </c>
      <c r="BX151" s="422">
        <v>8568.9981833500005</v>
      </c>
      <c r="BY151" s="422">
        <v>-4.0378503400000003</v>
      </c>
      <c r="BZ151" s="422">
        <v>3452.5655002799999</v>
      </c>
      <c r="CA151" s="422">
        <v>3597.8409327300001</v>
      </c>
      <c r="CB151" s="422">
        <v>9.2450419099999994</v>
      </c>
      <c r="CC151" s="422">
        <v>9.4374391400000004</v>
      </c>
      <c r="CD151" s="422">
        <v>-0.17898745999999999</v>
      </c>
      <c r="CE151" s="422">
        <v>7.9936179599999999</v>
      </c>
      <c r="CF151" s="422">
        <v>8.00795119</v>
      </c>
      <c r="CG151" s="422">
        <v>-1.89837327</v>
      </c>
      <c r="CH151" s="422">
        <v>-2.03865937</v>
      </c>
      <c r="CI151" s="422">
        <v>0.49140178000000001</v>
      </c>
    </row>
    <row r="152" spans="1:87" ht="15" customHeight="1" x14ac:dyDescent="0.2">
      <c r="A152" s="423">
        <v>62009031</v>
      </c>
      <c r="B152" s="297" t="s">
        <v>882</v>
      </c>
      <c r="C152" s="297" t="s">
        <v>880</v>
      </c>
      <c r="D152" s="326" t="s">
        <v>888</v>
      </c>
      <c r="E152" s="283" t="s">
        <v>889</v>
      </c>
      <c r="F152" s="310" t="str">
        <f t="shared" si="147"/>
        <v>09/18/20</v>
      </c>
      <c r="G152" s="298" t="s">
        <v>890</v>
      </c>
      <c r="H152" s="298" t="s">
        <v>775</v>
      </c>
      <c r="I152" s="306"/>
      <c r="J152" s="299">
        <v>24.176552999999998</v>
      </c>
      <c r="K152" s="299">
        <v>40.743282999999998</v>
      </c>
      <c r="L152" s="299">
        <v>29.661353999999999</v>
      </c>
      <c r="M152" s="299">
        <v>31.328326000000001</v>
      </c>
      <c r="N152" s="284">
        <v>3875</v>
      </c>
      <c r="O152" s="284">
        <v>28.39</v>
      </c>
      <c r="P152" s="284">
        <v>0.20169999999999999</v>
      </c>
      <c r="Q152" s="284">
        <v>1.932E-2</v>
      </c>
      <c r="R152" s="285">
        <v>7.9926568800000002</v>
      </c>
      <c r="S152" s="285">
        <f t="shared" si="149"/>
        <v>15.98626447</v>
      </c>
      <c r="T152" s="314">
        <v>55.361178000000002</v>
      </c>
      <c r="U152" s="314">
        <v>52.161366000000001</v>
      </c>
      <c r="V152" s="289">
        <v>29847</v>
      </c>
      <c r="W152" s="289">
        <v>31969</v>
      </c>
      <c r="X152" s="289">
        <f t="shared" si="150"/>
        <v>2122</v>
      </c>
      <c r="Y152" s="289">
        <f t="shared" si="122"/>
        <v>265.49369400679188</v>
      </c>
      <c r="Z152" s="308">
        <v>606.21709199999998</v>
      </c>
      <c r="AA152" s="289">
        <v>634.29999999999995</v>
      </c>
      <c r="AB152" s="289">
        <f t="shared" si="151"/>
        <v>28.082907999999975</v>
      </c>
      <c r="AC152" s="289">
        <f t="shared" si="123"/>
        <v>3.5135885878288788</v>
      </c>
      <c r="AD152" s="308">
        <v>522.42999999999995</v>
      </c>
      <c r="AE152" s="289">
        <v>546.71</v>
      </c>
      <c r="AF152" s="289">
        <f t="shared" si="152"/>
        <v>24.280000000000086</v>
      </c>
      <c r="AG152" s="289">
        <f t="shared" si="124"/>
        <v>3.03778835555369</v>
      </c>
      <c r="AH152" s="308">
        <v>25.28</v>
      </c>
      <c r="AI152" s="289">
        <v>25.58</v>
      </c>
      <c r="AJ152" s="289">
        <f t="shared" si="153"/>
        <v>0.29999999999999716</v>
      </c>
      <c r="AK152" s="307">
        <f t="shared" si="125"/>
        <v>3.7534452498603585E-2</v>
      </c>
      <c r="AL152" s="308">
        <v>-54</v>
      </c>
      <c r="AM152" s="289">
        <v>-56.3</v>
      </c>
      <c r="AN152" s="289">
        <f t="shared" si="154"/>
        <v>-2.2999999999999972</v>
      </c>
      <c r="AO152" s="307">
        <f t="shared" si="126"/>
        <v>-0.28776413582262989</v>
      </c>
      <c r="AP152" s="308">
        <v>-65</v>
      </c>
      <c r="AQ152" s="289">
        <v>-67.8</v>
      </c>
      <c r="AR152" s="289">
        <f t="shared" si="155"/>
        <v>-2.7999999999999972</v>
      </c>
      <c r="AS152" s="307">
        <f t="shared" si="127"/>
        <v>-0.35032155665363646</v>
      </c>
      <c r="AT152" s="308">
        <v>22</v>
      </c>
      <c r="AU152" s="289">
        <v>22.9</v>
      </c>
      <c r="AV152" s="289">
        <f t="shared" si="156"/>
        <v>0.89999999999999858</v>
      </c>
      <c r="AW152" s="307">
        <f t="shared" si="128"/>
        <v>0.11260335749581166</v>
      </c>
      <c r="AX152" s="308">
        <v>29828</v>
      </c>
      <c r="AY152" s="289">
        <v>31952</v>
      </c>
      <c r="AZ152" s="289">
        <f t="shared" si="157"/>
        <v>2124</v>
      </c>
      <c r="BA152" s="307">
        <f t="shared" si="129"/>
        <v>265.74392369011593</v>
      </c>
      <c r="BB152" s="308">
        <v>43</v>
      </c>
      <c r="BC152" s="289">
        <v>43.8</v>
      </c>
      <c r="BD152" s="289">
        <f t="shared" si="158"/>
        <v>0.79999999999999716</v>
      </c>
      <c r="BE152" s="307">
        <f t="shared" si="130"/>
        <v>0.10009187332961016</v>
      </c>
      <c r="BF152" s="308">
        <v>-23.2</v>
      </c>
      <c r="BG152" s="289">
        <v>-23.2</v>
      </c>
      <c r="BH152" s="289">
        <f t="shared" si="159"/>
        <v>0</v>
      </c>
      <c r="BI152" s="307">
        <f t="shared" si="131"/>
        <v>0</v>
      </c>
      <c r="BJ152" s="281">
        <v>55.361178000000002</v>
      </c>
      <c r="BK152" s="281">
        <v>52.161366000000001</v>
      </c>
      <c r="BL152" s="281">
        <f t="shared" si="160"/>
        <v>-3.1998120000000014</v>
      </c>
      <c r="BM152" s="408">
        <v>-23.2</v>
      </c>
      <c r="BN152" s="458">
        <v>-23.2</v>
      </c>
      <c r="BO152" s="458">
        <f t="shared" si="161"/>
        <v>0</v>
      </c>
      <c r="BP152" s="408">
        <v>43</v>
      </c>
      <c r="BQ152" s="458">
        <v>43.8</v>
      </c>
      <c r="BR152" s="458">
        <f t="shared" si="162"/>
        <v>0.79999999999999716</v>
      </c>
      <c r="BS152" s="281"/>
      <c r="BT152" s="281"/>
      <c r="BU152" s="281"/>
      <c r="BV152" s="281"/>
      <c r="BW152" s="298" t="s">
        <v>855</v>
      </c>
      <c r="BX152" s="422">
        <v>8573.3446419200009</v>
      </c>
      <c r="BY152" s="422">
        <v>-4.0175310199999998</v>
      </c>
      <c r="BZ152" s="422">
        <v>3453.4790748199998</v>
      </c>
      <c r="CA152" s="422">
        <v>3598.03108987</v>
      </c>
      <c r="CB152" s="422">
        <v>9.2463331499999999</v>
      </c>
      <c r="CC152" s="422">
        <v>9.4376754500000004</v>
      </c>
      <c r="CD152" s="422">
        <v>-0.19140243000000001</v>
      </c>
      <c r="CE152" s="422">
        <v>7.9926246599999997</v>
      </c>
      <c r="CF152" s="422">
        <v>8.0079520800000008</v>
      </c>
      <c r="CG152" s="422">
        <v>-1.87402245</v>
      </c>
      <c r="CH152" s="422">
        <v>-2.0274303800000002</v>
      </c>
      <c r="CI152" s="422">
        <v>0.49143634000000003</v>
      </c>
    </row>
    <row r="153" spans="1:87" ht="15" customHeight="1" x14ac:dyDescent="0.2">
      <c r="A153" s="423">
        <v>62009031</v>
      </c>
      <c r="B153" s="297" t="s">
        <v>882</v>
      </c>
      <c r="C153" s="297" t="s">
        <v>881</v>
      </c>
      <c r="D153" s="326" t="s">
        <v>888</v>
      </c>
      <c r="E153" s="283" t="s">
        <v>889</v>
      </c>
      <c r="F153" s="310" t="str">
        <f t="shared" si="147"/>
        <v>09/18/20</v>
      </c>
      <c r="G153" s="298" t="s">
        <v>890</v>
      </c>
      <c r="H153" s="298" t="s">
        <v>775</v>
      </c>
      <c r="I153" s="306"/>
      <c r="J153" s="299">
        <v>24.195060999999999</v>
      </c>
      <c r="K153" s="299">
        <v>39.625973999999999</v>
      </c>
      <c r="L153" s="299">
        <v>29.658923999999999</v>
      </c>
      <c r="M153" s="299">
        <v>31.379898000000001</v>
      </c>
      <c r="N153" s="284">
        <v>3875</v>
      </c>
      <c r="O153" s="284">
        <v>28.39</v>
      </c>
      <c r="P153" s="284">
        <v>0.20169999999999999</v>
      </c>
      <c r="Q153" s="284">
        <v>1.932E-2</v>
      </c>
      <c r="R153" s="285">
        <v>7.9935069800000003</v>
      </c>
      <c r="S153" s="285">
        <f t="shared" si="149"/>
        <v>15.986163860000001</v>
      </c>
      <c r="T153" s="314">
        <v>52.161366000000001</v>
      </c>
      <c r="U153" s="314">
        <v>48.929509000000003</v>
      </c>
      <c r="V153" s="289">
        <v>31969</v>
      </c>
      <c r="W153" s="289">
        <v>34101</v>
      </c>
      <c r="X153" s="289">
        <f t="shared" si="150"/>
        <v>2132</v>
      </c>
      <c r="Y153" s="289">
        <f t="shared" si="122"/>
        <v>266.71647442534663</v>
      </c>
      <c r="Z153" s="308">
        <v>634.29999999999995</v>
      </c>
      <c r="AA153" s="289">
        <v>670.5</v>
      </c>
      <c r="AB153" s="289">
        <f t="shared" si="151"/>
        <v>36.200000000000045</v>
      </c>
      <c r="AC153" s="289">
        <f t="shared" si="123"/>
        <v>4.5286755976536401</v>
      </c>
      <c r="AD153" s="308">
        <v>546.72</v>
      </c>
      <c r="AE153" s="289">
        <v>578.67126099999996</v>
      </c>
      <c r="AF153" s="289">
        <f t="shared" si="152"/>
        <v>31.951260999999931</v>
      </c>
      <c r="AG153" s="289">
        <f t="shared" si="124"/>
        <v>3.9971518233414902</v>
      </c>
      <c r="AH153" s="308">
        <v>25.58</v>
      </c>
      <c r="AI153" s="289">
        <v>18.59</v>
      </c>
      <c r="AJ153" s="289">
        <f t="shared" si="153"/>
        <v>-6.9899999999999984</v>
      </c>
      <c r="AK153" s="307">
        <f t="shared" si="125"/>
        <v>-0.87445973556903034</v>
      </c>
      <c r="AL153" s="308">
        <v>-56.3</v>
      </c>
      <c r="AM153" s="289">
        <v>-58.6</v>
      </c>
      <c r="AN153" s="289">
        <f t="shared" si="154"/>
        <v>-2.3000000000000043</v>
      </c>
      <c r="AO153" s="307">
        <f t="shared" si="126"/>
        <v>-0.28773353244760713</v>
      </c>
      <c r="AP153" s="308">
        <v>-67.8</v>
      </c>
      <c r="AQ153" s="289">
        <v>-70.599999999999994</v>
      </c>
      <c r="AR153" s="289">
        <f t="shared" si="155"/>
        <v>-2.7999999999999972</v>
      </c>
      <c r="AS153" s="307">
        <f t="shared" si="127"/>
        <v>-0.350284300370999</v>
      </c>
      <c r="AT153" s="308">
        <v>22.9</v>
      </c>
      <c r="AU153" s="289">
        <v>23.9</v>
      </c>
      <c r="AV153" s="289">
        <f t="shared" si="156"/>
        <v>1</v>
      </c>
      <c r="AW153" s="307">
        <f t="shared" si="128"/>
        <v>0.12510153584678549</v>
      </c>
      <c r="AX153" s="308">
        <v>31952</v>
      </c>
      <c r="AY153" s="289">
        <v>34085</v>
      </c>
      <c r="AZ153" s="289">
        <f t="shared" si="157"/>
        <v>2133</v>
      </c>
      <c r="BA153" s="307">
        <f t="shared" si="129"/>
        <v>266.84157596119343</v>
      </c>
      <c r="BB153" s="308">
        <v>43.8</v>
      </c>
      <c r="BC153" s="289">
        <v>44.6</v>
      </c>
      <c r="BD153" s="289">
        <f t="shared" si="158"/>
        <v>0.80000000000000426</v>
      </c>
      <c r="BE153" s="307">
        <f t="shared" si="130"/>
        <v>0.10008122867742891</v>
      </c>
      <c r="BF153" s="308">
        <v>-23.2</v>
      </c>
      <c r="BG153" s="289">
        <v>-23.2</v>
      </c>
      <c r="BH153" s="289">
        <f t="shared" si="159"/>
        <v>0</v>
      </c>
      <c r="BI153" s="307">
        <f t="shared" si="131"/>
        <v>0</v>
      </c>
      <c r="BJ153" s="281">
        <v>52.161366000000001</v>
      </c>
      <c r="BK153" s="281">
        <v>48.929509000000003</v>
      </c>
      <c r="BL153" s="281">
        <f t="shared" si="160"/>
        <v>-3.231856999999998</v>
      </c>
      <c r="BM153" s="408">
        <v>-23.2</v>
      </c>
      <c r="BN153" s="458">
        <v>-23.2</v>
      </c>
      <c r="BO153" s="458">
        <f t="shared" si="161"/>
        <v>0</v>
      </c>
      <c r="BP153" s="408">
        <v>43.8</v>
      </c>
      <c r="BQ153" s="458">
        <v>44.6</v>
      </c>
      <c r="BR153" s="458">
        <f t="shared" si="162"/>
        <v>0.80000000000000426</v>
      </c>
      <c r="BS153" s="281"/>
      <c r="BT153" s="281"/>
      <c r="BU153" s="281"/>
      <c r="BV153" s="281"/>
      <c r="BW153" s="298" t="s">
        <v>855</v>
      </c>
      <c r="BX153" s="422">
        <v>8580.7195253600003</v>
      </c>
      <c r="BY153" s="422">
        <v>-4.0401101500000003</v>
      </c>
      <c r="BZ153" s="422">
        <v>3452.9043860500001</v>
      </c>
      <c r="CA153" s="422">
        <v>3598.2788137299999</v>
      </c>
      <c r="CB153" s="422">
        <v>9.2459618399999997</v>
      </c>
      <c r="CC153" s="422">
        <v>9.4379953600000004</v>
      </c>
      <c r="CD153" s="422">
        <v>-0.17959252000000001</v>
      </c>
      <c r="CE153" s="422">
        <v>7.9935700599999997</v>
      </c>
      <c r="CF153" s="422">
        <v>8.0079517399999993</v>
      </c>
      <c r="CG153" s="422">
        <v>-1.89362214</v>
      </c>
      <c r="CH153" s="422">
        <v>-2.0346853999999999</v>
      </c>
      <c r="CI153" s="422">
        <v>0.49147811000000002</v>
      </c>
    </row>
    <row r="154" spans="1:87" ht="15" customHeight="1" x14ac:dyDescent="0.2">
      <c r="A154" s="457" t="s">
        <v>891</v>
      </c>
      <c r="B154" s="334"/>
      <c r="C154" s="335"/>
      <c r="D154" s="335"/>
      <c r="E154" s="335"/>
      <c r="F154" s="335"/>
      <c r="G154" s="335"/>
      <c r="H154" s="334"/>
      <c r="I154" s="334"/>
      <c r="J154" s="486"/>
      <c r="K154" s="487"/>
      <c r="L154" s="334"/>
      <c r="M154" s="334"/>
      <c r="N154" s="334"/>
      <c r="O154" s="334"/>
      <c r="P154" s="334"/>
      <c r="Q154" s="334"/>
      <c r="R154" s="334"/>
      <c r="S154" s="334"/>
      <c r="T154" s="334"/>
      <c r="U154" s="334"/>
      <c r="V154" s="334"/>
      <c r="W154" s="334"/>
      <c r="X154" s="334"/>
      <c r="Y154" s="334"/>
      <c r="Z154" s="334"/>
      <c r="AA154" s="334"/>
      <c r="AB154" s="334"/>
      <c r="AC154" s="334"/>
      <c r="AD154" s="334"/>
      <c r="AE154" s="334"/>
      <c r="AF154" s="334"/>
      <c r="AG154" s="334"/>
      <c r="AH154" s="334"/>
      <c r="AI154" s="334"/>
      <c r="AJ154" s="334"/>
      <c r="AK154" s="334"/>
      <c r="AL154" s="334"/>
      <c r="AM154" s="334"/>
      <c r="AN154" s="334"/>
      <c r="AO154" s="334"/>
      <c r="AP154" s="334"/>
      <c r="AQ154" s="334"/>
      <c r="AR154" s="334"/>
      <c r="AS154" s="334"/>
      <c r="AT154" s="334"/>
      <c r="AU154" s="334"/>
      <c r="AV154" s="334"/>
      <c r="AW154" s="334"/>
      <c r="AX154" s="334"/>
      <c r="AY154" s="334"/>
      <c r="AZ154" s="334"/>
      <c r="BA154" s="334"/>
      <c r="BB154" s="334"/>
      <c r="BC154" s="334"/>
      <c r="BD154" s="334"/>
      <c r="BE154" s="334"/>
      <c r="BF154" s="488"/>
      <c r="BG154" s="334"/>
      <c r="BH154" s="334"/>
      <c r="BI154" s="334"/>
      <c r="BJ154" s="334"/>
      <c r="BK154" s="334"/>
      <c r="BL154" s="334"/>
      <c r="BM154" s="334"/>
      <c r="BN154" s="334"/>
      <c r="BO154" s="334"/>
      <c r="BP154" s="334"/>
      <c r="BQ154" s="334"/>
      <c r="BR154" s="338"/>
    </row>
    <row r="155" spans="1:87" ht="15" customHeight="1" x14ac:dyDescent="0.2">
      <c r="A155" s="423">
        <v>62009032</v>
      </c>
      <c r="B155" s="297" t="s">
        <v>607</v>
      </c>
      <c r="C155" s="297" t="s">
        <v>626</v>
      </c>
      <c r="D155" s="326" t="s">
        <v>898</v>
      </c>
      <c r="E155" s="283" t="s">
        <v>899</v>
      </c>
      <c r="F155" s="310" t="str">
        <f t="shared" si="147"/>
        <v>09/21/20</v>
      </c>
      <c r="G155" s="298" t="s">
        <v>900</v>
      </c>
      <c r="H155" s="298" t="s">
        <v>775</v>
      </c>
      <c r="I155" s="306"/>
      <c r="J155" s="299">
        <v>23.227813999999999</v>
      </c>
      <c r="K155" s="299">
        <v>44.832265</v>
      </c>
      <c r="L155" s="299">
        <v>29.680702</v>
      </c>
      <c r="M155" s="299">
        <v>24.322528999999999</v>
      </c>
      <c r="N155" s="284">
        <v>3875</v>
      </c>
      <c r="O155" s="284">
        <v>28.39</v>
      </c>
      <c r="P155" s="284">
        <v>0.20169999999999999</v>
      </c>
      <c r="Q155" s="284">
        <v>1.932E-2</v>
      </c>
      <c r="R155" s="285">
        <v>3.5812789700000001</v>
      </c>
      <c r="S155" s="285">
        <f>R155+R154</f>
        <v>3.5812789700000001</v>
      </c>
      <c r="T155" s="314">
        <v>97.225769999999997</v>
      </c>
      <c r="U155" s="314">
        <v>96.276661000000004</v>
      </c>
      <c r="V155" s="289">
        <v>34033</v>
      </c>
      <c r="W155" s="289">
        <v>34739</v>
      </c>
      <c r="X155" s="289">
        <f>W155-V155</f>
        <v>706</v>
      </c>
      <c r="Y155" s="289">
        <f t="shared" ref="Y155:Y173" si="163">X155/$R155</f>
        <v>197.13627614996997</v>
      </c>
      <c r="Z155" s="308">
        <v>1016.1</v>
      </c>
      <c r="AA155" s="289">
        <v>1048.5999999999999</v>
      </c>
      <c r="AB155" s="289">
        <f>AA155-Z155</f>
        <v>32.499999999999886</v>
      </c>
      <c r="AC155" s="289">
        <f t="shared" ref="AC155:AC173" si="164">AB155/$R155</f>
        <v>9.0749702193682733</v>
      </c>
      <c r="AD155" s="308">
        <v>806.25952500000005</v>
      </c>
      <c r="AE155" s="289">
        <v>834.78</v>
      </c>
      <c r="AF155" s="289">
        <f>AE155-AD155</f>
        <v>28.520474999999919</v>
      </c>
      <c r="AG155" s="289">
        <f t="shared" ref="AG155:AG173" si="165">AF155/$R155</f>
        <v>7.9637680389919243</v>
      </c>
      <c r="AH155" s="308">
        <v>-0.91952500000000004</v>
      </c>
      <c r="AI155" s="289">
        <v>-8.61</v>
      </c>
      <c r="AJ155" s="289">
        <f>AI155-AH155</f>
        <v>-7.6904749999999993</v>
      </c>
      <c r="AK155" s="307">
        <f t="shared" ref="AK155:AK173" si="166">AJ155/$R155</f>
        <v>-2.1474102030091218</v>
      </c>
      <c r="AL155" s="308">
        <v>-59.2</v>
      </c>
      <c r="AM155" s="289">
        <v>-61.4</v>
      </c>
      <c r="AN155" s="289">
        <f>AM155-AL155</f>
        <v>-2.1999999999999957</v>
      </c>
      <c r="AO155" s="307">
        <f t="shared" ref="AO155:AO173" si="167">AN155/$R155</f>
        <v>-0.61430567638800715</v>
      </c>
      <c r="AP155" s="308">
        <v>-71</v>
      </c>
      <c r="AQ155" s="289">
        <v>-73.8</v>
      </c>
      <c r="AR155" s="289">
        <f>AQ155-AP155</f>
        <v>-2.7999999999999972</v>
      </c>
      <c r="AS155" s="307">
        <f t="shared" ref="AS155:AS173" si="168">AR155/$R155</f>
        <v>-0.78184358813019172</v>
      </c>
      <c r="AT155" s="308">
        <v>70.5</v>
      </c>
      <c r="AU155" s="289">
        <v>71.5</v>
      </c>
      <c r="AV155" s="289">
        <f>AU155-AT155</f>
        <v>1</v>
      </c>
      <c r="AW155" s="307">
        <f t="shared" ref="AW155:AW173" si="169">AV155/$R155</f>
        <v>0.27922985290364016</v>
      </c>
      <c r="AX155" s="308">
        <v>-848</v>
      </c>
      <c r="AY155" s="289">
        <v>-142</v>
      </c>
      <c r="AZ155" s="289">
        <f>AY155-AX155</f>
        <v>706</v>
      </c>
      <c r="BA155" s="307">
        <f t="shared" ref="BA155:BA173" si="170">AZ155/$R155</f>
        <v>197.13627614996997</v>
      </c>
      <c r="BB155" s="308">
        <v>37917.5</v>
      </c>
      <c r="BC155" s="289">
        <v>37918.199999999997</v>
      </c>
      <c r="BD155" s="289">
        <f>BC155-BB155</f>
        <v>0.69999999999708962</v>
      </c>
      <c r="BE155" s="307">
        <f t="shared" ref="BE155:BE173" si="171">BD155/$R155</f>
        <v>0.19546089703173544</v>
      </c>
      <c r="BF155" s="308">
        <v>-37530.199999999997</v>
      </c>
      <c r="BG155" s="289">
        <v>-37530.199999999997</v>
      </c>
      <c r="BH155" s="289">
        <f>BG155-BF155</f>
        <v>0</v>
      </c>
      <c r="BI155" s="307">
        <f t="shared" ref="BI155:BI173" si="172">BH155/$R155</f>
        <v>0</v>
      </c>
      <c r="BJ155" s="281">
        <v>97.225769999999997</v>
      </c>
      <c r="BK155" s="281">
        <v>96.276661000000004</v>
      </c>
      <c r="BL155" s="281">
        <f>BK155-BJ155</f>
        <v>-0.94910899999999288</v>
      </c>
      <c r="BM155" s="408">
        <v>-37530.199999999997</v>
      </c>
      <c r="BN155" s="458">
        <v>-37530.199999999997</v>
      </c>
      <c r="BO155" s="458">
        <f>BN155-BM155</f>
        <v>0</v>
      </c>
      <c r="BP155" s="408">
        <v>37917.5</v>
      </c>
      <c r="BQ155" s="458">
        <v>37918.199999999997</v>
      </c>
      <c r="BR155" s="458">
        <f>BQ155-BP155</f>
        <v>0.69999999999708962</v>
      </c>
      <c r="BS155" s="281"/>
      <c r="BT155" s="281"/>
      <c r="BU155" s="281"/>
      <c r="BV155" s="281"/>
      <c r="BW155" s="298" t="s">
        <v>825</v>
      </c>
      <c r="BX155" s="422">
        <v>2203.62608525</v>
      </c>
      <c r="BY155" s="422">
        <v>-1.2092180400000001</v>
      </c>
      <c r="BZ155" s="422">
        <v>2024.0339335399999</v>
      </c>
      <c r="CA155" s="422">
        <v>2048.8084954999999</v>
      </c>
      <c r="CB155" s="422">
        <v>2.9309506299999999</v>
      </c>
      <c r="CC155" s="422">
        <v>2.9658637900000002</v>
      </c>
      <c r="CD155" s="422">
        <v>-0.27318502</v>
      </c>
      <c r="CE155" s="422">
        <v>3.5811695600000002</v>
      </c>
      <c r="CF155" s="422">
        <v>3.5909795799999999</v>
      </c>
      <c r="CG155" s="422">
        <v>-0.91474979999999995</v>
      </c>
      <c r="CH155" s="422">
        <v>-1.17716669</v>
      </c>
      <c r="CI155" s="422">
        <v>0.59140808</v>
      </c>
    </row>
    <row r="156" spans="1:87" ht="15" customHeight="1" x14ac:dyDescent="0.2">
      <c r="A156" s="423">
        <v>62009032</v>
      </c>
      <c r="B156" s="297" t="s">
        <v>608</v>
      </c>
      <c r="C156" s="297" t="s">
        <v>627</v>
      </c>
      <c r="D156" s="326" t="s">
        <v>898</v>
      </c>
      <c r="E156" s="283" t="s">
        <v>899</v>
      </c>
      <c r="F156" s="310" t="str">
        <f t="shared" si="147"/>
        <v>09/21/20</v>
      </c>
      <c r="G156" s="298" t="s">
        <v>900</v>
      </c>
      <c r="H156" s="298" t="s">
        <v>775</v>
      </c>
      <c r="I156" s="306"/>
      <c r="J156" s="299">
        <v>21.837198999999998</v>
      </c>
      <c r="K156" s="299">
        <v>45.774968000000001</v>
      </c>
      <c r="L156" s="299">
        <v>29.679614000000001</v>
      </c>
      <c r="M156" s="299">
        <v>26.185936000000002</v>
      </c>
      <c r="N156" s="284">
        <v>3875</v>
      </c>
      <c r="O156" s="284">
        <v>28.39</v>
      </c>
      <c r="P156" s="284">
        <v>0.20169999999999999</v>
      </c>
      <c r="Q156" s="284">
        <v>1.932E-2</v>
      </c>
      <c r="R156" s="285">
        <v>3.8450805699999999</v>
      </c>
      <c r="S156" s="285">
        <f>R156+R155</f>
        <v>7.42635954</v>
      </c>
      <c r="T156" s="314">
        <v>96.276661000000004</v>
      </c>
      <c r="U156" s="314">
        <v>95.506080999999995</v>
      </c>
      <c r="V156" s="289">
        <v>34739</v>
      </c>
      <c r="W156" s="289">
        <v>35310</v>
      </c>
      <c r="X156" s="289">
        <f>W156-V156</f>
        <v>571</v>
      </c>
      <c r="Y156" s="289">
        <f t="shared" si="163"/>
        <v>148.50143959402129</v>
      </c>
      <c r="Z156" s="308">
        <v>1048.5999999999999</v>
      </c>
      <c r="AA156" s="289">
        <v>1085.0999999999999</v>
      </c>
      <c r="AB156" s="289">
        <f>AA156-Z156</f>
        <v>36.5</v>
      </c>
      <c r="AC156" s="289">
        <f t="shared" si="164"/>
        <v>9.4926489407736909</v>
      </c>
      <c r="AD156" s="308">
        <v>834.78921400000002</v>
      </c>
      <c r="AE156" s="289">
        <v>865.72</v>
      </c>
      <c r="AF156" s="289">
        <f>AE156-AD156</f>
        <v>30.930786000000012</v>
      </c>
      <c r="AG156" s="289">
        <f t="shared" si="165"/>
        <v>8.0442491221972006</v>
      </c>
      <c r="AH156" s="308">
        <v>-8.61</v>
      </c>
      <c r="AI156" s="289">
        <v>-6.31</v>
      </c>
      <c r="AJ156" s="289">
        <f>AI156-AH156</f>
        <v>2.2999999999999998</v>
      </c>
      <c r="AK156" s="307">
        <f t="shared" si="166"/>
        <v>0.59816691955560242</v>
      </c>
      <c r="AL156" s="308">
        <v>-61.4</v>
      </c>
      <c r="AM156" s="289">
        <v>-65.2</v>
      </c>
      <c r="AN156" s="289">
        <f>AM156-AL156</f>
        <v>-3.8000000000000043</v>
      </c>
      <c r="AO156" s="307">
        <f t="shared" si="167"/>
        <v>-0.98827578013534434</v>
      </c>
      <c r="AP156" s="308">
        <v>-73.8</v>
      </c>
      <c r="AQ156" s="289">
        <v>-78.5</v>
      </c>
      <c r="AR156" s="289">
        <f>AQ156-AP156</f>
        <v>-4.7000000000000028</v>
      </c>
      <c r="AS156" s="307">
        <f t="shared" si="168"/>
        <v>-1.2223410964831884</v>
      </c>
      <c r="AT156" s="308">
        <v>71.5</v>
      </c>
      <c r="AU156" s="289">
        <v>73</v>
      </c>
      <c r="AV156" s="289">
        <f>AU156-AT156</f>
        <v>1.5</v>
      </c>
      <c r="AW156" s="307">
        <f t="shared" si="169"/>
        <v>0.39010886057974076</v>
      </c>
      <c r="AX156" s="308">
        <v>-142</v>
      </c>
      <c r="AY156" s="289">
        <v>426</v>
      </c>
      <c r="AZ156" s="289">
        <f>AY156-AX156</f>
        <v>568</v>
      </c>
      <c r="BA156" s="307">
        <f t="shared" si="170"/>
        <v>147.72122187286183</v>
      </c>
      <c r="BB156" s="308">
        <v>37918.199999999997</v>
      </c>
      <c r="BC156" s="289">
        <v>37919.4</v>
      </c>
      <c r="BD156" s="289">
        <f>BC156-BB156</f>
        <v>1.2000000000043656</v>
      </c>
      <c r="BE156" s="307">
        <f t="shared" si="171"/>
        <v>0.31208708846492794</v>
      </c>
      <c r="BF156" s="308">
        <v>-37530.199999999997</v>
      </c>
      <c r="BG156" s="289">
        <v>-37530.199999999997</v>
      </c>
      <c r="BH156" s="289">
        <f>BG156-BF156</f>
        <v>0</v>
      </c>
      <c r="BI156" s="307">
        <f t="shared" si="172"/>
        <v>0</v>
      </c>
      <c r="BJ156" s="281">
        <v>96.276661000000004</v>
      </c>
      <c r="BK156" s="281">
        <v>95.506080999999995</v>
      </c>
      <c r="BL156" s="281">
        <f>BK156-BJ156</f>
        <v>-0.77058000000000959</v>
      </c>
      <c r="BM156" s="408">
        <v>-37530.199999999997</v>
      </c>
      <c r="BN156" s="458">
        <v>-37530.199999999997</v>
      </c>
      <c r="BO156" s="458">
        <f>BN156-BM156</f>
        <v>0</v>
      </c>
      <c r="BP156" s="408">
        <v>37918.199999999997</v>
      </c>
      <c r="BQ156" s="458">
        <v>37919.4</v>
      </c>
      <c r="BR156" s="458">
        <f>BQ156-BP156</f>
        <v>1.2000000000043656</v>
      </c>
      <c r="BS156" s="281"/>
      <c r="BT156" s="281"/>
      <c r="BU156" s="281"/>
      <c r="BV156" s="281"/>
      <c r="BW156" s="298" t="s">
        <v>825</v>
      </c>
      <c r="BX156" s="422">
        <v>1348.2469040399999</v>
      </c>
      <c r="BY156" s="422">
        <v>-1.19250539</v>
      </c>
      <c r="BZ156" s="422">
        <v>3375.38460437</v>
      </c>
      <c r="CA156" s="422">
        <v>3416.1220438800001</v>
      </c>
      <c r="CB156" s="422">
        <v>2.7032826600000002</v>
      </c>
      <c r="CC156" s="422">
        <v>2.74165416</v>
      </c>
      <c r="CD156" s="422">
        <v>-0.38669382000000002</v>
      </c>
      <c r="CE156" s="422">
        <v>3.8449045399999999</v>
      </c>
      <c r="CF156" s="422">
        <v>3.8598302699999998</v>
      </c>
      <c r="CG156" s="422">
        <v>-1.0272579100000001</v>
      </c>
      <c r="CH156" s="422">
        <v>-1.3995744800000001</v>
      </c>
      <c r="CI156" s="422">
        <v>0.71727229000000003</v>
      </c>
    </row>
    <row r="157" spans="1:87" ht="15" customHeight="1" x14ac:dyDescent="0.2">
      <c r="A157" s="423">
        <v>62009032</v>
      </c>
      <c r="B157" s="297" t="s">
        <v>609</v>
      </c>
      <c r="C157" s="297" t="s">
        <v>628</v>
      </c>
      <c r="D157" s="326" t="s">
        <v>898</v>
      </c>
      <c r="E157" s="283" t="s">
        <v>899</v>
      </c>
      <c r="F157" s="310" t="str">
        <f t="shared" si="147"/>
        <v>09/21/20</v>
      </c>
      <c r="G157" s="298" t="s">
        <v>900</v>
      </c>
      <c r="H157" s="298" t="s">
        <v>775</v>
      </c>
      <c r="I157" s="306"/>
      <c r="J157" s="300">
        <f>AVERAGE(J155:J156)</f>
        <v>22.532506499999997</v>
      </c>
      <c r="K157" s="300">
        <f>AVERAGE(K155:K156)</f>
        <v>45.303616500000004</v>
      </c>
      <c r="L157" s="300">
        <f>AVERAGE(L155:L156)</f>
        <v>29.680157999999999</v>
      </c>
      <c r="M157" s="300">
        <f>AVERAGE(M155:M156)</f>
        <v>25.254232500000001</v>
      </c>
      <c r="N157" s="286"/>
      <c r="O157" s="284"/>
      <c r="P157" s="302"/>
      <c r="Q157" s="301"/>
      <c r="R157" s="287">
        <f>R156+R155</f>
        <v>7.42635954</v>
      </c>
      <c r="S157" s="287">
        <f>S156</f>
        <v>7.42635954</v>
      </c>
      <c r="T157" s="315">
        <f>T155</f>
        <v>97.225769999999997</v>
      </c>
      <c r="U157" s="315">
        <f>U156</f>
        <v>95.506080999999995</v>
      </c>
      <c r="V157" s="290">
        <f>V155</f>
        <v>34033</v>
      </c>
      <c r="W157" s="290">
        <f>W156</f>
        <v>35310</v>
      </c>
      <c r="X157" s="290">
        <f>SUM(X155:X156)</f>
        <v>1277</v>
      </c>
      <c r="Y157" s="290">
        <f t="shared" si="163"/>
        <v>171.95504649644258</v>
      </c>
      <c r="Z157" s="290">
        <f>Z155</f>
        <v>1016.1</v>
      </c>
      <c r="AA157" s="290">
        <f>AA156</f>
        <v>1085.0999999999999</v>
      </c>
      <c r="AB157" s="290">
        <f>SUM(AB155:AB156)</f>
        <v>68.999999999999886</v>
      </c>
      <c r="AC157" s="290">
        <f t="shared" si="164"/>
        <v>9.2912280409197496</v>
      </c>
      <c r="AD157" s="290">
        <f>AD155</f>
        <v>806.25952500000005</v>
      </c>
      <c r="AE157" s="290">
        <f>AE156</f>
        <v>865.72</v>
      </c>
      <c r="AF157" s="290">
        <f>SUM(AF155:AF156)</f>
        <v>59.451260999999931</v>
      </c>
      <c r="AG157" s="290">
        <f t="shared" si="165"/>
        <v>8.005438018423753</v>
      </c>
      <c r="AH157" s="290">
        <f>AH155</f>
        <v>-0.91952500000000004</v>
      </c>
      <c r="AI157" s="290">
        <f>AI156</f>
        <v>-6.31</v>
      </c>
      <c r="AJ157" s="290">
        <f>SUM(AJ155:AJ156)</f>
        <v>-5.3904749999999995</v>
      </c>
      <c r="AK157" s="288">
        <f t="shared" si="166"/>
        <v>-0.72585699237502843</v>
      </c>
      <c r="AL157" s="290">
        <f>AL155</f>
        <v>-59.2</v>
      </c>
      <c r="AM157" s="290">
        <f>AM156</f>
        <v>-65.2</v>
      </c>
      <c r="AN157" s="290">
        <f>SUM(AN155:AN156)</f>
        <v>-6</v>
      </c>
      <c r="AO157" s="288">
        <f t="shared" si="167"/>
        <v>-0.80793287312345774</v>
      </c>
      <c r="AP157" s="290">
        <f>AP155</f>
        <v>-71</v>
      </c>
      <c r="AQ157" s="290">
        <f>AQ156</f>
        <v>-78.5</v>
      </c>
      <c r="AR157" s="290">
        <f>SUM(AR155:AR156)</f>
        <v>-7.5</v>
      </c>
      <c r="AS157" s="288">
        <f t="shared" si="168"/>
        <v>-1.0099160914043221</v>
      </c>
      <c r="AT157" s="290">
        <f>AT155</f>
        <v>70.5</v>
      </c>
      <c r="AU157" s="290">
        <f>AU156</f>
        <v>73</v>
      </c>
      <c r="AV157" s="290">
        <f>SUM(AV155:AV156)</f>
        <v>2.5</v>
      </c>
      <c r="AW157" s="288">
        <f t="shared" si="169"/>
        <v>0.33663869713477407</v>
      </c>
      <c r="AX157" s="290">
        <f>AX155</f>
        <v>-848</v>
      </c>
      <c r="AY157" s="290">
        <f>AY156</f>
        <v>426</v>
      </c>
      <c r="AZ157" s="290">
        <f>SUM(AZ155:AZ156)</f>
        <v>1274</v>
      </c>
      <c r="BA157" s="288">
        <f t="shared" si="170"/>
        <v>171.55108005988086</v>
      </c>
      <c r="BB157" s="290">
        <f>BB155</f>
        <v>37917.5</v>
      </c>
      <c r="BC157" s="290">
        <f>BC156</f>
        <v>37919.4</v>
      </c>
      <c r="BD157" s="290">
        <f>SUM(BD155:BD156)</f>
        <v>1.9000000000014552</v>
      </c>
      <c r="BE157" s="288">
        <f t="shared" si="171"/>
        <v>0.25584540982262421</v>
      </c>
      <c r="BF157" s="290">
        <f>BF155</f>
        <v>-37530.199999999997</v>
      </c>
      <c r="BG157" s="290">
        <f>BG156</f>
        <v>-37530.199999999997</v>
      </c>
      <c r="BH157" s="290">
        <f>SUM(BH155:BH156)</f>
        <v>0</v>
      </c>
      <c r="BI157" s="288">
        <f t="shared" si="172"/>
        <v>0</v>
      </c>
      <c r="BJ157" s="282"/>
      <c r="BK157" s="282"/>
      <c r="BL157" s="282">
        <f>SUM(BL155:BL156)</f>
        <v>-1.7196890000000025</v>
      </c>
      <c r="BM157" s="459">
        <f>BM155</f>
        <v>-37530.199999999997</v>
      </c>
      <c r="BN157" s="459">
        <f>BN156</f>
        <v>-37530.199999999997</v>
      </c>
      <c r="BO157" s="459">
        <f>SUM(BO155:BO156)</f>
        <v>0</v>
      </c>
      <c r="BP157" s="459">
        <f>BP155</f>
        <v>37917.5</v>
      </c>
      <c r="BQ157" s="459">
        <f>BQ156</f>
        <v>37919.4</v>
      </c>
      <c r="BR157" s="459">
        <f>SUM(BR155:BR156)</f>
        <v>1.9000000000014552</v>
      </c>
      <c r="BS157" s="282"/>
      <c r="BT157" s="282"/>
      <c r="BU157" s="282"/>
      <c r="BV157" s="282"/>
      <c r="BW157" s="298" t="s">
        <v>825</v>
      </c>
    </row>
    <row r="158" spans="1:87" ht="15" customHeight="1" x14ac:dyDescent="0.2">
      <c r="A158" s="423">
        <v>62009032</v>
      </c>
      <c r="B158" s="297" t="s">
        <v>611</v>
      </c>
      <c r="C158" s="297" t="s">
        <v>629</v>
      </c>
      <c r="D158" s="326" t="s">
        <v>898</v>
      </c>
      <c r="E158" s="283" t="s">
        <v>899</v>
      </c>
      <c r="F158" s="310" t="str">
        <f t="shared" si="147"/>
        <v>09/21/20</v>
      </c>
      <c r="G158" s="298" t="s">
        <v>900</v>
      </c>
      <c r="H158" s="298" t="s">
        <v>775</v>
      </c>
      <c r="I158" s="306"/>
      <c r="J158" s="299">
        <v>22.615224000000001</v>
      </c>
      <c r="K158" s="299">
        <v>43.753242999999998</v>
      </c>
      <c r="L158" s="299">
        <v>29.682278</v>
      </c>
      <c r="M158" s="299">
        <v>26.73922</v>
      </c>
      <c r="N158" s="284">
        <v>3875</v>
      </c>
      <c r="O158" s="284">
        <v>28.39</v>
      </c>
      <c r="P158" s="284">
        <v>0.20169999999999999</v>
      </c>
      <c r="Q158" s="284">
        <v>1.932E-2</v>
      </c>
      <c r="R158" s="285">
        <v>3.5824305299999999</v>
      </c>
      <c r="S158" s="285">
        <f>R158+R157</f>
        <v>11.00879007</v>
      </c>
      <c r="T158" s="314">
        <v>95.506080999999995</v>
      </c>
      <c r="U158" s="314">
        <v>94.607326</v>
      </c>
      <c r="V158" s="289">
        <v>35310</v>
      </c>
      <c r="W158" s="289">
        <v>35972</v>
      </c>
      <c r="X158" s="289">
        <f>W158-V158</f>
        <v>662</v>
      </c>
      <c r="Y158" s="289">
        <f t="shared" si="163"/>
        <v>184.79074317178734</v>
      </c>
      <c r="Z158" s="308">
        <v>1085.2</v>
      </c>
      <c r="AA158" s="289">
        <v>1108.0999999999999</v>
      </c>
      <c r="AB158" s="289">
        <f>AA158-Z158</f>
        <v>22.899999999999864</v>
      </c>
      <c r="AC158" s="289">
        <f t="shared" si="164"/>
        <v>6.3923081852475905</v>
      </c>
      <c r="AD158" s="308">
        <v>865.80881999999997</v>
      </c>
      <c r="AE158" s="289">
        <v>885.38</v>
      </c>
      <c r="AF158" s="289">
        <f>AE158-AD158</f>
        <v>19.571180000000027</v>
      </c>
      <c r="AG158" s="289">
        <f t="shared" si="165"/>
        <v>5.4631010527927888</v>
      </c>
      <c r="AH158" s="308">
        <v>-6.31</v>
      </c>
      <c r="AI158" s="289">
        <v>-6.12</v>
      </c>
      <c r="AJ158" s="289">
        <f>AI158-AH158</f>
        <v>0.1899999999999995</v>
      </c>
      <c r="AK158" s="307">
        <f t="shared" si="166"/>
        <v>5.3036618130875381E-2</v>
      </c>
      <c r="AL158" s="308">
        <v>-65.2</v>
      </c>
      <c r="AM158" s="289">
        <v>-67.400000000000006</v>
      </c>
      <c r="AN158" s="289">
        <f>AM158-AL158</f>
        <v>-2.2000000000000028</v>
      </c>
      <c r="AO158" s="307">
        <f t="shared" si="167"/>
        <v>-0.61410820993645421</v>
      </c>
      <c r="AP158" s="308">
        <v>-78.5</v>
      </c>
      <c r="AQ158" s="289">
        <v>-81.2</v>
      </c>
      <c r="AR158" s="289">
        <f>AQ158-AP158</f>
        <v>-2.7000000000000028</v>
      </c>
      <c r="AS158" s="307">
        <f t="shared" si="168"/>
        <v>-0.75367825764928453</v>
      </c>
      <c r="AT158" s="308">
        <v>73</v>
      </c>
      <c r="AU158" s="289">
        <v>73.900000000000006</v>
      </c>
      <c r="AV158" s="289">
        <f>AU158-AT158</f>
        <v>0.90000000000000568</v>
      </c>
      <c r="AW158" s="307">
        <f t="shared" si="169"/>
        <v>0.25122608588309614</v>
      </c>
      <c r="AX158" s="308">
        <v>427</v>
      </c>
      <c r="AY158" s="289">
        <v>1088</v>
      </c>
      <c r="AZ158" s="289">
        <f>AY158-AX158</f>
        <v>661</v>
      </c>
      <c r="BA158" s="307">
        <f t="shared" si="170"/>
        <v>184.51160307636169</v>
      </c>
      <c r="BB158" s="308">
        <v>37919.4</v>
      </c>
      <c r="BC158" s="289">
        <v>37920.1</v>
      </c>
      <c r="BD158" s="289">
        <f>BC158-BB158</f>
        <v>0.69999999999708962</v>
      </c>
      <c r="BE158" s="307">
        <f t="shared" si="171"/>
        <v>0.19539806679715005</v>
      </c>
      <c r="BF158" s="308">
        <v>-37530.199999999997</v>
      </c>
      <c r="BG158" s="289">
        <v>-37530.199999999997</v>
      </c>
      <c r="BH158" s="289">
        <f>BG158-BF158</f>
        <v>0</v>
      </c>
      <c r="BI158" s="307">
        <f t="shared" si="172"/>
        <v>0</v>
      </c>
      <c r="BJ158" s="281">
        <v>95.506080999999995</v>
      </c>
      <c r="BK158" s="281">
        <v>94.607326</v>
      </c>
      <c r="BL158" s="281">
        <f>BK158-BJ158</f>
        <v>-0.8987549999999942</v>
      </c>
      <c r="BM158" s="408">
        <v>-37530.199999999997</v>
      </c>
      <c r="BN158" s="458">
        <v>-37530.199999999997</v>
      </c>
      <c r="BO158" s="458">
        <f>BN158-BM158</f>
        <v>0</v>
      </c>
      <c r="BP158" s="408">
        <v>37919.4</v>
      </c>
      <c r="BQ158" s="458">
        <v>37920.1</v>
      </c>
      <c r="BR158" s="458">
        <f>BQ158-BP158</f>
        <v>0.69999999999708962</v>
      </c>
      <c r="BS158" s="281"/>
      <c r="BT158" s="281"/>
      <c r="BU158" s="281"/>
      <c r="BV158" s="281"/>
      <c r="BW158" s="298" t="s">
        <v>825</v>
      </c>
      <c r="BX158" s="422">
        <v>2198.88707363</v>
      </c>
      <c r="BY158" s="422">
        <v>-0.9979266</v>
      </c>
      <c r="BZ158" s="422">
        <v>2028.2436330800001</v>
      </c>
      <c r="CA158" s="422">
        <v>2048.6880359400002</v>
      </c>
      <c r="CB158" s="422">
        <v>2.93171034</v>
      </c>
      <c r="CC158" s="422">
        <v>2.9657128799999999</v>
      </c>
      <c r="CD158" s="422">
        <v>-0.23973190999999999</v>
      </c>
      <c r="CE158" s="422">
        <v>3.5823707699999998</v>
      </c>
      <c r="CF158" s="422">
        <v>3.5909794900000001</v>
      </c>
      <c r="CG158" s="422">
        <v>-0.91730690999999998</v>
      </c>
      <c r="CH158" s="422">
        <v>-1.1465217000000001</v>
      </c>
      <c r="CI158" s="422">
        <v>0.59138648000000005</v>
      </c>
    </row>
    <row r="159" spans="1:87" ht="15" customHeight="1" x14ac:dyDescent="0.2">
      <c r="A159" s="423">
        <v>62009032</v>
      </c>
      <c r="B159" s="297" t="s">
        <v>224</v>
      </c>
      <c r="C159" s="297" t="s">
        <v>630</v>
      </c>
      <c r="D159" s="326" t="s">
        <v>898</v>
      </c>
      <c r="E159" s="283" t="s">
        <v>899</v>
      </c>
      <c r="F159" s="310" t="str">
        <f t="shared" si="147"/>
        <v>09/21/20</v>
      </c>
      <c r="G159" s="298" t="s">
        <v>900</v>
      </c>
      <c r="H159" s="298" t="s">
        <v>775</v>
      </c>
      <c r="I159" s="306"/>
      <c r="J159" s="299">
        <v>21.173069999999999</v>
      </c>
      <c r="K159" s="299">
        <v>47.651327000000002</v>
      </c>
      <c r="L159" s="299">
        <v>29.681301999999999</v>
      </c>
      <c r="M159" s="299">
        <v>26.952403</v>
      </c>
      <c r="N159" s="284">
        <v>3875</v>
      </c>
      <c r="O159" s="284">
        <v>28.39</v>
      </c>
      <c r="P159" s="284">
        <v>0.20169999999999999</v>
      </c>
      <c r="Q159" s="284">
        <v>1.932E-2</v>
      </c>
      <c r="R159" s="285">
        <v>3.84524774</v>
      </c>
      <c r="S159" s="285">
        <f>R159+R158</f>
        <v>7.4276782699999995</v>
      </c>
      <c r="T159" s="314">
        <v>94.607326</v>
      </c>
      <c r="U159" s="314">
        <v>93.841324</v>
      </c>
      <c r="V159" s="289">
        <v>35972</v>
      </c>
      <c r="W159" s="289">
        <v>36536</v>
      </c>
      <c r="X159" s="289">
        <f>W159-V159</f>
        <v>564</v>
      </c>
      <c r="Y159" s="289">
        <f t="shared" si="163"/>
        <v>146.67455470632433</v>
      </c>
      <c r="Z159" s="308">
        <v>1108.0999999999999</v>
      </c>
      <c r="AA159" s="289">
        <v>1146.7</v>
      </c>
      <c r="AB159" s="289">
        <f>AA159-Z159</f>
        <v>38.600000000000136</v>
      </c>
      <c r="AC159" s="289">
        <f t="shared" si="164"/>
        <v>10.03836491429812</v>
      </c>
      <c r="AD159" s="308">
        <v>885.39</v>
      </c>
      <c r="AE159" s="289">
        <v>918.36</v>
      </c>
      <c r="AF159" s="289">
        <f>AE159-AD159</f>
        <v>32.970000000000027</v>
      </c>
      <c r="AG159" s="289">
        <f t="shared" si="165"/>
        <v>8.5742199799069461</v>
      </c>
      <c r="AH159" s="308">
        <v>-6.12</v>
      </c>
      <c r="AI159" s="289">
        <v>-6</v>
      </c>
      <c r="AJ159" s="289">
        <f>AI159-AH159</f>
        <v>0.12000000000000011</v>
      </c>
      <c r="AK159" s="307">
        <f t="shared" si="166"/>
        <v>3.1207352065175418E-2</v>
      </c>
      <c r="AL159" s="308">
        <v>-67.400000000000006</v>
      </c>
      <c r="AM159" s="289">
        <v>-71.3</v>
      </c>
      <c r="AN159" s="289">
        <f>AM159-AL159</f>
        <v>-3.8999999999999915</v>
      </c>
      <c r="AO159" s="307">
        <f t="shared" si="167"/>
        <v>-1.0142389421181979</v>
      </c>
      <c r="AP159" s="308">
        <v>-81.2</v>
      </c>
      <c r="AQ159" s="289">
        <v>-85.9</v>
      </c>
      <c r="AR159" s="289">
        <f>AQ159-AP159</f>
        <v>-4.7000000000000028</v>
      </c>
      <c r="AS159" s="307">
        <f t="shared" si="168"/>
        <v>-1.2222879558860369</v>
      </c>
      <c r="AT159" s="308">
        <v>73.900000000000006</v>
      </c>
      <c r="AU159" s="289">
        <v>75.5</v>
      </c>
      <c r="AV159" s="289">
        <f>AU159-AT159</f>
        <v>1.5999999999999943</v>
      </c>
      <c r="AW159" s="307">
        <f t="shared" si="169"/>
        <v>0.41609802753567038</v>
      </c>
      <c r="AX159" s="308">
        <v>1088</v>
      </c>
      <c r="AY159" s="289">
        <v>1649</v>
      </c>
      <c r="AZ159" s="289">
        <f>AY159-AX159</f>
        <v>561</v>
      </c>
      <c r="BA159" s="307">
        <f t="shared" si="170"/>
        <v>145.89437090469494</v>
      </c>
      <c r="BB159" s="308">
        <v>37920.1</v>
      </c>
      <c r="BC159" s="289">
        <v>37921.300000000003</v>
      </c>
      <c r="BD159" s="289">
        <f>BC159-BB159</f>
        <v>1.2000000000043656</v>
      </c>
      <c r="BE159" s="307">
        <f t="shared" si="171"/>
        <v>0.31207352065288924</v>
      </c>
      <c r="BF159" s="308">
        <v>-37530.199999999997</v>
      </c>
      <c r="BG159" s="289">
        <v>-37530.199999999997</v>
      </c>
      <c r="BH159" s="289">
        <f>BG159-BF159</f>
        <v>0</v>
      </c>
      <c r="BI159" s="307">
        <f t="shared" si="172"/>
        <v>0</v>
      </c>
      <c r="BJ159" s="281">
        <v>94.607326</v>
      </c>
      <c r="BK159" s="281">
        <v>93.841324</v>
      </c>
      <c r="BL159" s="281">
        <f>BK159-BJ159</f>
        <v>-0.76600200000000029</v>
      </c>
      <c r="BM159" s="408">
        <v>-37530.199999999997</v>
      </c>
      <c r="BN159" s="458">
        <v>-37530.199999999997</v>
      </c>
      <c r="BO159" s="458">
        <f>BN159-BM159</f>
        <v>0</v>
      </c>
      <c r="BP159" s="408">
        <v>37920.1</v>
      </c>
      <c r="BQ159" s="458">
        <v>37921.300000000003</v>
      </c>
      <c r="BR159" s="458">
        <f>BQ159-BP159</f>
        <v>1.2000000000043656</v>
      </c>
      <c r="BS159" s="281"/>
      <c r="BT159" s="281"/>
      <c r="BU159" s="281"/>
      <c r="BV159" s="281"/>
      <c r="BW159" s="298" t="s">
        <v>825</v>
      </c>
      <c r="BX159" s="422">
        <v>1348.3849085899999</v>
      </c>
      <c r="BY159" s="422">
        <v>-1.27195112</v>
      </c>
      <c r="BZ159" s="422">
        <v>3372.5513613799999</v>
      </c>
      <c r="CA159" s="422">
        <v>3416.0012272700001</v>
      </c>
      <c r="CB159" s="422">
        <v>2.70155879</v>
      </c>
      <c r="CC159" s="422">
        <v>2.7415022800000002</v>
      </c>
      <c r="CD159" s="422">
        <v>-0.38264224000000002</v>
      </c>
      <c r="CE159" s="422">
        <v>3.8450600700000002</v>
      </c>
      <c r="CF159" s="422">
        <v>3.8598294100000001</v>
      </c>
      <c r="CG159" s="422">
        <v>-1.09023501</v>
      </c>
      <c r="CH159" s="422">
        <v>-1.4569926</v>
      </c>
      <c r="CI159" s="422">
        <v>0.71727784000000006</v>
      </c>
    </row>
    <row r="160" spans="1:87" ht="15" customHeight="1" x14ac:dyDescent="0.2">
      <c r="A160" s="423">
        <v>62009032</v>
      </c>
      <c r="B160" s="297" t="s">
        <v>612</v>
      </c>
      <c r="C160" s="297" t="s">
        <v>840</v>
      </c>
      <c r="D160" s="326" t="s">
        <v>898</v>
      </c>
      <c r="E160" s="283" t="s">
        <v>899</v>
      </c>
      <c r="F160" s="310" t="str">
        <f t="shared" si="147"/>
        <v>09/21/20</v>
      </c>
      <c r="G160" s="298" t="s">
        <v>900</v>
      </c>
      <c r="H160" s="298" t="s">
        <v>775</v>
      </c>
      <c r="I160" s="306"/>
      <c r="J160" s="300">
        <f>AVERAGE(J158:J159)</f>
        <v>21.894147</v>
      </c>
      <c r="K160" s="300">
        <f>AVERAGE(K158:K159)</f>
        <v>45.702285000000003</v>
      </c>
      <c r="L160" s="300">
        <f>AVERAGE(L158:L159)</f>
        <v>29.681789999999999</v>
      </c>
      <c r="M160" s="300">
        <f>AVERAGE(M158:M159)</f>
        <v>26.8458115</v>
      </c>
      <c r="N160" s="286"/>
      <c r="O160" s="284"/>
      <c r="P160" s="302"/>
      <c r="Q160" s="301"/>
      <c r="R160" s="287">
        <f>R159+R158</f>
        <v>7.4276782699999995</v>
      </c>
      <c r="S160" s="287">
        <f>S159</f>
        <v>7.4276782699999995</v>
      </c>
      <c r="T160" s="315">
        <f>T158</f>
        <v>95.506080999999995</v>
      </c>
      <c r="U160" s="315">
        <f>U159</f>
        <v>93.841324</v>
      </c>
      <c r="V160" s="290">
        <f>V158</f>
        <v>35310</v>
      </c>
      <c r="W160" s="290">
        <f>W159</f>
        <v>36536</v>
      </c>
      <c r="X160" s="290">
        <f>SUM(X158:X159)</f>
        <v>1226</v>
      </c>
      <c r="Y160" s="290">
        <f t="shared" si="163"/>
        <v>165.05830697483887</v>
      </c>
      <c r="Z160" s="290">
        <f>Z158</f>
        <v>1085.2</v>
      </c>
      <c r="AA160" s="290">
        <f>AA159</f>
        <v>1146.7</v>
      </c>
      <c r="AB160" s="290">
        <f>SUM(AB158:AB159)</f>
        <v>61.5</v>
      </c>
      <c r="AC160" s="290">
        <f t="shared" si="164"/>
        <v>8.2798416630934675</v>
      </c>
      <c r="AD160" s="290">
        <f>AD158</f>
        <v>865.80881999999997</v>
      </c>
      <c r="AE160" s="290">
        <f>AE159</f>
        <v>918.36</v>
      </c>
      <c r="AF160" s="290">
        <f>SUM(AF158:AF159)</f>
        <v>52.541180000000054</v>
      </c>
      <c r="AG160" s="290">
        <f t="shared" si="165"/>
        <v>7.0737016453998969</v>
      </c>
      <c r="AH160" s="290">
        <f>AH158</f>
        <v>-6.31</v>
      </c>
      <c r="AI160" s="290">
        <f>AI159</f>
        <v>-6</v>
      </c>
      <c r="AJ160" s="290">
        <f>SUM(AJ158:AJ159)</f>
        <v>0.30999999999999961</v>
      </c>
      <c r="AK160" s="288">
        <f t="shared" si="166"/>
        <v>4.1735787244861322E-2</v>
      </c>
      <c r="AL160" s="290">
        <f>AL158</f>
        <v>-65.2</v>
      </c>
      <c r="AM160" s="290">
        <f>AM159</f>
        <v>-71.3</v>
      </c>
      <c r="AN160" s="290">
        <f>SUM(AN158:AN159)</f>
        <v>-6.0999999999999943</v>
      </c>
      <c r="AO160" s="288">
        <f t="shared" si="167"/>
        <v>-0.82125258772146503</v>
      </c>
      <c r="AP160" s="290">
        <f>AP158</f>
        <v>-78.5</v>
      </c>
      <c r="AQ160" s="290">
        <f>AQ159</f>
        <v>-85.9</v>
      </c>
      <c r="AR160" s="290">
        <f>SUM(AR158:AR159)</f>
        <v>-7.4000000000000057</v>
      </c>
      <c r="AS160" s="288">
        <f t="shared" si="168"/>
        <v>-0.99627363100636912</v>
      </c>
      <c r="AT160" s="290">
        <f>AT158</f>
        <v>73</v>
      </c>
      <c r="AU160" s="290">
        <f>AU159</f>
        <v>75.5</v>
      </c>
      <c r="AV160" s="290">
        <f>SUM(AV158:AV159)</f>
        <v>2.5</v>
      </c>
      <c r="AW160" s="288">
        <f t="shared" si="169"/>
        <v>0.33657892939404338</v>
      </c>
      <c r="AX160" s="290">
        <f>AX158</f>
        <v>427</v>
      </c>
      <c r="AY160" s="290">
        <f>AY159</f>
        <v>1649</v>
      </c>
      <c r="AZ160" s="290">
        <f>SUM(AZ158:AZ159)</f>
        <v>1222</v>
      </c>
      <c r="BA160" s="288">
        <f t="shared" si="170"/>
        <v>164.51978068780841</v>
      </c>
      <c r="BB160" s="290">
        <f>BB158</f>
        <v>37919.4</v>
      </c>
      <c r="BC160" s="290">
        <f>BC159</f>
        <v>37921.300000000003</v>
      </c>
      <c r="BD160" s="290">
        <f>SUM(BD158:BD159)</f>
        <v>1.9000000000014552</v>
      </c>
      <c r="BE160" s="288">
        <f t="shared" si="171"/>
        <v>0.25579998633966888</v>
      </c>
      <c r="BF160" s="290">
        <f>BF158</f>
        <v>-37530.199999999997</v>
      </c>
      <c r="BG160" s="290">
        <f>BG159</f>
        <v>-37530.199999999997</v>
      </c>
      <c r="BH160" s="290">
        <f>SUM(BH158:BH159)</f>
        <v>0</v>
      </c>
      <c r="BI160" s="288">
        <f t="shared" si="172"/>
        <v>0</v>
      </c>
      <c r="BJ160" s="282"/>
      <c r="BK160" s="282"/>
      <c r="BL160" s="282">
        <f>SUM(BL158:BL159)</f>
        <v>-1.6647569999999945</v>
      </c>
      <c r="BM160" s="459">
        <f>BM158</f>
        <v>-37530.199999999997</v>
      </c>
      <c r="BN160" s="459">
        <f>BN159</f>
        <v>-37530.199999999997</v>
      </c>
      <c r="BO160" s="459">
        <f>SUM(BO158:BO159)</f>
        <v>0</v>
      </c>
      <c r="BP160" s="459">
        <f>BP158</f>
        <v>37919.4</v>
      </c>
      <c r="BQ160" s="459">
        <f>BQ159</f>
        <v>37921.300000000003</v>
      </c>
      <c r="BR160" s="459">
        <f>SUM(BR158:BR159)</f>
        <v>1.9000000000014552</v>
      </c>
      <c r="BS160" s="282"/>
      <c r="BT160" s="282"/>
      <c r="BU160" s="282"/>
      <c r="BV160" s="282"/>
      <c r="BW160" s="298" t="s">
        <v>825</v>
      </c>
    </row>
    <row r="161" spans="1:87" ht="15" customHeight="1" x14ac:dyDescent="0.2">
      <c r="A161" s="423">
        <v>62009032</v>
      </c>
      <c r="B161" s="297" t="s">
        <v>610</v>
      </c>
      <c r="C161" s="297" t="s">
        <v>631</v>
      </c>
      <c r="D161" s="326" t="s">
        <v>898</v>
      </c>
      <c r="E161" s="283" t="s">
        <v>899</v>
      </c>
      <c r="F161" s="310" t="str">
        <f t="shared" si="147"/>
        <v>09/21/20</v>
      </c>
      <c r="G161" s="298" t="s">
        <v>900</v>
      </c>
      <c r="H161" s="298" t="s">
        <v>775</v>
      </c>
      <c r="I161" s="306"/>
      <c r="J161" s="299">
        <v>25.296123999999999</v>
      </c>
      <c r="K161" s="299">
        <v>38.071528000000001</v>
      </c>
      <c r="L161" s="299">
        <v>29.69444</v>
      </c>
      <c r="M161" s="299">
        <v>28.269959</v>
      </c>
      <c r="N161" s="284">
        <v>3875</v>
      </c>
      <c r="O161" s="284">
        <v>28.39</v>
      </c>
      <c r="P161" s="284">
        <v>0.20169999999999999</v>
      </c>
      <c r="Q161" s="284">
        <v>1.932E-2</v>
      </c>
      <c r="R161" s="285">
        <v>10.247360370000001</v>
      </c>
      <c r="S161" s="285">
        <f>R161+R160</f>
        <v>17.67503864</v>
      </c>
      <c r="T161" s="314">
        <v>93.839798000000002</v>
      </c>
      <c r="U161" s="314">
        <v>91.042822999999999</v>
      </c>
      <c r="V161" s="289">
        <v>36537</v>
      </c>
      <c r="W161" s="289">
        <v>38593</v>
      </c>
      <c r="X161" s="289">
        <f>W161-V161</f>
        <v>2056</v>
      </c>
      <c r="Y161" s="289">
        <f t="shared" si="163"/>
        <v>200.63703488159848</v>
      </c>
      <c r="Z161" s="308">
        <v>1147.5</v>
      </c>
      <c r="AA161" s="289">
        <v>1190.7</v>
      </c>
      <c r="AB161" s="289">
        <f>AA161-Z161</f>
        <v>43.200000000000045</v>
      </c>
      <c r="AC161" s="289">
        <f t="shared" si="164"/>
        <v>4.2157197990686104</v>
      </c>
      <c r="AD161" s="308">
        <v>919.01838299999997</v>
      </c>
      <c r="AE161" s="289">
        <v>956.69791499999997</v>
      </c>
      <c r="AF161" s="289">
        <f>AE161-AD161</f>
        <v>37.679531999999995</v>
      </c>
      <c r="AG161" s="289">
        <f t="shared" si="165"/>
        <v>3.6769988211120159</v>
      </c>
      <c r="AH161" s="308">
        <v>-6</v>
      </c>
      <c r="AI161" s="289">
        <v>-12.3</v>
      </c>
      <c r="AJ161" s="289">
        <f>AI161-AH161</f>
        <v>-6.3000000000000007</v>
      </c>
      <c r="AK161" s="307">
        <f t="shared" si="166"/>
        <v>-0.61479247069750509</v>
      </c>
      <c r="AL161" s="308">
        <v>-71.3</v>
      </c>
      <c r="AM161" s="289">
        <v>-74.599999999999994</v>
      </c>
      <c r="AN161" s="289">
        <f>AM161-AL161</f>
        <v>-3.2999999999999972</v>
      </c>
      <c r="AO161" s="307">
        <f t="shared" si="167"/>
        <v>-0.32203415131774044</v>
      </c>
      <c r="AP161" s="308">
        <v>-86</v>
      </c>
      <c r="AQ161" s="289">
        <v>-90.1</v>
      </c>
      <c r="AR161" s="289">
        <f>AQ161-AP161</f>
        <v>-4.0999999999999943</v>
      </c>
      <c r="AS161" s="307">
        <f t="shared" si="168"/>
        <v>-0.40010303648567735</v>
      </c>
      <c r="AT161" s="308">
        <v>75.5</v>
      </c>
      <c r="AU161" s="289">
        <v>76.900000000000006</v>
      </c>
      <c r="AV161" s="289">
        <f>AU161-AT161</f>
        <v>1.4000000000000057</v>
      </c>
      <c r="AW161" s="307">
        <f t="shared" si="169"/>
        <v>0.13662054904389057</v>
      </c>
      <c r="AX161" s="308">
        <v>1650</v>
      </c>
      <c r="AY161" s="289">
        <v>3706</v>
      </c>
      <c r="AZ161" s="289">
        <f>AY161-AX161</f>
        <v>2056</v>
      </c>
      <c r="BA161" s="307">
        <f t="shared" si="170"/>
        <v>200.63703488159848</v>
      </c>
      <c r="BB161" s="308">
        <v>37921.300000000003</v>
      </c>
      <c r="BC161" s="289">
        <v>37922.400000000001</v>
      </c>
      <c r="BD161" s="289">
        <f>BC161-BB161</f>
        <v>1.0999999999985448</v>
      </c>
      <c r="BE161" s="307">
        <f t="shared" si="171"/>
        <v>0.10734471710577158</v>
      </c>
      <c r="BF161" s="308">
        <v>-37530.199999999997</v>
      </c>
      <c r="BG161" s="289">
        <v>-37530.199999999997</v>
      </c>
      <c r="BH161" s="289">
        <f>BG161-BF161</f>
        <v>0</v>
      </c>
      <c r="BI161" s="307">
        <f t="shared" si="172"/>
        <v>0</v>
      </c>
      <c r="BJ161" s="281">
        <v>93.839798000000002</v>
      </c>
      <c r="BK161" s="281">
        <v>91.042822999999999</v>
      </c>
      <c r="BL161" s="281">
        <f>BK161-BJ161</f>
        <v>-2.7969750000000033</v>
      </c>
      <c r="BM161" s="408">
        <v>-37530.199999999997</v>
      </c>
      <c r="BN161" s="458">
        <v>-37530.199999999997</v>
      </c>
      <c r="BO161" s="458">
        <f>BN161-BM161</f>
        <v>0</v>
      </c>
      <c r="BP161" s="408">
        <v>37921.300000000003</v>
      </c>
      <c r="BQ161" s="458">
        <v>37922.400000000001</v>
      </c>
      <c r="BR161" s="458">
        <f>BQ161-BP161</f>
        <v>1.0999999999985448</v>
      </c>
      <c r="BS161" s="281"/>
      <c r="BT161" s="281"/>
      <c r="BU161" s="281"/>
      <c r="BV161" s="281"/>
      <c r="BW161" s="298" t="s">
        <v>825</v>
      </c>
      <c r="BX161" s="422">
        <v>1772.42227564</v>
      </c>
      <c r="BY161" s="422">
        <v>2.0589927499999998</v>
      </c>
      <c r="BZ161" s="422">
        <v>1333.6052310499999</v>
      </c>
      <c r="CA161" s="422">
        <v>1306.7003652799999</v>
      </c>
      <c r="CB161" s="422">
        <v>7.3024468100000002</v>
      </c>
      <c r="CC161" s="422">
        <v>7.3153447299999996</v>
      </c>
      <c r="CD161" s="422">
        <v>-9.0165739999999994E-2</v>
      </c>
      <c r="CE161" s="422">
        <v>10.24743239</v>
      </c>
      <c r="CF161" s="422">
        <v>10.2566804</v>
      </c>
      <c r="CG161" s="422">
        <v>-8.6299669999999995E-2</v>
      </c>
      <c r="CH161" s="422">
        <v>-0.17631325</v>
      </c>
      <c r="CI161" s="422">
        <v>0.28264734000000002</v>
      </c>
    </row>
    <row r="162" spans="1:87" ht="15" customHeight="1" x14ac:dyDescent="0.2">
      <c r="A162" s="423">
        <v>62009032</v>
      </c>
      <c r="B162" s="297" t="s">
        <v>613</v>
      </c>
      <c r="C162" s="297" t="s">
        <v>633</v>
      </c>
      <c r="D162" s="326" t="s">
        <v>898</v>
      </c>
      <c r="E162" s="283" t="s">
        <v>899</v>
      </c>
      <c r="F162" s="310" t="str">
        <f t="shared" si="147"/>
        <v>09/21/20</v>
      </c>
      <c r="G162" s="298" t="s">
        <v>900</v>
      </c>
      <c r="H162" s="298" t="s">
        <v>775</v>
      </c>
      <c r="I162" s="306"/>
      <c r="J162" s="299">
        <v>22.851949999999999</v>
      </c>
      <c r="K162" s="299">
        <v>42.058262999999997</v>
      </c>
      <c r="L162" s="299">
        <v>29.680554000000001</v>
      </c>
      <c r="M162" s="299">
        <v>31.008362999999999</v>
      </c>
      <c r="N162" s="284">
        <v>3875</v>
      </c>
      <c r="O162" s="284">
        <v>28.39</v>
      </c>
      <c r="P162" s="284">
        <v>0.20169999999999999</v>
      </c>
      <c r="Q162" s="284">
        <v>1.932E-2</v>
      </c>
      <c r="R162" s="285">
        <v>1.76455625</v>
      </c>
      <c r="S162" s="285">
        <f>R162+R161</f>
        <v>12.011916620000001</v>
      </c>
      <c r="T162" s="314">
        <v>91.041297999999998</v>
      </c>
      <c r="U162" s="314">
        <v>88.103939999999994</v>
      </c>
      <c r="V162" s="289">
        <v>38594</v>
      </c>
      <c r="W162" s="289">
        <v>40719</v>
      </c>
      <c r="X162" s="289">
        <f>W162-V162-X163</f>
        <v>452</v>
      </c>
      <c r="Y162" s="289">
        <f t="shared" si="163"/>
        <v>256.15505314721474</v>
      </c>
      <c r="Z162" s="308">
        <v>1191.3</v>
      </c>
      <c r="AA162" s="289">
        <v>1217.7</v>
      </c>
      <c r="AB162" s="289">
        <f>AA162-Z162-AB163</f>
        <v>10.023529999999937</v>
      </c>
      <c r="AC162" s="289">
        <f t="shared" si="164"/>
        <v>5.6804819908687731</v>
      </c>
      <c r="AD162" s="308">
        <v>957.24</v>
      </c>
      <c r="AE162" s="289">
        <v>979.79</v>
      </c>
      <c r="AF162" s="289">
        <f>AE162-AD162-AF163</f>
        <v>8.5277699999999186</v>
      </c>
      <c r="AG162" s="289">
        <f t="shared" si="165"/>
        <v>4.832812782250449</v>
      </c>
      <c r="AH162" s="308">
        <v>-12.15</v>
      </c>
      <c r="AI162" s="289">
        <v>-10.48</v>
      </c>
      <c r="AJ162" s="289">
        <f>AI162-AH162-AJ163</f>
        <v>0.86999999999999922</v>
      </c>
      <c r="AK162" s="307">
        <f t="shared" si="166"/>
        <v>0.49304180583645274</v>
      </c>
      <c r="AL162" s="308">
        <v>-74.7</v>
      </c>
      <c r="AM162" s="289">
        <v>-77.2</v>
      </c>
      <c r="AN162" s="289">
        <f>AM162-AL162-AN163</f>
        <v>-1</v>
      </c>
      <c r="AO162" s="307">
        <f t="shared" si="167"/>
        <v>-0.56671471935224504</v>
      </c>
      <c r="AP162" s="308">
        <v>-90.1</v>
      </c>
      <c r="AQ162" s="289">
        <v>-93.3</v>
      </c>
      <c r="AR162" s="289">
        <f>AQ162-AP162-AR163</f>
        <v>-1.2999999999999972</v>
      </c>
      <c r="AS162" s="307">
        <f t="shared" si="168"/>
        <v>-0.73672913515791694</v>
      </c>
      <c r="AT162" s="308">
        <v>76.900000000000006</v>
      </c>
      <c r="AU162" s="289">
        <v>77.900000000000006</v>
      </c>
      <c r="AV162" s="289">
        <f>AU162-AT162-AV163</f>
        <v>0.29999999999999716</v>
      </c>
      <c r="AW162" s="307">
        <f t="shared" si="169"/>
        <v>0.17001441580567192</v>
      </c>
      <c r="AX162" s="308">
        <v>3706</v>
      </c>
      <c r="AY162" s="289">
        <v>5833</v>
      </c>
      <c r="AZ162" s="289">
        <f>AY162-AX162-AZ163</f>
        <v>454</v>
      </c>
      <c r="BA162" s="307">
        <f t="shared" si="170"/>
        <v>257.28848258591927</v>
      </c>
      <c r="BB162" s="308">
        <v>37922.400000000001</v>
      </c>
      <c r="BC162" s="289">
        <v>37923.199999999997</v>
      </c>
      <c r="BD162" s="289">
        <f>BC162-BB162-BD163</f>
        <v>0.29999999999563443</v>
      </c>
      <c r="BE162" s="307">
        <f t="shared" si="171"/>
        <v>0.17001441580319948</v>
      </c>
      <c r="BF162" s="308">
        <v>-37530.199999999997</v>
      </c>
      <c r="BG162" s="289">
        <v>-37530.199999999997</v>
      </c>
      <c r="BH162" s="289">
        <f>BG162-BF162-BH163</f>
        <v>0</v>
      </c>
      <c r="BI162" s="307">
        <f t="shared" si="172"/>
        <v>0</v>
      </c>
      <c r="BJ162" s="281">
        <v>91.041297999999998</v>
      </c>
      <c r="BK162" s="281">
        <v>88.103939999999994</v>
      </c>
      <c r="BL162" s="281">
        <f>BK162-BJ162-BL163</f>
        <v>-0.63782700000000148</v>
      </c>
      <c r="BM162" s="408">
        <v>-37530.199999999997</v>
      </c>
      <c r="BN162" s="458">
        <v>-37530.199999999997</v>
      </c>
      <c r="BO162" s="458">
        <f>BN162-BM162-BO163</f>
        <v>0</v>
      </c>
      <c r="BP162" s="408">
        <v>37922.400000000001</v>
      </c>
      <c r="BQ162" s="458">
        <v>37923.199999999997</v>
      </c>
      <c r="BR162" s="458">
        <f>BQ162-BP162-BR163</f>
        <v>0.29999999999563443</v>
      </c>
      <c r="BS162" s="281"/>
      <c r="BT162" s="281"/>
      <c r="BU162" s="281"/>
      <c r="BV162" s="281"/>
      <c r="BW162" s="298" t="s">
        <v>825</v>
      </c>
      <c r="BX162" s="422">
        <v>5068.1451556700003</v>
      </c>
      <c r="BY162" s="422">
        <v>-2.78495508</v>
      </c>
      <c r="BZ162" s="422">
        <v>2390.7749672899999</v>
      </c>
      <c r="CA162" s="422">
        <v>2459.26437549</v>
      </c>
      <c r="CB162" s="422">
        <v>2.8560475300000001</v>
      </c>
      <c r="CC162" s="422">
        <v>2.9251952600000002</v>
      </c>
      <c r="CD162" s="422">
        <v>-0.42594022999999998</v>
      </c>
      <c r="CE162" s="422">
        <v>1.7645565299999999</v>
      </c>
      <c r="CF162" s="422">
        <v>1.7721046300000001</v>
      </c>
      <c r="CG162" s="422">
        <v>-1.9848462200000001</v>
      </c>
      <c r="CH162" s="422">
        <v>-2.3638673200000002</v>
      </c>
      <c r="CI162" s="422">
        <v>0.81463518999999995</v>
      </c>
    </row>
    <row r="163" spans="1:87" ht="15" customHeight="1" x14ac:dyDescent="0.2">
      <c r="A163" s="423">
        <v>62009032</v>
      </c>
      <c r="B163" s="297" t="s">
        <v>614</v>
      </c>
      <c r="C163" s="297" t="s">
        <v>634</v>
      </c>
      <c r="D163" s="326" t="s">
        <v>898</v>
      </c>
      <c r="E163" s="283" t="s">
        <v>899</v>
      </c>
      <c r="F163" s="310" t="str">
        <f t="shared" si="147"/>
        <v>09/21/20</v>
      </c>
      <c r="G163" s="298" t="s">
        <v>900</v>
      </c>
      <c r="H163" s="298" t="s">
        <v>775</v>
      </c>
      <c r="I163" s="306"/>
      <c r="J163" s="299">
        <v>26.000215000000001</v>
      </c>
      <c r="K163" s="299">
        <v>35.844994</v>
      </c>
      <c r="L163" s="299">
        <v>29.698647000000001</v>
      </c>
      <c r="M163" s="299">
        <v>29.904674</v>
      </c>
      <c r="N163" s="284">
        <v>3875</v>
      </c>
      <c r="O163" s="284">
        <v>28.39</v>
      </c>
      <c r="P163" s="284">
        <v>0.20169999999999999</v>
      </c>
      <c r="Q163" s="284">
        <v>1.932E-2</v>
      </c>
      <c r="R163" s="285">
        <v>6.2273321199999998</v>
      </c>
      <c r="S163" s="285">
        <f>R163+R162</f>
        <v>7.9918883699999999</v>
      </c>
      <c r="T163" s="314">
        <v>90.606415999999996</v>
      </c>
      <c r="U163" s="314">
        <v>88.306884999999994</v>
      </c>
      <c r="V163" s="289">
        <v>38905</v>
      </c>
      <c r="W163" s="289">
        <v>40578</v>
      </c>
      <c r="X163" s="289">
        <f>W163-V163</f>
        <v>1673</v>
      </c>
      <c r="Y163" s="289">
        <f t="shared" si="163"/>
        <v>268.65437201059387</v>
      </c>
      <c r="Z163" s="308">
        <v>1196.5999999999999</v>
      </c>
      <c r="AA163" s="289">
        <v>1212.9764700000001</v>
      </c>
      <c r="AB163" s="289">
        <f>AA163-Z163</f>
        <v>16.376470000000154</v>
      </c>
      <c r="AC163" s="289">
        <f t="shared" si="164"/>
        <v>2.6297730206816325</v>
      </c>
      <c r="AD163" s="308">
        <v>961.69776999999999</v>
      </c>
      <c r="AE163" s="289">
        <v>975.72</v>
      </c>
      <c r="AF163" s="289">
        <f>AE163-AD163</f>
        <v>14.022230000000036</v>
      </c>
      <c r="AG163" s="289">
        <f t="shared" si="165"/>
        <v>2.251723487649802</v>
      </c>
      <c r="AH163" s="308">
        <v>-11.39</v>
      </c>
      <c r="AI163" s="289">
        <v>-10.59</v>
      </c>
      <c r="AJ163" s="289">
        <f>AI163-AH163</f>
        <v>0.80000000000000071</v>
      </c>
      <c r="AK163" s="307">
        <f t="shared" si="166"/>
        <v>0.12846592803853871</v>
      </c>
      <c r="AL163" s="308">
        <v>-75.3</v>
      </c>
      <c r="AM163" s="289">
        <v>-76.8</v>
      </c>
      <c r="AN163" s="289">
        <f>AM163-AL163</f>
        <v>-1.5</v>
      </c>
      <c r="AO163" s="307">
        <f t="shared" si="167"/>
        <v>-0.24087361507225988</v>
      </c>
      <c r="AP163" s="308">
        <v>-90.8</v>
      </c>
      <c r="AQ163" s="289">
        <v>-92.7</v>
      </c>
      <c r="AR163" s="289">
        <f>AQ163-AP163</f>
        <v>-1.9000000000000057</v>
      </c>
      <c r="AS163" s="307">
        <f t="shared" si="168"/>
        <v>-0.30510657909153011</v>
      </c>
      <c r="AT163" s="308">
        <v>77.099999999999994</v>
      </c>
      <c r="AU163" s="289">
        <v>77.8</v>
      </c>
      <c r="AV163" s="289">
        <f>AU163-AT163</f>
        <v>0.70000000000000284</v>
      </c>
      <c r="AW163" s="307">
        <f t="shared" si="169"/>
        <v>0.11240768703372173</v>
      </c>
      <c r="AX163" s="308">
        <v>4018</v>
      </c>
      <c r="AY163" s="289">
        <v>5691</v>
      </c>
      <c r="AZ163" s="289">
        <f>AY163-AX163</f>
        <v>1673</v>
      </c>
      <c r="BA163" s="307">
        <f t="shared" si="170"/>
        <v>268.65437201059387</v>
      </c>
      <c r="BB163" s="308">
        <v>37922.6</v>
      </c>
      <c r="BC163" s="289">
        <v>37923.1</v>
      </c>
      <c r="BD163" s="289">
        <f>BC163-BB163</f>
        <v>0.5</v>
      </c>
      <c r="BE163" s="307">
        <f t="shared" si="171"/>
        <v>8.0291205024086626E-2</v>
      </c>
      <c r="BF163" s="308">
        <v>-37530.199999999997</v>
      </c>
      <c r="BG163" s="289">
        <v>-37530.199999999997</v>
      </c>
      <c r="BH163" s="289">
        <f>BG163-BF163</f>
        <v>0</v>
      </c>
      <c r="BI163" s="307">
        <f t="shared" si="172"/>
        <v>0</v>
      </c>
      <c r="BJ163" s="281">
        <v>90.606415999999996</v>
      </c>
      <c r="BK163" s="281">
        <v>88.306884999999994</v>
      </c>
      <c r="BL163" s="281">
        <f>BK163-BJ163</f>
        <v>-2.2995310000000018</v>
      </c>
      <c r="BM163" s="408">
        <v>-37530.199999999997</v>
      </c>
      <c r="BN163" s="458">
        <v>-37530.199999999997</v>
      </c>
      <c r="BO163" s="458">
        <f>BN163-BM163</f>
        <v>0</v>
      </c>
      <c r="BP163" s="408">
        <v>37922.6</v>
      </c>
      <c r="BQ163" s="458">
        <v>37923.1</v>
      </c>
      <c r="BR163" s="458">
        <f>BQ163-BP163</f>
        <v>0.5</v>
      </c>
      <c r="BS163" s="281"/>
      <c r="BT163" s="281"/>
      <c r="BU163" s="281"/>
      <c r="BV163" s="281"/>
      <c r="BW163" s="298" t="s">
        <v>825</v>
      </c>
      <c r="BX163" s="422">
        <v>10779.70584267</v>
      </c>
      <c r="BY163" s="422">
        <v>-6.7729031800000001</v>
      </c>
      <c r="BZ163" s="422">
        <v>1061.11446647</v>
      </c>
      <c r="CA163" s="422">
        <v>1138.20391571</v>
      </c>
      <c r="CB163" s="422">
        <v>6.3877055599999997</v>
      </c>
      <c r="CC163" s="422">
        <v>6.50940136</v>
      </c>
      <c r="CD163" s="422">
        <v>-0.12054592</v>
      </c>
      <c r="CE163" s="422">
        <v>6.2273421600000001</v>
      </c>
      <c r="CF163" s="422">
        <v>6.2348580299999998</v>
      </c>
      <c r="CG163" s="422">
        <v>-1.7823141199999999</v>
      </c>
      <c r="CH163" s="422">
        <v>-1.86953898</v>
      </c>
      <c r="CI163" s="422">
        <v>0.34618599999999999</v>
      </c>
    </row>
    <row r="164" spans="1:87" ht="15" customHeight="1" x14ac:dyDescent="0.2">
      <c r="A164" s="423">
        <v>62009032</v>
      </c>
      <c r="B164" s="297" t="s">
        <v>615</v>
      </c>
      <c r="C164" s="297" t="s">
        <v>635</v>
      </c>
      <c r="D164" s="326" t="s">
        <v>898</v>
      </c>
      <c r="E164" s="283" t="s">
        <v>899</v>
      </c>
      <c r="F164" s="310" t="s">
        <v>1160</v>
      </c>
      <c r="G164" s="298" t="s">
        <v>900</v>
      </c>
      <c r="H164" s="298" t="s">
        <v>775</v>
      </c>
      <c r="I164" s="306"/>
      <c r="J164" s="300">
        <f>AVERAGE(J162:J163)</f>
        <v>24.4260825</v>
      </c>
      <c r="K164" s="300">
        <f>AVERAGE(K162:K163)</f>
        <v>38.951628499999998</v>
      </c>
      <c r="L164" s="300">
        <f>AVERAGE(L162:L163)</f>
        <v>29.689600500000001</v>
      </c>
      <c r="M164" s="300">
        <f>AVERAGE(M162:M163)</f>
        <v>30.456518500000001</v>
      </c>
      <c r="N164" s="286"/>
      <c r="O164" s="284"/>
      <c r="P164" s="302"/>
      <c r="Q164" s="301"/>
      <c r="R164" s="287">
        <f>R163+R162</f>
        <v>7.9918883699999999</v>
      </c>
      <c r="S164" s="287">
        <f>S163</f>
        <v>7.9918883699999999</v>
      </c>
      <c r="T164" s="315">
        <f>T162</f>
        <v>91.041297999999998</v>
      </c>
      <c r="U164" s="315">
        <f>U163</f>
        <v>88.306884999999994</v>
      </c>
      <c r="V164" s="290">
        <f>V162</f>
        <v>38594</v>
      </c>
      <c r="W164" s="290">
        <f>W163</f>
        <v>40578</v>
      </c>
      <c r="X164" s="290">
        <f>SUM(X162:X163)</f>
        <v>2125</v>
      </c>
      <c r="Y164" s="290">
        <f t="shared" si="163"/>
        <v>265.89460483167386</v>
      </c>
      <c r="Z164" s="290">
        <f>Z162</f>
        <v>1191.3</v>
      </c>
      <c r="AA164" s="290">
        <f>AA163</f>
        <v>1212.9764700000001</v>
      </c>
      <c r="AB164" s="290">
        <f>SUM(AB162:AB163)</f>
        <v>26.400000000000091</v>
      </c>
      <c r="AC164" s="290">
        <f t="shared" si="164"/>
        <v>3.3033494435558652</v>
      </c>
      <c r="AD164" s="290">
        <f>AD162</f>
        <v>957.24</v>
      </c>
      <c r="AE164" s="290">
        <f>AE163</f>
        <v>975.72</v>
      </c>
      <c r="AF164" s="290">
        <f>SUM(AF162:AF163)</f>
        <v>22.549999999999955</v>
      </c>
      <c r="AG164" s="290">
        <f t="shared" si="165"/>
        <v>2.8216109830372864</v>
      </c>
      <c r="AH164" s="290">
        <f>AH162</f>
        <v>-12.15</v>
      </c>
      <c r="AI164" s="290">
        <f>AI163</f>
        <v>-10.59</v>
      </c>
      <c r="AJ164" s="290">
        <f>SUM(AJ162:AJ163)</f>
        <v>1.67</v>
      </c>
      <c r="AK164" s="288">
        <f t="shared" si="166"/>
        <v>0.20896187767948016</v>
      </c>
      <c r="AL164" s="290">
        <f>AL162</f>
        <v>-74.7</v>
      </c>
      <c r="AM164" s="290">
        <f>AM163</f>
        <v>-76.8</v>
      </c>
      <c r="AN164" s="290">
        <f>SUM(AN162:AN163)</f>
        <v>-2.5</v>
      </c>
      <c r="AO164" s="288">
        <f t="shared" si="167"/>
        <v>-0.31281718215491039</v>
      </c>
      <c r="AP164" s="290">
        <f>AP162</f>
        <v>-90.1</v>
      </c>
      <c r="AQ164" s="290">
        <f>AQ163</f>
        <v>-92.7</v>
      </c>
      <c r="AR164" s="290">
        <f>SUM(AR162:AR163)</f>
        <v>-3.2000000000000028</v>
      </c>
      <c r="AS164" s="288">
        <f t="shared" si="168"/>
        <v>-0.40040599315828568</v>
      </c>
      <c r="AT164" s="290">
        <f>AT162</f>
        <v>76.900000000000006</v>
      </c>
      <c r="AU164" s="290">
        <f>AU163</f>
        <v>77.8</v>
      </c>
      <c r="AV164" s="290">
        <f>SUM(AV162:AV163)</f>
        <v>1</v>
      </c>
      <c r="AW164" s="288">
        <f t="shared" si="169"/>
        <v>0.12512687286196417</v>
      </c>
      <c r="AX164" s="290">
        <f>AX162</f>
        <v>3706</v>
      </c>
      <c r="AY164" s="290">
        <f>AY163</f>
        <v>5691</v>
      </c>
      <c r="AZ164" s="290">
        <f>SUM(AZ162:AZ163)</f>
        <v>2127</v>
      </c>
      <c r="BA164" s="288">
        <f t="shared" si="170"/>
        <v>266.14485857739777</v>
      </c>
      <c r="BB164" s="290">
        <f>BB162</f>
        <v>37922.400000000001</v>
      </c>
      <c r="BC164" s="290">
        <f>BC163</f>
        <v>37923.1</v>
      </c>
      <c r="BD164" s="290">
        <f>SUM(BD162:BD163)</f>
        <v>0.79999999999563443</v>
      </c>
      <c r="BE164" s="288">
        <f t="shared" si="171"/>
        <v>0.10010149828902508</v>
      </c>
      <c r="BF164" s="290">
        <f>BF162</f>
        <v>-37530.199999999997</v>
      </c>
      <c r="BG164" s="290">
        <f>BG163</f>
        <v>-37530.199999999997</v>
      </c>
      <c r="BH164" s="290">
        <f>SUM(BH162:BH163)</f>
        <v>0</v>
      </c>
      <c r="BI164" s="288">
        <f t="shared" si="172"/>
        <v>0</v>
      </c>
      <c r="BJ164" s="282"/>
      <c r="BK164" s="282"/>
      <c r="BL164" s="282">
        <f>SUM(BL162:BL163)</f>
        <v>-2.9373580000000032</v>
      </c>
      <c r="BM164" s="459">
        <f>BM162</f>
        <v>-37530.199999999997</v>
      </c>
      <c r="BN164" s="459">
        <f>BN163</f>
        <v>-37530.199999999997</v>
      </c>
      <c r="BO164" s="459">
        <f>SUM(BO162:BO163)</f>
        <v>0</v>
      </c>
      <c r="BP164" s="459">
        <f>BP162</f>
        <v>37922.400000000001</v>
      </c>
      <c r="BQ164" s="459">
        <f>BQ163</f>
        <v>37923.1</v>
      </c>
      <c r="BR164" s="459">
        <f>SUM(BR162:BR163)</f>
        <v>0.79999999999563443</v>
      </c>
      <c r="BS164" s="282"/>
      <c r="BT164" s="282"/>
      <c r="BU164" s="282"/>
      <c r="BV164" s="282"/>
      <c r="BW164" s="298" t="s">
        <v>825</v>
      </c>
    </row>
    <row r="165" spans="1:87" ht="15" customHeight="1" x14ac:dyDescent="0.2">
      <c r="A165" s="423">
        <v>62009032</v>
      </c>
      <c r="B165" s="297" t="s">
        <v>892</v>
      </c>
      <c r="C165" s="297" t="s">
        <v>811</v>
      </c>
      <c r="D165" s="326" t="s">
        <v>898</v>
      </c>
      <c r="E165" s="283" t="s">
        <v>899</v>
      </c>
      <c r="F165" s="310" t="str">
        <f t="shared" si="147"/>
        <v>09/21/20</v>
      </c>
      <c r="G165" s="298" t="s">
        <v>900</v>
      </c>
      <c r="H165" s="298" t="s">
        <v>775</v>
      </c>
      <c r="I165" s="306"/>
      <c r="J165" s="299">
        <v>24.364419000000002</v>
      </c>
      <c r="K165" s="299">
        <v>39.106565000000003</v>
      </c>
      <c r="L165" s="299">
        <v>29.679086000000002</v>
      </c>
      <c r="M165" s="299">
        <v>29.149453999999999</v>
      </c>
      <c r="N165" s="284">
        <v>3875</v>
      </c>
      <c r="O165" s="284">
        <v>28.39</v>
      </c>
      <c r="P165" s="284">
        <v>0.20169999999999999</v>
      </c>
      <c r="Q165" s="284">
        <v>1.932E-2</v>
      </c>
      <c r="R165" s="285">
        <v>10.247246329999999</v>
      </c>
      <c r="S165" s="285">
        <f>R165+R164</f>
        <v>18.239134700000001</v>
      </c>
      <c r="T165" s="314">
        <v>88.102413999999996</v>
      </c>
      <c r="U165" s="314">
        <v>85.329853999999997</v>
      </c>
      <c r="V165" s="289">
        <v>40720</v>
      </c>
      <c r="W165" s="289">
        <v>42722</v>
      </c>
      <c r="X165" s="289">
        <f>W165-V165</f>
        <v>2002</v>
      </c>
      <c r="Y165" s="289">
        <f t="shared" si="163"/>
        <v>195.36955934580331</v>
      </c>
      <c r="Z165" s="308">
        <v>1218.4000000000001</v>
      </c>
      <c r="AA165" s="289">
        <v>1254.0999999999999</v>
      </c>
      <c r="AB165" s="289">
        <f>AA165-Z165</f>
        <v>35.699999999999818</v>
      </c>
      <c r="AC165" s="289">
        <f t="shared" si="164"/>
        <v>3.4838627715510202</v>
      </c>
      <c r="AD165" s="308">
        <v>980.43</v>
      </c>
      <c r="AE165" s="289">
        <v>1011.08</v>
      </c>
      <c r="AF165" s="289">
        <f>AE165-AD165</f>
        <v>30.650000000000091</v>
      </c>
      <c r="AG165" s="289">
        <f t="shared" si="165"/>
        <v>2.9910474495249195</v>
      </c>
      <c r="AH165" s="308">
        <v>-10.47</v>
      </c>
      <c r="AI165" s="289">
        <v>-10.07</v>
      </c>
      <c r="AJ165" s="289">
        <f>AI165-AH165</f>
        <v>0.40000000000000036</v>
      </c>
      <c r="AK165" s="307">
        <f t="shared" si="166"/>
        <v>3.9034876992168524E-2</v>
      </c>
      <c r="AL165" s="308">
        <v>-77.3</v>
      </c>
      <c r="AM165" s="289">
        <v>-80.5</v>
      </c>
      <c r="AN165" s="289">
        <f>AM165-AL165</f>
        <v>-3.2000000000000028</v>
      </c>
      <c r="AO165" s="307">
        <f t="shared" si="167"/>
        <v>-0.31227901593734819</v>
      </c>
      <c r="AP165" s="308">
        <v>-93.3</v>
      </c>
      <c r="AQ165" s="289">
        <v>-97.3</v>
      </c>
      <c r="AR165" s="289">
        <f>AQ165-AP165</f>
        <v>-4</v>
      </c>
      <c r="AS165" s="307">
        <f t="shared" si="168"/>
        <v>-0.39034876992168493</v>
      </c>
      <c r="AT165" s="308">
        <v>78</v>
      </c>
      <c r="AU165" s="289">
        <v>79.3</v>
      </c>
      <c r="AV165" s="289">
        <f>AU165-AT165</f>
        <v>1.2999999999999972</v>
      </c>
      <c r="AW165" s="307">
        <f t="shared" si="169"/>
        <v>0.12686335022454731</v>
      </c>
      <c r="AX165" s="308">
        <v>5833</v>
      </c>
      <c r="AY165" s="289">
        <v>7835</v>
      </c>
      <c r="AZ165" s="289">
        <f>AY165-AX165</f>
        <v>2002</v>
      </c>
      <c r="BA165" s="307">
        <f t="shared" si="170"/>
        <v>195.36955934580331</v>
      </c>
      <c r="BB165" s="308">
        <v>37923.199999999997</v>
      </c>
      <c r="BC165" s="289">
        <v>37924.300000000003</v>
      </c>
      <c r="BD165" s="289">
        <f>BC165-BB165</f>
        <v>1.1000000000058208</v>
      </c>
      <c r="BE165" s="307">
        <f t="shared" si="171"/>
        <v>0.10734591172903139</v>
      </c>
      <c r="BF165" s="308">
        <v>-37530.199999999997</v>
      </c>
      <c r="BG165" s="289">
        <v>-37530.199999999997</v>
      </c>
      <c r="BH165" s="289">
        <f>BG165-BF165</f>
        <v>0</v>
      </c>
      <c r="BI165" s="307">
        <f t="shared" si="172"/>
        <v>0</v>
      </c>
      <c r="BJ165" s="281">
        <v>88.102413999999996</v>
      </c>
      <c r="BK165" s="281">
        <v>85.329853999999997</v>
      </c>
      <c r="BL165" s="281">
        <f>BK165-BJ165</f>
        <v>-2.7725599999999986</v>
      </c>
      <c r="BM165" s="408">
        <v>-37530.199999999997</v>
      </c>
      <c r="BN165" s="458">
        <v>-37530.199999999997</v>
      </c>
      <c r="BO165" s="458">
        <f>BN165-BM165</f>
        <v>0</v>
      </c>
      <c r="BP165" s="408">
        <v>37923.199999999997</v>
      </c>
      <c r="BQ165" s="458">
        <v>37924.300000000003</v>
      </c>
      <c r="BR165" s="458">
        <f>BQ165-BP165</f>
        <v>1.1000000000058208</v>
      </c>
      <c r="BS165" s="281"/>
      <c r="BT165" s="281"/>
      <c r="BU165" s="281"/>
      <c r="BV165" s="281"/>
      <c r="BW165" s="298" t="s">
        <v>825</v>
      </c>
      <c r="BX165" s="422">
        <v>1773.4525066599999</v>
      </c>
      <c r="BY165" s="422">
        <v>1.60764752</v>
      </c>
      <c r="BZ165" s="422">
        <v>1327.7253279399999</v>
      </c>
      <c r="CA165" s="422">
        <v>1306.7179099</v>
      </c>
      <c r="CB165" s="422">
        <v>7.3032296800000003</v>
      </c>
      <c r="CC165" s="422">
        <v>7.3153764700000004</v>
      </c>
      <c r="CD165" s="422">
        <v>-9.1152860000000002E-2</v>
      </c>
      <c r="CE165" s="422">
        <v>10.24733108</v>
      </c>
      <c r="CF165" s="422">
        <v>10.256680340000001</v>
      </c>
      <c r="CG165" s="422">
        <v>-7.5016369999999999E-2</v>
      </c>
      <c r="CH165" s="422">
        <v>-0.16604467000000001</v>
      </c>
      <c r="CI165" s="422">
        <v>0.28265067999999999</v>
      </c>
    </row>
    <row r="166" spans="1:87" ht="15" customHeight="1" x14ac:dyDescent="0.2">
      <c r="A166" s="423">
        <v>62009032</v>
      </c>
      <c r="B166" s="297" t="s">
        <v>838</v>
      </c>
      <c r="C166" s="297" t="s">
        <v>880</v>
      </c>
      <c r="D166" s="326" t="s">
        <v>898</v>
      </c>
      <c r="E166" s="283" t="s">
        <v>899</v>
      </c>
      <c r="F166" s="310" t="str">
        <f t="shared" si="147"/>
        <v>09/21/20</v>
      </c>
      <c r="G166" s="298" t="s">
        <v>900</v>
      </c>
      <c r="H166" s="298" t="s">
        <v>775</v>
      </c>
      <c r="I166" s="306"/>
      <c r="J166" s="299">
        <v>21.381905</v>
      </c>
      <c r="K166" s="299">
        <v>46.879007000000001</v>
      </c>
      <c r="L166" s="299">
        <v>29.676856000000001</v>
      </c>
      <c r="M166" s="299">
        <v>29.23968</v>
      </c>
      <c r="N166" s="284">
        <v>3875</v>
      </c>
      <c r="O166" s="284">
        <v>28.39</v>
      </c>
      <c r="P166" s="284">
        <v>0.20169999999999999</v>
      </c>
      <c r="Q166" s="284">
        <v>1.932E-2</v>
      </c>
      <c r="R166" s="285">
        <v>3.5825288899999999</v>
      </c>
      <c r="S166" s="285">
        <f>R166+R165</f>
        <v>13.829775219999998</v>
      </c>
      <c r="T166" s="314">
        <v>85.329853999999997</v>
      </c>
      <c r="U166" s="314">
        <v>84.440253999999996</v>
      </c>
      <c r="V166" s="289">
        <v>42722</v>
      </c>
      <c r="W166" s="289">
        <v>43357</v>
      </c>
      <c r="X166" s="289">
        <f>W166-V166</f>
        <v>635</v>
      </c>
      <c r="Y166" s="289">
        <f t="shared" si="163"/>
        <v>177.24909400521261</v>
      </c>
      <c r="Z166" s="308">
        <v>1254.2</v>
      </c>
      <c r="AA166" s="289">
        <v>1277.2</v>
      </c>
      <c r="AB166" s="289">
        <f>AA166-Z166</f>
        <v>23</v>
      </c>
      <c r="AC166" s="289">
        <f t="shared" si="164"/>
        <v>6.4200459245982522</v>
      </c>
      <c r="AD166" s="308">
        <v>1011.13</v>
      </c>
      <c r="AE166" s="289">
        <v>1030.8688030000001</v>
      </c>
      <c r="AF166" s="289">
        <f>AE166-AD166</f>
        <v>19.738803000000075</v>
      </c>
      <c r="AG166" s="289">
        <f t="shared" si="165"/>
        <v>5.5097400763738369</v>
      </c>
      <c r="AH166" s="308">
        <v>-10.07</v>
      </c>
      <c r="AI166" s="289">
        <v>-9.9600000000000009</v>
      </c>
      <c r="AJ166" s="289">
        <f>AI166-AH166</f>
        <v>0.10999999999999943</v>
      </c>
      <c r="AK166" s="307">
        <f t="shared" si="166"/>
        <v>3.0704567465469745E-2</v>
      </c>
      <c r="AL166" s="308">
        <v>-80.5</v>
      </c>
      <c r="AM166" s="289">
        <v>-82.7</v>
      </c>
      <c r="AN166" s="289">
        <f>AM166-AL166</f>
        <v>-2.2000000000000028</v>
      </c>
      <c r="AO166" s="307">
        <f t="shared" si="167"/>
        <v>-0.6140913493093989</v>
      </c>
      <c r="AP166" s="308">
        <v>-97.3</v>
      </c>
      <c r="AQ166" s="289">
        <v>-99.9</v>
      </c>
      <c r="AR166" s="289">
        <f>AQ166-AP166</f>
        <v>-2.6000000000000085</v>
      </c>
      <c r="AS166" s="307">
        <f t="shared" si="168"/>
        <v>-0.72574432191110916</v>
      </c>
      <c r="AT166" s="308">
        <v>79.3</v>
      </c>
      <c r="AU166" s="289">
        <v>80.2</v>
      </c>
      <c r="AV166" s="289">
        <f>AU166-AT166</f>
        <v>0.90000000000000568</v>
      </c>
      <c r="AW166" s="307">
        <f t="shared" si="169"/>
        <v>0.25121918835384627</v>
      </c>
      <c r="AX166" s="308">
        <v>7835</v>
      </c>
      <c r="AY166" s="289">
        <v>8469</v>
      </c>
      <c r="AZ166" s="289">
        <f>AY166-AX166</f>
        <v>634</v>
      </c>
      <c r="BA166" s="307">
        <f t="shared" si="170"/>
        <v>176.96996157370836</v>
      </c>
      <c r="BB166" s="308">
        <v>37924.300000000003</v>
      </c>
      <c r="BC166" s="289">
        <v>37925</v>
      </c>
      <c r="BD166" s="289">
        <f>BC166-BB166</f>
        <v>0.69999999999708962</v>
      </c>
      <c r="BE166" s="307">
        <f t="shared" si="171"/>
        <v>0.1953927020521779</v>
      </c>
      <c r="BF166" s="308">
        <v>-37530.199999999997</v>
      </c>
      <c r="BG166" s="289">
        <v>-37530.199999999997</v>
      </c>
      <c r="BH166" s="289">
        <f>BG166-BF166</f>
        <v>0</v>
      </c>
      <c r="BI166" s="307">
        <f t="shared" si="172"/>
        <v>0</v>
      </c>
      <c r="BJ166" s="281">
        <v>85.329853999999997</v>
      </c>
      <c r="BK166" s="281">
        <v>84.440253999999996</v>
      </c>
      <c r="BL166" s="281">
        <f>BK166-BJ166</f>
        <v>-0.8896000000000015</v>
      </c>
      <c r="BM166" s="408">
        <v>-37530.199999999997</v>
      </c>
      <c r="BN166" s="458">
        <v>-37530.199999999997</v>
      </c>
      <c r="BO166" s="458">
        <f>BN166-BM166</f>
        <v>0</v>
      </c>
      <c r="BP166" s="408">
        <v>37924.300000000003</v>
      </c>
      <c r="BQ166" s="458">
        <v>37925</v>
      </c>
      <c r="BR166" s="458">
        <f>BQ166-BP166</f>
        <v>0.69999999999708962</v>
      </c>
      <c r="BS166" s="281"/>
      <c r="BT166" s="281"/>
      <c r="BU166" s="281"/>
      <c r="BV166" s="281"/>
      <c r="BW166" s="298" t="s">
        <v>825</v>
      </c>
      <c r="BX166" s="422">
        <v>2202.4691201999999</v>
      </c>
      <c r="BY166" s="422">
        <v>-0.91034543999999995</v>
      </c>
      <c r="BZ166" s="422">
        <v>2030.08530234</v>
      </c>
      <c r="CA166" s="422">
        <v>2048.7358760000002</v>
      </c>
      <c r="CB166" s="422">
        <v>2.9315629200000002</v>
      </c>
      <c r="CC166" s="422">
        <v>2.9657459500000001</v>
      </c>
      <c r="CD166" s="422">
        <v>-0.23789636</v>
      </c>
      <c r="CE166" s="422">
        <v>3.5824369900000002</v>
      </c>
      <c r="CF166" s="422">
        <v>3.5909797999999999</v>
      </c>
      <c r="CG166" s="422">
        <v>-0.92536392999999995</v>
      </c>
      <c r="CH166" s="422">
        <v>-1.1525946</v>
      </c>
      <c r="CI166" s="422">
        <v>0.59140082000000005</v>
      </c>
    </row>
    <row r="167" spans="1:87" ht="15" customHeight="1" x14ac:dyDescent="0.2">
      <c r="A167" s="423">
        <v>62009032</v>
      </c>
      <c r="B167" s="297" t="s">
        <v>219</v>
      </c>
      <c r="C167" s="297" t="s">
        <v>881</v>
      </c>
      <c r="D167" s="326" t="s">
        <v>898</v>
      </c>
      <c r="E167" s="283" t="s">
        <v>899</v>
      </c>
      <c r="F167" s="310" t="str">
        <f t="shared" si="147"/>
        <v>09/21/20</v>
      </c>
      <c r="G167" s="298" t="s">
        <v>900</v>
      </c>
      <c r="H167" s="298" t="s">
        <v>775</v>
      </c>
      <c r="I167" s="306"/>
      <c r="J167" s="299">
        <v>18.225172000000001</v>
      </c>
      <c r="K167" s="299">
        <v>62.140447999999999</v>
      </c>
      <c r="L167" s="299">
        <v>29.680783999999999</v>
      </c>
      <c r="M167" s="299">
        <v>27.381571000000001</v>
      </c>
      <c r="N167" s="284">
        <v>3875</v>
      </c>
      <c r="O167" s="284">
        <v>28.39</v>
      </c>
      <c r="P167" s="284">
        <v>0.20169999999999999</v>
      </c>
      <c r="Q167" s="284">
        <v>1.932E-2</v>
      </c>
      <c r="R167" s="285">
        <v>3.8452026699999999</v>
      </c>
      <c r="S167" s="285">
        <f>R167+R166</f>
        <v>7.4277315599999998</v>
      </c>
      <c r="T167" s="314">
        <v>84.440253999999996</v>
      </c>
      <c r="U167" s="314">
        <v>83.645259999999993</v>
      </c>
      <c r="V167" s="289">
        <v>43357</v>
      </c>
      <c r="W167" s="289">
        <v>43923</v>
      </c>
      <c r="X167" s="289">
        <f>W167-V167</f>
        <v>566</v>
      </c>
      <c r="Y167" s="289">
        <f t="shared" si="163"/>
        <v>147.19640252408334</v>
      </c>
      <c r="Z167" s="308">
        <v>1277.2</v>
      </c>
      <c r="AA167" s="289">
        <v>1328.9</v>
      </c>
      <c r="AB167" s="289">
        <f>AA167-Z167</f>
        <v>51.700000000000045</v>
      </c>
      <c r="AC167" s="289">
        <f t="shared" si="164"/>
        <v>13.44532510688183</v>
      </c>
      <c r="AD167" s="308">
        <v>1030.8800000000001</v>
      </c>
      <c r="AE167" s="289">
        <v>1076.0899999999999</v>
      </c>
      <c r="AF167" s="289">
        <f>AE167-AD167</f>
        <v>45.209999999999809</v>
      </c>
      <c r="AG167" s="289">
        <f t="shared" si="165"/>
        <v>11.757507699847668</v>
      </c>
      <c r="AH167" s="308">
        <v>-9.9600000000000009</v>
      </c>
      <c r="AI167" s="289">
        <v>-21.27</v>
      </c>
      <c r="AJ167" s="289">
        <f>AI167-AH167</f>
        <v>-11.309999999999999</v>
      </c>
      <c r="AK167" s="307">
        <f t="shared" si="166"/>
        <v>-2.9413274073275306</v>
      </c>
      <c r="AL167" s="308">
        <v>-82.7</v>
      </c>
      <c r="AM167" s="289">
        <v>-86.4</v>
      </c>
      <c r="AN167" s="289">
        <f>AM167-AL167</f>
        <v>-3.7000000000000028</v>
      </c>
      <c r="AO167" s="307">
        <f t="shared" si="167"/>
        <v>-0.96223796703022757</v>
      </c>
      <c r="AP167" s="308">
        <v>-99.9</v>
      </c>
      <c r="AQ167" s="289">
        <v>-104.5</v>
      </c>
      <c r="AR167" s="289">
        <f>AQ167-AP167</f>
        <v>-4.5999999999999943</v>
      </c>
      <c r="AS167" s="307">
        <f t="shared" si="168"/>
        <v>-1.1962958509024426</v>
      </c>
      <c r="AT167" s="308">
        <v>80.2</v>
      </c>
      <c r="AU167" s="289">
        <v>81.7</v>
      </c>
      <c r="AV167" s="289">
        <f>AU167-AT167</f>
        <v>1.5</v>
      </c>
      <c r="AW167" s="307">
        <f t="shared" si="169"/>
        <v>0.39009647312036222</v>
      </c>
      <c r="AX167" s="308">
        <v>8469</v>
      </c>
      <c r="AY167" s="289">
        <v>9034</v>
      </c>
      <c r="AZ167" s="289">
        <f>AY167-AX167</f>
        <v>565</v>
      </c>
      <c r="BA167" s="307">
        <f t="shared" si="170"/>
        <v>146.93633820866978</v>
      </c>
      <c r="BB167" s="308">
        <v>37925</v>
      </c>
      <c r="BC167" s="289">
        <v>37926.199999999997</v>
      </c>
      <c r="BD167" s="289">
        <f>BC167-BB167</f>
        <v>1.1999999999970896</v>
      </c>
      <c r="BE167" s="307">
        <f t="shared" si="171"/>
        <v>0.3120771784955329</v>
      </c>
      <c r="BF167" s="308">
        <v>-37530.199999999997</v>
      </c>
      <c r="BG167" s="289">
        <v>-37530.199999999997</v>
      </c>
      <c r="BH167" s="289">
        <f>BG167-BF167</f>
        <v>0</v>
      </c>
      <c r="BI167" s="307">
        <f t="shared" si="172"/>
        <v>0</v>
      </c>
      <c r="BJ167" s="281">
        <v>84.440253999999996</v>
      </c>
      <c r="BK167" s="281">
        <v>83.645259999999993</v>
      </c>
      <c r="BL167" s="281">
        <f>BK167-BJ167</f>
        <v>-0.79499400000000264</v>
      </c>
      <c r="BM167" s="408">
        <v>-37530.199999999997</v>
      </c>
      <c r="BN167" s="458">
        <v>-37530.199999999997</v>
      </c>
      <c r="BO167" s="458">
        <f>BN167-BM167</f>
        <v>0</v>
      </c>
      <c r="BP167" s="408">
        <v>37925</v>
      </c>
      <c r="BQ167" s="458">
        <v>37926.199999999997</v>
      </c>
      <c r="BR167" s="458">
        <f>BQ167-BP167</f>
        <v>1.1999999999970896</v>
      </c>
      <c r="BS167" s="281"/>
      <c r="BT167" s="281"/>
      <c r="BU167" s="281"/>
      <c r="BV167" s="281"/>
      <c r="BW167" s="298" t="s">
        <v>825</v>
      </c>
      <c r="BX167" s="422">
        <v>1350.35958211</v>
      </c>
      <c r="BY167" s="422">
        <v>-1.37802403</v>
      </c>
      <c r="BZ167" s="422">
        <v>3369.1499526399998</v>
      </c>
      <c r="CA167" s="422">
        <v>3416.2263728600001</v>
      </c>
      <c r="CB167" s="422">
        <v>2.7021207399999998</v>
      </c>
      <c r="CC167" s="422">
        <v>2.7417573499999999</v>
      </c>
      <c r="CD167" s="422">
        <v>-0.38350360999999999</v>
      </c>
      <c r="CE167" s="422">
        <v>3.8450282699999998</v>
      </c>
      <c r="CF167" s="422">
        <v>3.8598308600000002</v>
      </c>
      <c r="CG167" s="422">
        <v>-1.07774109</v>
      </c>
      <c r="CH167" s="422">
        <v>-1.44566419</v>
      </c>
      <c r="CI167" s="422">
        <v>0.71727573</v>
      </c>
    </row>
    <row r="168" spans="1:87" ht="15" customHeight="1" x14ac:dyDescent="0.2">
      <c r="A168" s="423">
        <v>62009032</v>
      </c>
      <c r="B168" s="297" t="s">
        <v>839</v>
      </c>
      <c r="C168" s="297" t="s">
        <v>893</v>
      </c>
      <c r="D168" s="326" t="s">
        <v>898</v>
      </c>
      <c r="E168" s="283" t="s">
        <v>899</v>
      </c>
      <c r="F168" s="310" t="str">
        <f t="shared" si="147"/>
        <v>09/21/20</v>
      </c>
      <c r="G168" s="298" t="s">
        <v>900</v>
      </c>
      <c r="H168" s="298" t="s">
        <v>775</v>
      </c>
      <c r="I168" s="306"/>
      <c r="J168" s="300">
        <f>AVERAGE(J166:J167)</f>
        <v>19.803538500000002</v>
      </c>
      <c r="K168" s="300">
        <f>AVERAGE(K166:K167)</f>
        <v>54.509727499999997</v>
      </c>
      <c r="L168" s="300">
        <f>AVERAGE(L166:L167)</f>
        <v>29.678820000000002</v>
      </c>
      <c r="M168" s="300">
        <f>AVERAGE(M166:M167)</f>
        <v>28.3106255</v>
      </c>
      <c r="N168" s="286"/>
      <c r="O168" s="284"/>
      <c r="P168" s="302"/>
      <c r="Q168" s="301"/>
      <c r="R168" s="287">
        <f>R167+R166</f>
        <v>7.4277315599999998</v>
      </c>
      <c r="S168" s="287">
        <f>S167</f>
        <v>7.4277315599999998</v>
      </c>
      <c r="T168" s="315">
        <f>T166</f>
        <v>85.329853999999997</v>
      </c>
      <c r="U168" s="315">
        <f>U167</f>
        <v>83.645259999999993</v>
      </c>
      <c r="V168" s="290">
        <f>V166</f>
        <v>42722</v>
      </c>
      <c r="W168" s="290">
        <f>W167</f>
        <v>43923</v>
      </c>
      <c r="X168" s="290">
        <f>SUM(X166:X167)</f>
        <v>1201</v>
      </c>
      <c r="Y168" s="290">
        <f t="shared" si="163"/>
        <v>161.69135762359187</v>
      </c>
      <c r="Z168" s="290">
        <f>Z166</f>
        <v>1254.2</v>
      </c>
      <c r="AA168" s="290">
        <f>AA167</f>
        <v>1328.9</v>
      </c>
      <c r="AB168" s="290">
        <f>SUM(AB166:AB167)</f>
        <v>74.700000000000045</v>
      </c>
      <c r="AC168" s="290">
        <f t="shared" si="164"/>
        <v>10.056906256854555</v>
      </c>
      <c r="AD168" s="290">
        <f>AD166</f>
        <v>1011.13</v>
      </c>
      <c r="AE168" s="290">
        <f>AE167</f>
        <v>1076.0899999999999</v>
      </c>
      <c r="AF168" s="290">
        <f>SUM(AF166:AF167)</f>
        <v>64.948802999999884</v>
      </c>
      <c r="AG168" s="290">
        <f t="shared" si="165"/>
        <v>8.744096697000165</v>
      </c>
      <c r="AH168" s="290">
        <f>AH166</f>
        <v>-10.07</v>
      </c>
      <c r="AI168" s="290">
        <f>AI167</f>
        <v>-21.27</v>
      </c>
      <c r="AJ168" s="290">
        <f>SUM(AJ166:AJ167)</f>
        <v>-11.2</v>
      </c>
      <c r="AK168" s="288">
        <f t="shared" si="166"/>
        <v>-1.5078627854989417</v>
      </c>
      <c r="AL168" s="290">
        <f>AL166</f>
        <v>-80.5</v>
      </c>
      <c r="AM168" s="290">
        <f>AM167</f>
        <v>-86.4</v>
      </c>
      <c r="AN168" s="290">
        <f>SUM(AN166:AN167)</f>
        <v>-5.9000000000000057</v>
      </c>
      <c r="AO168" s="288">
        <f t="shared" si="167"/>
        <v>-0.79432057450390758</v>
      </c>
      <c r="AP168" s="290">
        <f>AP166</f>
        <v>-97.3</v>
      </c>
      <c r="AQ168" s="290">
        <f>AQ167</f>
        <v>-104.5</v>
      </c>
      <c r="AR168" s="290">
        <f>SUM(AR166:AR167)</f>
        <v>-7.2000000000000028</v>
      </c>
      <c r="AS168" s="288">
        <f t="shared" si="168"/>
        <v>-0.96934036210646302</v>
      </c>
      <c r="AT168" s="290">
        <f>AT166</f>
        <v>79.3</v>
      </c>
      <c r="AU168" s="290">
        <f>AU167</f>
        <v>81.7</v>
      </c>
      <c r="AV168" s="290">
        <f>SUM(AV166:AV167)</f>
        <v>2.4000000000000057</v>
      </c>
      <c r="AW168" s="288">
        <f t="shared" si="169"/>
        <v>0.3231134540354883</v>
      </c>
      <c r="AX168" s="290">
        <f>AX166</f>
        <v>7835</v>
      </c>
      <c r="AY168" s="290">
        <f>AY167</f>
        <v>9034</v>
      </c>
      <c r="AZ168" s="290">
        <f>SUM(AZ166:AZ167)</f>
        <v>1199</v>
      </c>
      <c r="BA168" s="288">
        <f t="shared" si="170"/>
        <v>161.42209641189564</v>
      </c>
      <c r="BB168" s="290">
        <f>BB166</f>
        <v>37924.300000000003</v>
      </c>
      <c r="BC168" s="290">
        <f>BC167</f>
        <v>37926.199999999997</v>
      </c>
      <c r="BD168" s="290">
        <f>SUM(BD166:BD167)</f>
        <v>1.8999999999941792</v>
      </c>
      <c r="BE168" s="288">
        <f t="shared" si="171"/>
        <v>0.25579815111064397</v>
      </c>
      <c r="BF168" s="290">
        <f>BF166</f>
        <v>-37530.199999999997</v>
      </c>
      <c r="BG168" s="290">
        <f>BG167</f>
        <v>-37530.199999999997</v>
      </c>
      <c r="BH168" s="290">
        <f>SUM(BH166:BH167)</f>
        <v>0</v>
      </c>
      <c r="BI168" s="288">
        <f t="shared" si="172"/>
        <v>0</v>
      </c>
      <c r="BJ168" s="282"/>
      <c r="BK168" s="282"/>
      <c r="BL168" s="282">
        <f>SUM(BL166:BL167)</f>
        <v>-1.6845940000000041</v>
      </c>
      <c r="BM168" s="459">
        <f>BM166</f>
        <v>-37530.199999999997</v>
      </c>
      <c r="BN168" s="459">
        <f>BN167</f>
        <v>-37530.199999999997</v>
      </c>
      <c r="BO168" s="459">
        <f>SUM(BO166:BO167)</f>
        <v>0</v>
      </c>
      <c r="BP168" s="459">
        <f>BP166</f>
        <v>37924.300000000003</v>
      </c>
      <c r="BQ168" s="459">
        <f>BQ167</f>
        <v>37926.199999999997</v>
      </c>
      <c r="BR168" s="459">
        <f>SUM(BR166:BR167)</f>
        <v>1.8999999999941792</v>
      </c>
      <c r="BS168" s="282"/>
      <c r="BT168" s="282"/>
      <c r="BU168" s="282"/>
      <c r="BV168" s="282"/>
      <c r="BW168" s="298" t="s">
        <v>825</v>
      </c>
    </row>
    <row r="169" spans="1:87" ht="15" customHeight="1" x14ac:dyDescent="0.2">
      <c r="A169" s="423">
        <v>62009032</v>
      </c>
      <c r="B169" s="297" t="s">
        <v>841</v>
      </c>
      <c r="C169" s="297" t="s">
        <v>894</v>
      </c>
      <c r="D169" s="326" t="s">
        <v>898</v>
      </c>
      <c r="E169" s="283" t="s">
        <v>899</v>
      </c>
      <c r="F169" s="310" t="str">
        <f t="shared" si="147"/>
        <v>09/21/20</v>
      </c>
      <c r="G169" s="298" t="s">
        <v>900</v>
      </c>
      <c r="H169" s="298" t="s">
        <v>775</v>
      </c>
      <c r="I169" s="306"/>
      <c r="J169" s="299">
        <v>21.823108000000001</v>
      </c>
      <c r="K169" s="299">
        <v>50.479253999999997</v>
      </c>
      <c r="L169" s="299">
        <v>29.683268999999999</v>
      </c>
      <c r="M169" s="299">
        <v>26.988999</v>
      </c>
      <c r="N169" s="284">
        <v>3875</v>
      </c>
      <c r="O169" s="284">
        <v>28.39</v>
      </c>
      <c r="P169" s="284">
        <v>0.20169999999999999</v>
      </c>
      <c r="Q169" s="284">
        <v>1.932E-2</v>
      </c>
      <c r="R169" s="285">
        <v>3.5826600100000001</v>
      </c>
      <c r="S169" s="285">
        <f>R169+R168</f>
        <v>11.010391569999999</v>
      </c>
      <c r="T169" s="314">
        <v>83.643733999999995</v>
      </c>
      <c r="U169" s="314">
        <v>82.735823999999994</v>
      </c>
      <c r="V169" s="289">
        <v>43924</v>
      </c>
      <c r="W169" s="289">
        <v>44569</v>
      </c>
      <c r="X169" s="289">
        <f>W169-V169</f>
        <v>645</v>
      </c>
      <c r="Y169" s="289">
        <f t="shared" si="163"/>
        <v>180.03382911011977</v>
      </c>
      <c r="Z169" s="308">
        <v>1329.1</v>
      </c>
      <c r="AA169" s="289">
        <v>1344.9</v>
      </c>
      <c r="AB169" s="289">
        <f>AA169-Z169</f>
        <v>15.800000000000182</v>
      </c>
      <c r="AC169" s="289">
        <f t="shared" si="164"/>
        <v>4.4101310076587987</v>
      </c>
      <c r="AD169" s="308">
        <v>1076.276668</v>
      </c>
      <c r="AE169" s="289">
        <v>1089.45</v>
      </c>
      <c r="AF169" s="289">
        <f>AE169-AD169</f>
        <v>13.173332000000073</v>
      </c>
      <c r="AG169" s="289">
        <f t="shared" si="165"/>
        <v>3.6769696156571867</v>
      </c>
      <c r="AH169" s="308">
        <v>-21.356667999999999</v>
      </c>
      <c r="AI169" s="289">
        <v>-14.64</v>
      </c>
      <c r="AJ169" s="289">
        <f>AI169-AH169</f>
        <v>6.7166679999999985</v>
      </c>
      <c r="AK169" s="307">
        <f t="shared" si="166"/>
        <v>1.8747712541107127</v>
      </c>
      <c r="AL169" s="308">
        <v>-86.4</v>
      </c>
      <c r="AM169" s="289">
        <v>-88.6</v>
      </c>
      <c r="AN169" s="289">
        <f>AM169-AL169</f>
        <v>-2.1999999999999886</v>
      </c>
      <c r="AO169" s="307">
        <f t="shared" si="167"/>
        <v>-0.61406887448412628</v>
      </c>
      <c r="AP169" s="308">
        <v>-104.5</v>
      </c>
      <c r="AQ169" s="289">
        <v>-107.1</v>
      </c>
      <c r="AR169" s="289">
        <f>AQ169-AP169</f>
        <v>-2.5999999999999943</v>
      </c>
      <c r="AS169" s="307">
        <f t="shared" si="168"/>
        <v>-0.72571776075396954</v>
      </c>
      <c r="AT169" s="308">
        <v>81.7</v>
      </c>
      <c r="AU169" s="289">
        <v>82.6</v>
      </c>
      <c r="AV169" s="289">
        <f>AU169-AT169</f>
        <v>0.89999999999999147</v>
      </c>
      <c r="AW169" s="307">
        <f t="shared" si="169"/>
        <v>0.25120999410714151</v>
      </c>
      <c r="AX169" s="308">
        <v>9034</v>
      </c>
      <c r="AY169" s="289">
        <v>9679</v>
      </c>
      <c r="AZ169" s="289">
        <f>AY169-AX169</f>
        <v>645</v>
      </c>
      <c r="BA169" s="307">
        <f t="shared" si="170"/>
        <v>180.03382911011977</v>
      </c>
      <c r="BB169" s="308">
        <v>37926.199999999997</v>
      </c>
      <c r="BC169" s="289">
        <v>37926.9</v>
      </c>
      <c r="BD169" s="289">
        <f>BC169-BB169</f>
        <v>0.70000000000436557</v>
      </c>
      <c r="BE169" s="307">
        <f t="shared" si="171"/>
        <v>0.19538555097344154</v>
      </c>
      <c r="BF169" s="308">
        <v>-37530.199999999997</v>
      </c>
      <c r="BG169" s="289">
        <v>-37530.199999999997</v>
      </c>
      <c r="BH169" s="289">
        <f>BG169-BF169</f>
        <v>0</v>
      </c>
      <c r="BI169" s="307">
        <f t="shared" si="172"/>
        <v>0</v>
      </c>
      <c r="BJ169" s="281">
        <v>83.643733999999995</v>
      </c>
      <c r="BK169" s="281">
        <v>82.735823999999994</v>
      </c>
      <c r="BL169" s="281">
        <f>BK169-BJ169</f>
        <v>-0.90791000000000111</v>
      </c>
      <c r="BM169" s="408">
        <v>-37530.199999999997</v>
      </c>
      <c r="BN169" s="458">
        <v>-37530.199999999997</v>
      </c>
      <c r="BO169" s="458">
        <f>BN169-BM169</f>
        <v>0</v>
      </c>
      <c r="BP169" s="408">
        <v>37926.199999999997</v>
      </c>
      <c r="BQ169" s="458">
        <v>37926.9</v>
      </c>
      <c r="BR169" s="458">
        <f>BQ169-BP169</f>
        <v>0.70000000000436557</v>
      </c>
      <c r="BS169" s="281"/>
      <c r="BT169" s="281"/>
      <c r="BU169" s="281"/>
      <c r="BV169" s="281"/>
      <c r="BW169" s="298" t="s">
        <v>825</v>
      </c>
      <c r="BX169" s="422">
        <v>2202.4046064600002</v>
      </c>
      <c r="BY169" s="422">
        <v>-0.99134484</v>
      </c>
      <c r="BZ169" s="422">
        <v>2028.5910234200001</v>
      </c>
      <c r="CA169" s="422">
        <v>2048.9027147299998</v>
      </c>
      <c r="CB169" s="422">
        <v>2.9301003699999999</v>
      </c>
      <c r="CC169" s="422">
        <v>2.9659324699999998</v>
      </c>
      <c r="CD169" s="422">
        <v>-0.23240954999999999</v>
      </c>
      <c r="CE169" s="422">
        <v>3.58263541</v>
      </c>
      <c r="CF169" s="422">
        <v>3.5909811899999999</v>
      </c>
      <c r="CG169" s="422">
        <v>-0.98764496999999996</v>
      </c>
      <c r="CH169" s="422">
        <v>-1.2081225600000001</v>
      </c>
      <c r="CI169" s="422">
        <v>0.59143491000000004</v>
      </c>
    </row>
    <row r="170" spans="1:87" ht="15" customHeight="1" x14ac:dyDescent="0.2">
      <c r="A170" s="423">
        <v>62009032</v>
      </c>
      <c r="B170" s="297" t="s">
        <v>842</v>
      </c>
      <c r="C170" s="297" t="s">
        <v>895</v>
      </c>
      <c r="D170" s="326" t="s">
        <v>898</v>
      </c>
      <c r="E170" s="283" t="s">
        <v>899</v>
      </c>
      <c r="F170" s="310" t="str">
        <f t="shared" si="147"/>
        <v>09/21/20</v>
      </c>
      <c r="G170" s="298" t="s">
        <v>900</v>
      </c>
      <c r="H170" s="298" t="s">
        <v>775</v>
      </c>
      <c r="I170" s="306"/>
      <c r="J170" s="299">
        <v>21.309369</v>
      </c>
      <c r="K170" s="299">
        <v>47.576118000000001</v>
      </c>
      <c r="L170" s="299">
        <v>29.684044</v>
      </c>
      <c r="M170" s="299">
        <v>27.442461000000002</v>
      </c>
      <c r="N170" s="284">
        <v>3875</v>
      </c>
      <c r="O170" s="284">
        <v>28.39</v>
      </c>
      <c r="P170" s="284">
        <v>0.20169999999999999</v>
      </c>
      <c r="Q170" s="284">
        <v>1.932E-2</v>
      </c>
      <c r="R170" s="285">
        <v>3.8447274600000001</v>
      </c>
      <c r="S170" s="285">
        <f>R170+R169</f>
        <v>7.4273874700000002</v>
      </c>
      <c r="T170" s="314">
        <v>82.735823999999994</v>
      </c>
      <c r="U170" s="314">
        <v>81.953036999999995</v>
      </c>
      <c r="V170" s="289">
        <v>44569</v>
      </c>
      <c r="W170" s="289">
        <v>45124</v>
      </c>
      <c r="X170" s="289">
        <f>W170-V170</f>
        <v>555</v>
      </c>
      <c r="Y170" s="289">
        <f t="shared" si="163"/>
        <v>144.35353500973511</v>
      </c>
      <c r="Z170" s="308">
        <v>1344.9</v>
      </c>
      <c r="AA170" s="289">
        <v>1382.5</v>
      </c>
      <c r="AB170" s="289">
        <f>AA170-Z170</f>
        <v>37.599999999999909</v>
      </c>
      <c r="AC170" s="289">
        <f t="shared" si="164"/>
        <v>9.7796268763351843</v>
      </c>
      <c r="AD170" s="308">
        <v>1089.456563</v>
      </c>
      <c r="AE170" s="289">
        <v>1121.561999</v>
      </c>
      <c r="AF170" s="289">
        <f>AE170-AD170</f>
        <v>32.105436000000054</v>
      </c>
      <c r="AG170" s="289">
        <f t="shared" si="165"/>
        <v>8.3505102335654389</v>
      </c>
      <c r="AH170" s="308">
        <v>-14.64</v>
      </c>
      <c r="AI170" s="289">
        <v>-13.75</v>
      </c>
      <c r="AJ170" s="289">
        <f>AI170-AH170</f>
        <v>0.89000000000000057</v>
      </c>
      <c r="AK170" s="307">
        <f t="shared" si="166"/>
        <v>0.23148584893453034</v>
      </c>
      <c r="AL170" s="308">
        <v>-88.6</v>
      </c>
      <c r="AM170" s="289">
        <v>-92.3</v>
      </c>
      <c r="AN170" s="289">
        <f>AM170-AL170</f>
        <v>-3.7000000000000028</v>
      </c>
      <c r="AO170" s="307">
        <f t="shared" si="167"/>
        <v>-0.9623569000649016</v>
      </c>
      <c r="AP170" s="308">
        <v>-107.1</v>
      </c>
      <c r="AQ170" s="289">
        <v>-111.5</v>
      </c>
      <c r="AR170" s="289">
        <f>AQ170-AP170</f>
        <v>-4.4000000000000057</v>
      </c>
      <c r="AS170" s="307">
        <f t="shared" si="168"/>
        <v>-1.1444244216988024</v>
      </c>
      <c r="AT170" s="308">
        <v>82.6</v>
      </c>
      <c r="AU170" s="289">
        <v>84.1</v>
      </c>
      <c r="AV170" s="289">
        <f>AU170-AT170</f>
        <v>1.5</v>
      </c>
      <c r="AW170" s="307">
        <f t="shared" si="169"/>
        <v>0.39014468921550033</v>
      </c>
      <c r="AX170" s="308">
        <v>9679</v>
      </c>
      <c r="AY170" s="289">
        <v>10233</v>
      </c>
      <c r="AZ170" s="289">
        <f>AY170-AX170</f>
        <v>554</v>
      </c>
      <c r="BA170" s="307">
        <f t="shared" si="170"/>
        <v>144.09343855025813</v>
      </c>
      <c r="BB170" s="308">
        <v>37926.9</v>
      </c>
      <c r="BC170" s="289">
        <v>37928.1</v>
      </c>
      <c r="BD170" s="289">
        <f>BC170-BB170</f>
        <v>1.1999999999970896</v>
      </c>
      <c r="BE170" s="307">
        <f t="shared" si="171"/>
        <v>0.31211575137164327</v>
      </c>
      <c r="BF170" s="308">
        <v>-37530.199999999997</v>
      </c>
      <c r="BG170" s="289">
        <v>-37530.199999999997</v>
      </c>
      <c r="BH170" s="289">
        <f>BG170-BF170</f>
        <v>0</v>
      </c>
      <c r="BI170" s="307">
        <f t="shared" si="172"/>
        <v>0</v>
      </c>
      <c r="BJ170" s="281">
        <v>82.735823999999994</v>
      </c>
      <c r="BK170" s="281">
        <v>81.953036999999995</v>
      </c>
      <c r="BL170" s="281">
        <f>BK170-BJ170</f>
        <v>-0.78278699999999901</v>
      </c>
      <c r="BM170" s="408">
        <v>-37530.199999999997</v>
      </c>
      <c r="BN170" s="458">
        <v>-37530.199999999997</v>
      </c>
      <c r="BO170" s="458">
        <f>BN170-BM170</f>
        <v>0</v>
      </c>
      <c r="BP170" s="408">
        <v>37926.9</v>
      </c>
      <c r="BQ170" s="458">
        <v>37928.1</v>
      </c>
      <c r="BR170" s="458">
        <f>BQ170-BP170</f>
        <v>1.1999999999970896</v>
      </c>
      <c r="BS170" s="281"/>
      <c r="BT170" s="281"/>
      <c r="BU170" s="281"/>
      <c r="BV170" s="281"/>
      <c r="BW170" s="298" t="s">
        <v>825</v>
      </c>
      <c r="BX170" s="422">
        <v>1353.95898678</v>
      </c>
      <c r="BY170" s="422">
        <v>-1.28717568</v>
      </c>
      <c r="BZ170" s="422">
        <v>3372.5410275700001</v>
      </c>
      <c r="CA170" s="422">
        <v>3416.5176115200002</v>
      </c>
      <c r="CB170" s="422">
        <v>2.7045851999999999</v>
      </c>
      <c r="CC170" s="422">
        <v>2.7421081100000002</v>
      </c>
      <c r="CD170" s="422">
        <v>-0.39579969999999998</v>
      </c>
      <c r="CE170" s="422">
        <v>3.8445550100000001</v>
      </c>
      <c r="CF170" s="422">
        <v>3.85983221</v>
      </c>
      <c r="CG170" s="422">
        <v>-0.98609036000000005</v>
      </c>
      <c r="CH170" s="422">
        <v>-1.36839643</v>
      </c>
      <c r="CI170" s="422">
        <v>0.71726641999999996</v>
      </c>
    </row>
    <row r="171" spans="1:87" ht="15" customHeight="1" x14ac:dyDescent="0.2">
      <c r="A171" s="423">
        <v>62009032</v>
      </c>
      <c r="B171" s="297" t="s">
        <v>843</v>
      </c>
      <c r="C171" s="297" t="s">
        <v>896</v>
      </c>
      <c r="D171" s="326" t="s">
        <v>898</v>
      </c>
      <c r="E171" s="283" t="s">
        <v>899</v>
      </c>
      <c r="F171" s="310" t="str">
        <f t="shared" si="147"/>
        <v>09/21/20</v>
      </c>
      <c r="G171" s="298" t="s">
        <v>900</v>
      </c>
      <c r="H171" s="298" t="s">
        <v>775</v>
      </c>
      <c r="I171" s="306"/>
      <c r="J171" s="300">
        <f>AVERAGE(J169:J170)</f>
        <v>21.566238500000001</v>
      </c>
      <c r="K171" s="300">
        <f>AVERAGE(K169:K170)</f>
        <v>49.027686000000003</v>
      </c>
      <c r="L171" s="300">
        <f>AVERAGE(L169:L170)</f>
        <v>29.683656499999998</v>
      </c>
      <c r="M171" s="300">
        <f>AVERAGE(M169:M170)</f>
        <v>27.215730000000001</v>
      </c>
      <c r="N171" s="286"/>
      <c r="O171" s="284"/>
      <c r="P171" s="302"/>
      <c r="Q171" s="301"/>
      <c r="R171" s="287">
        <f>R170+R169</f>
        <v>7.4273874700000002</v>
      </c>
      <c r="S171" s="287">
        <f>S170</f>
        <v>7.4273874700000002</v>
      </c>
      <c r="T171" s="315">
        <f>T169</f>
        <v>83.643733999999995</v>
      </c>
      <c r="U171" s="315">
        <f>U170</f>
        <v>81.953036999999995</v>
      </c>
      <c r="V171" s="290">
        <f>V169</f>
        <v>43924</v>
      </c>
      <c r="W171" s="290">
        <f>W170</f>
        <v>45124</v>
      </c>
      <c r="X171" s="290">
        <f>SUM(X169:X170)</f>
        <v>1200</v>
      </c>
      <c r="Y171" s="290">
        <f t="shared" si="163"/>
        <v>161.56421148713815</v>
      </c>
      <c r="Z171" s="290">
        <f>Z169</f>
        <v>1329.1</v>
      </c>
      <c r="AA171" s="290">
        <f>AA170</f>
        <v>1382.5</v>
      </c>
      <c r="AB171" s="290">
        <f>SUM(AB169:AB170)</f>
        <v>53.400000000000091</v>
      </c>
      <c r="AC171" s="290">
        <f t="shared" si="164"/>
        <v>7.1896074111776596</v>
      </c>
      <c r="AD171" s="290">
        <f>AD169</f>
        <v>1076.276668</v>
      </c>
      <c r="AE171" s="290">
        <f>AE170</f>
        <v>1121.561999</v>
      </c>
      <c r="AF171" s="290">
        <f>SUM(AF169:AF170)</f>
        <v>45.278768000000127</v>
      </c>
      <c r="AG171" s="290">
        <f t="shared" si="165"/>
        <v>6.0961903741909031</v>
      </c>
      <c r="AH171" s="290">
        <f>AH169</f>
        <v>-21.356667999999999</v>
      </c>
      <c r="AI171" s="290">
        <f>AI170</f>
        <v>-13.75</v>
      </c>
      <c r="AJ171" s="290">
        <f>SUM(AJ169:AJ170)</f>
        <v>7.6066679999999991</v>
      </c>
      <c r="AK171" s="288">
        <f t="shared" si="166"/>
        <v>1.0241377645537051</v>
      </c>
      <c r="AL171" s="290">
        <f>AL169</f>
        <v>-86.4</v>
      </c>
      <c r="AM171" s="290">
        <f>AM170</f>
        <v>-92.3</v>
      </c>
      <c r="AN171" s="290">
        <f>SUM(AN169:AN170)</f>
        <v>-5.8999999999999915</v>
      </c>
      <c r="AO171" s="288">
        <f t="shared" si="167"/>
        <v>-0.7943573731450948</v>
      </c>
      <c r="AP171" s="290">
        <f>AP169</f>
        <v>-104.5</v>
      </c>
      <c r="AQ171" s="290">
        <f>AQ170</f>
        <v>-111.5</v>
      </c>
      <c r="AR171" s="290">
        <f>SUM(AR169:AR170)</f>
        <v>-7</v>
      </c>
      <c r="AS171" s="288">
        <f t="shared" si="168"/>
        <v>-0.94245790034163923</v>
      </c>
      <c r="AT171" s="290">
        <f>AT169</f>
        <v>81.7</v>
      </c>
      <c r="AU171" s="290">
        <f>AU170</f>
        <v>84.1</v>
      </c>
      <c r="AV171" s="290">
        <f>SUM(AV169:AV170)</f>
        <v>2.3999999999999915</v>
      </c>
      <c r="AW171" s="288">
        <f t="shared" si="169"/>
        <v>0.32312842297427513</v>
      </c>
      <c r="AX171" s="290">
        <f>AX169</f>
        <v>9034</v>
      </c>
      <c r="AY171" s="290">
        <f>AY170</f>
        <v>10233</v>
      </c>
      <c r="AZ171" s="290">
        <f>SUM(AZ169:AZ170)</f>
        <v>1199</v>
      </c>
      <c r="BA171" s="288">
        <f t="shared" si="170"/>
        <v>161.42957464423219</v>
      </c>
      <c r="BB171" s="290">
        <f>BB169</f>
        <v>37926.199999999997</v>
      </c>
      <c r="BC171" s="290">
        <f>BC170</f>
        <v>37928.1</v>
      </c>
      <c r="BD171" s="290">
        <f>SUM(BD169:BD170)</f>
        <v>1.9000000000014552</v>
      </c>
      <c r="BE171" s="288">
        <f t="shared" si="171"/>
        <v>0.25581000152149802</v>
      </c>
      <c r="BF171" s="290">
        <f>BF169</f>
        <v>-37530.199999999997</v>
      </c>
      <c r="BG171" s="290">
        <f>BG170</f>
        <v>-37530.199999999997</v>
      </c>
      <c r="BH171" s="290">
        <f>SUM(BH169:BH170)</f>
        <v>0</v>
      </c>
      <c r="BI171" s="288">
        <f t="shared" si="172"/>
        <v>0</v>
      </c>
      <c r="BJ171" s="282"/>
      <c r="BK171" s="282"/>
      <c r="BL171" s="282">
        <f>SUM(BL169:BL170)</f>
        <v>-1.6906970000000001</v>
      </c>
      <c r="BM171" s="459">
        <f>BM169</f>
        <v>-37530.199999999997</v>
      </c>
      <c r="BN171" s="459">
        <f>BN170</f>
        <v>-37530.199999999997</v>
      </c>
      <c r="BO171" s="459">
        <f>SUM(BO169:BO170)</f>
        <v>0</v>
      </c>
      <c r="BP171" s="459">
        <f>BP169</f>
        <v>37926.199999999997</v>
      </c>
      <c r="BQ171" s="459">
        <f>BQ170</f>
        <v>37928.1</v>
      </c>
      <c r="BR171" s="459">
        <f>SUM(BR169:BR170)</f>
        <v>1.9000000000014552</v>
      </c>
      <c r="BS171" s="282"/>
      <c r="BT171" s="282"/>
      <c r="BU171" s="282"/>
      <c r="BV171" s="282"/>
      <c r="BW171" s="298" t="s">
        <v>825</v>
      </c>
    </row>
    <row r="172" spans="1:87" ht="15" customHeight="1" x14ac:dyDescent="0.2">
      <c r="A172" s="423">
        <v>62009033</v>
      </c>
      <c r="B172" s="297" t="s">
        <v>897</v>
      </c>
      <c r="C172" s="297" t="s">
        <v>626</v>
      </c>
      <c r="D172" s="326" t="s">
        <v>901</v>
      </c>
      <c r="E172" s="283" t="s">
        <v>902</v>
      </c>
      <c r="F172" s="310" t="str">
        <f t="shared" si="147"/>
        <v>09/21/20</v>
      </c>
      <c r="G172" s="298" t="s">
        <v>903</v>
      </c>
      <c r="H172" s="298" t="s">
        <v>775</v>
      </c>
      <c r="I172" s="306"/>
      <c r="J172" s="299">
        <v>-195.32978700000001</v>
      </c>
      <c r="K172" s="299">
        <v>-253.17805899999999</v>
      </c>
      <c r="L172" s="299">
        <v>-217.41775899999999</v>
      </c>
      <c r="M172" s="299">
        <v>-228.46157400000001</v>
      </c>
      <c r="N172" s="284">
        <v>3875</v>
      </c>
      <c r="O172" s="284">
        <v>28.39</v>
      </c>
      <c r="P172" s="284">
        <v>0.20169999999999999</v>
      </c>
      <c r="Q172" s="284">
        <v>1.932E-2</v>
      </c>
      <c r="R172" s="285">
        <v>207.01340518999999</v>
      </c>
      <c r="S172" s="285">
        <f>R172+R171</f>
        <v>214.44079266</v>
      </c>
      <c r="T172" s="314">
        <v>81.942356000000004</v>
      </c>
      <c r="U172" s="314">
        <v>0.32349099999999997</v>
      </c>
      <c r="V172" s="289">
        <v>45132</v>
      </c>
      <c r="W172" s="289">
        <v>98076</v>
      </c>
      <c r="X172" s="289">
        <f>W172-V172</f>
        <v>52944</v>
      </c>
      <c r="Y172" s="289">
        <f t="shared" si="163"/>
        <v>255.75155363203271</v>
      </c>
      <c r="Z172" s="308">
        <v>1389.6</v>
      </c>
      <c r="AA172" s="289">
        <v>1936.4</v>
      </c>
      <c r="AB172" s="289">
        <f>AA172-Z172</f>
        <v>546.80000000000018</v>
      </c>
      <c r="AC172" s="289">
        <f t="shared" si="164"/>
        <v>2.6413748399440076</v>
      </c>
      <c r="AD172" s="308">
        <v>1127.6366740000001</v>
      </c>
      <c r="AE172" s="289">
        <v>1603.62</v>
      </c>
      <c r="AF172" s="289">
        <f>AE172-AD172</f>
        <v>475.98332599999981</v>
      </c>
      <c r="AG172" s="289">
        <f t="shared" si="165"/>
        <v>2.2992874570761987</v>
      </c>
      <c r="AH172" s="308">
        <v>-8.84</v>
      </c>
      <c r="AI172" s="289">
        <v>-19.88</v>
      </c>
      <c r="AJ172" s="289">
        <f>AI172-AH172</f>
        <v>-11.04</v>
      </c>
      <c r="AK172" s="307">
        <f t="shared" si="166"/>
        <v>-5.3329879723814616E-2</v>
      </c>
      <c r="AL172" s="308">
        <v>-92.9</v>
      </c>
      <c r="AM172" s="289">
        <v>-135.6</v>
      </c>
      <c r="AN172" s="289">
        <f>AM172-AL172</f>
        <v>-42.699999999999989</v>
      </c>
      <c r="AO172" s="307">
        <f t="shared" si="167"/>
        <v>-0.20626683552598582</v>
      </c>
      <c r="AP172" s="308">
        <v>-112</v>
      </c>
      <c r="AQ172" s="289">
        <v>-165.3</v>
      </c>
      <c r="AR172" s="289">
        <f>AQ172-AP172</f>
        <v>-53.300000000000011</v>
      </c>
      <c r="AS172" s="307">
        <f t="shared" si="168"/>
        <v>-0.25747124902892388</v>
      </c>
      <c r="AT172" s="308">
        <v>84.3</v>
      </c>
      <c r="AU172" s="289">
        <v>102.2</v>
      </c>
      <c r="AV172" s="289">
        <f>AU172-AT172</f>
        <v>17.900000000000006</v>
      </c>
      <c r="AW172" s="307">
        <f t="shared" si="169"/>
        <v>8.6467830349300903E-2</v>
      </c>
      <c r="AX172" s="308">
        <v>10240</v>
      </c>
      <c r="AY172" s="289">
        <v>63195</v>
      </c>
      <c r="AZ172" s="289">
        <f>AY172-AX172</f>
        <v>52955</v>
      </c>
      <c r="BA172" s="307">
        <f t="shared" si="170"/>
        <v>255.80469028755462</v>
      </c>
      <c r="BB172" s="308">
        <v>37928.699999999997</v>
      </c>
      <c r="BC172" s="289">
        <v>37944.5</v>
      </c>
      <c r="BD172" s="289">
        <f>BC172-BB172</f>
        <v>15.80000000000291</v>
      </c>
      <c r="BE172" s="307">
        <f t="shared" si="171"/>
        <v>7.6323559749676279E-2</v>
      </c>
      <c r="BF172" s="308">
        <v>-37530.199999999997</v>
      </c>
      <c r="BG172" s="289">
        <v>-37530.199999999997</v>
      </c>
      <c r="BH172" s="289">
        <f>BG172-BF172</f>
        <v>0</v>
      </c>
      <c r="BI172" s="307">
        <f t="shared" si="172"/>
        <v>0</v>
      </c>
      <c r="BJ172" s="281">
        <v>81.942356000000004</v>
      </c>
      <c r="BK172" s="281">
        <v>0.32349099999999997</v>
      </c>
      <c r="BL172" s="281">
        <f>BK172-BJ172</f>
        <v>-81.618865</v>
      </c>
      <c r="BM172" s="408">
        <v>-37530.199999999997</v>
      </c>
      <c r="BN172" s="458">
        <v>-37530.199999999997</v>
      </c>
      <c r="BO172" s="458">
        <f>BN172-BM172</f>
        <v>0</v>
      </c>
      <c r="BP172" s="408">
        <v>37928.699999999997</v>
      </c>
      <c r="BQ172" s="458">
        <v>37944.5</v>
      </c>
      <c r="BR172" s="458">
        <f>BQ172-BP172</f>
        <v>15.80000000000291</v>
      </c>
      <c r="BS172" s="281"/>
      <c r="BT172" s="281"/>
      <c r="BU172" s="281"/>
      <c r="BV172" s="281"/>
      <c r="BW172" s="298" t="s">
        <v>713</v>
      </c>
      <c r="BX172" s="422">
        <v>10.65521071</v>
      </c>
      <c r="BY172" s="422">
        <v>318.20988283000003</v>
      </c>
      <c r="BZ172" s="422">
        <v>2430.4350982400001</v>
      </c>
      <c r="CA172" s="422">
        <v>581.15200000000004</v>
      </c>
      <c r="CB172" s="422">
        <v>182.52143487999999</v>
      </c>
      <c r="CC172" s="422">
        <v>183.89654664</v>
      </c>
      <c r="CD172" s="422">
        <v>-0.41336337000000001</v>
      </c>
      <c r="CE172" s="422">
        <v>207.01523477999999</v>
      </c>
      <c r="CF172" s="422">
        <v>207.87451186999999</v>
      </c>
      <c r="CG172" s="422">
        <v>-0.33691977000000001</v>
      </c>
      <c r="CH172" s="422">
        <v>-0.74776377999999999</v>
      </c>
      <c r="CI172" s="422">
        <v>4.0956899999999999E-3</v>
      </c>
    </row>
    <row r="173" spans="1:87" ht="15" customHeight="1" x14ac:dyDescent="0.2">
      <c r="A173" s="423">
        <v>62009034</v>
      </c>
      <c r="B173" s="339" t="s">
        <v>616</v>
      </c>
      <c r="C173" s="297" t="s">
        <v>626</v>
      </c>
      <c r="D173" s="326" t="s">
        <v>858</v>
      </c>
      <c r="E173" s="283" t="s">
        <v>907</v>
      </c>
      <c r="F173" s="310" t="str">
        <f t="shared" si="147"/>
        <v>09/21/20</v>
      </c>
      <c r="G173" s="298" t="s">
        <v>908</v>
      </c>
      <c r="H173" s="298" t="s">
        <v>775</v>
      </c>
      <c r="I173" s="306"/>
      <c r="J173" s="299">
        <v>1113.6947090000001</v>
      </c>
      <c r="K173" s="299">
        <v>2349.1963850000002</v>
      </c>
      <c r="L173" s="299">
        <v>1496.557761</v>
      </c>
      <c r="M173" s="299">
        <v>1107.75271</v>
      </c>
      <c r="N173" s="284">
        <v>3875</v>
      </c>
      <c r="O173" s="284">
        <v>28.39</v>
      </c>
      <c r="P173" s="284">
        <v>0.20169999999999999</v>
      </c>
      <c r="Q173" s="284">
        <v>1.932E-2</v>
      </c>
      <c r="R173" s="285">
        <v>2.270235E-2</v>
      </c>
      <c r="S173" s="285">
        <f>R173+R172</f>
        <v>207.03610753999999</v>
      </c>
      <c r="T173" s="314" t="s">
        <v>1161</v>
      </c>
      <c r="U173" s="314" t="s">
        <v>1162</v>
      </c>
      <c r="V173" s="289">
        <v>0</v>
      </c>
      <c r="W173" s="289">
        <v>-142</v>
      </c>
      <c r="X173" s="289">
        <f>W173-V173</f>
        <v>-142</v>
      </c>
      <c r="Y173" s="289">
        <f t="shared" si="163"/>
        <v>-6254.8590784654452</v>
      </c>
      <c r="Z173" s="308">
        <v>0</v>
      </c>
      <c r="AA173" s="289">
        <v>579.29999999999995</v>
      </c>
      <c r="AB173" s="289">
        <f>AA173-Z173</f>
        <v>579.29999999999995</v>
      </c>
      <c r="AC173" s="289">
        <f t="shared" si="164"/>
        <v>25517.182141936846</v>
      </c>
      <c r="AD173" s="308">
        <v>-0.01</v>
      </c>
      <c r="AE173" s="289">
        <v>414.39</v>
      </c>
      <c r="AF173" s="289">
        <f>AE173-AD173</f>
        <v>414.4</v>
      </c>
      <c r="AG173" s="289">
        <f t="shared" si="165"/>
        <v>18253.616916310424</v>
      </c>
      <c r="AH173" s="308">
        <v>-0.01</v>
      </c>
      <c r="AI173" s="289">
        <v>-87.61</v>
      </c>
      <c r="AJ173" s="289">
        <f>AI173-AH173</f>
        <v>-87.6</v>
      </c>
      <c r="AK173" s="307">
        <f t="shared" si="166"/>
        <v>-3858.6313751660068</v>
      </c>
      <c r="AL173" s="308">
        <v>0</v>
      </c>
      <c r="AM173" s="289">
        <v>-0.3</v>
      </c>
      <c r="AN173" s="289">
        <f>AM173-AL173</f>
        <v>-0.3</v>
      </c>
      <c r="AO173" s="307">
        <f t="shared" si="167"/>
        <v>-13.21449101084249</v>
      </c>
      <c r="AP173" s="308">
        <v>0</v>
      </c>
      <c r="AQ173" s="289">
        <v>-0.4</v>
      </c>
      <c r="AR173" s="289">
        <f>AQ173-AP173</f>
        <v>-0.4</v>
      </c>
      <c r="AS173" s="307">
        <f t="shared" si="168"/>
        <v>-17.619321347789988</v>
      </c>
      <c r="AT173" s="308">
        <v>0</v>
      </c>
      <c r="AU173" s="289">
        <v>94.2</v>
      </c>
      <c r="AV173" s="289">
        <f>AU173-AT173</f>
        <v>94.2</v>
      </c>
      <c r="AW173" s="307">
        <f t="shared" si="169"/>
        <v>4149.3501774045417</v>
      </c>
      <c r="AX173" s="308">
        <v>0</v>
      </c>
      <c r="AY173" s="289">
        <v>-65677</v>
      </c>
      <c r="AZ173" s="289">
        <f>AY173-AX173</f>
        <v>-65677</v>
      </c>
      <c r="BA173" s="307">
        <f t="shared" si="170"/>
        <v>-2892960.4203970074</v>
      </c>
      <c r="BB173" s="308">
        <v>0.1</v>
      </c>
      <c r="BC173" s="289">
        <v>70564.2</v>
      </c>
      <c r="BD173" s="289">
        <f>BC173-BB173</f>
        <v>70564.099999999991</v>
      </c>
      <c r="BE173" s="307">
        <f t="shared" si="171"/>
        <v>3108228.8837939682</v>
      </c>
      <c r="BF173" s="308">
        <v>0</v>
      </c>
      <c r="BG173" s="289">
        <v>-70456.399999999994</v>
      </c>
      <c r="BH173" s="289">
        <f>BG173-BF173</f>
        <v>-70456.399999999994</v>
      </c>
      <c r="BI173" s="307">
        <f t="shared" si="172"/>
        <v>-3103484.881521076</v>
      </c>
      <c r="BJ173" s="281" t="s">
        <v>951</v>
      </c>
      <c r="BK173" s="281" t="s">
        <v>1163</v>
      </c>
      <c r="BL173" s="281" t="e">
        <f>BK173-BJ173</f>
        <v>#VALUE!</v>
      </c>
      <c r="BM173" s="408">
        <v>0</v>
      </c>
      <c r="BN173" s="458">
        <v>-70456.399999999994</v>
      </c>
      <c r="BO173" s="458">
        <f>BN173-BM173</f>
        <v>-70456.399999999994</v>
      </c>
      <c r="BP173" s="408">
        <v>0.1</v>
      </c>
      <c r="BQ173" s="458">
        <v>70564.2</v>
      </c>
      <c r="BR173" s="458">
        <f>BQ173-BP173</f>
        <v>70564.099999999991</v>
      </c>
      <c r="BS173" s="281"/>
      <c r="BT173" s="281"/>
      <c r="BU173" s="281"/>
      <c r="BV173" s="281"/>
      <c r="BW173" s="298" t="s">
        <v>825</v>
      </c>
      <c r="BX173" s="422">
        <v>0</v>
      </c>
      <c r="BY173" s="422" t="s">
        <v>777</v>
      </c>
      <c r="BZ173" s="422">
        <v>0</v>
      </c>
      <c r="CA173" s="422">
        <v>0</v>
      </c>
      <c r="CB173" s="422">
        <v>0</v>
      </c>
      <c r="CC173" s="422">
        <v>0</v>
      </c>
      <c r="CD173" s="422" t="s">
        <v>777</v>
      </c>
      <c r="CE173" s="422">
        <v>0</v>
      </c>
      <c r="CF173" s="422">
        <v>0</v>
      </c>
      <c r="CG173" s="422" t="s">
        <v>777</v>
      </c>
      <c r="CH173" s="422" t="s">
        <v>777</v>
      </c>
      <c r="CI173" s="422" t="s">
        <v>777</v>
      </c>
    </row>
    <row r="174" spans="1:87" ht="15" customHeight="1" x14ac:dyDescent="0.2">
      <c r="A174" s="457" t="s">
        <v>670</v>
      </c>
      <c r="B174" s="334"/>
      <c r="C174" s="334"/>
      <c r="D174" s="335"/>
      <c r="E174" s="334"/>
      <c r="F174" s="334"/>
      <c r="G174" s="335"/>
      <c r="H174" s="335"/>
      <c r="I174" s="335"/>
      <c r="J174" s="335"/>
      <c r="K174" s="335"/>
      <c r="L174" s="335"/>
      <c r="M174" s="335"/>
      <c r="N174" s="335"/>
      <c r="O174" s="335"/>
      <c r="P174" s="336"/>
      <c r="Q174" s="337"/>
      <c r="R174" s="334"/>
      <c r="S174" s="334"/>
      <c r="T174" s="334"/>
      <c r="U174" s="334"/>
      <c r="V174" s="341"/>
      <c r="W174" s="341"/>
      <c r="X174" s="334"/>
      <c r="Y174" s="334"/>
      <c r="Z174" s="334"/>
      <c r="AA174" s="334"/>
      <c r="AB174" s="334"/>
      <c r="AC174" s="334"/>
      <c r="AD174" s="334"/>
      <c r="AE174" s="341"/>
      <c r="AF174" s="341"/>
      <c r="AG174" s="341"/>
      <c r="AH174" s="341"/>
      <c r="AI174" s="341"/>
      <c r="AJ174" s="334"/>
      <c r="AK174" s="334"/>
      <c r="AL174" s="334"/>
      <c r="AM174" s="334"/>
      <c r="AN174" s="334"/>
      <c r="AO174" s="334"/>
      <c r="AP174" s="341"/>
      <c r="AQ174" s="341"/>
      <c r="AR174" s="334"/>
      <c r="AS174" s="334"/>
      <c r="AT174" s="341"/>
      <c r="AU174" s="341"/>
      <c r="AV174" s="334"/>
      <c r="AW174" s="334"/>
      <c r="AX174" s="341"/>
      <c r="AY174" s="341"/>
      <c r="AZ174" s="334"/>
      <c r="BA174" s="334"/>
      <c r="BB174" s="341"/>
      <c r="BC174" s="341"/>
      <c r="BD174" s="334"/>
      <c r="BE174" s="334"/>
      <c r="BF174" s="341"/>
      <c r="BG174" s="341"/>
      <c r="BH174" s="334"/>
      <c r="BI174" s="334"/>
      <c r="BJ174" s="334"/>
      <c r="BK174" s="334"/>
      <c r="BL174" s="334"/>
      <c r="BM174" s="334"/>
      <c r="BN174" s="334"/>
      <c r="BO174" s="334"/>
      <c r="BP174" s="334"/>
      <c r="BQ174" s="334"/>
      <c r="BR174" s="334"/>
      <c r="BS174" s="334"/>
      <c r="BT174" s="334"/>
      <c r="BU174" s="334"/>
      <c r="BV174" s="334"/>
      <c r="BW174" s="334"/>
      <c r="BX174" s="334"/>
      <c r="BY174" s="334"/>
      <c r="BZ174" s="334"/>
      <c r="CA174" s="334"/>
      <c r="CB174" s="334"/>
      <c r="CC174" s="334"/>
      <c r="CD174" s="334"/>
      <c r="CE174" s="334"/>
      <c r="CF174" s="334"/>
      <c r="CG174" s="334"/>
      <c r="CH174" s="334"/>
      <c r="CI174" s="338"/>
    </row>
    <row r="175" spans="1:87" ht="15" customHeight="1" x14ac:dyDescent="0.2">
      <c r="A175" s="423">
        <v>62009035</v>
      </c>
      <c r="B175" s="297" t="s">
        <v>516</v>
      </c>
      <c r="C175" s="297" t="s">
        <v>626</v>
      </c>
      <c r="D175" s="326" t="s">
        <v>793</v>
      </c>
      <c r="E175" s="283" t="s">
        <v>909</v>
      </c>
      <c r="F175" s="310" t="str">
        <f t="shared" si="147"/>
        <v>09/22/20</v>
      </c>
      <c r="G175" s="298" t="s">
        <v>910</v>
      </c>
      <c r="H175" s="298" t="s">
        <v>775</v>
      </c>
      <c r="I175" s="306"/>
      <c r="J175" s="299">
        <v>25.545788000000002</v>
      </c>
      <c r="K175" s="299">
        <v>37.531224999999999</v>
      </c>
      <c r="L175" s="299">
        <v>29.519867000000001</v>
      </c>
      <c r="M175" s="299">
        <v>27.302658000000001</v>
      </c>
      <c r="N175" s="284">
        <v>3875</v>
      </c>
      <c r="O175" s="284">
        <v>28.39</v>
      </c>
      <c r="P175" s="284">
        <v>0.20169999999999999</v>
      </c>
      <c r="Q175" s="284">
        <v>1.932E-2</v>
      </c>
      <c r="R175" s="285">
        <v>9.5821097999999996</v>
      </c>
      <c r="S175" s="285">
        <f t="shared" ref="S175:S186" si="173">R175+R174</f>
        <v>9.5821097999999996</v>
      </c>
      <c r="T175" s="314">
        <v>96.696282999999994</v>
      </c>
      <c r="U175" s="314">
        <v>93.978655000000003</v>
      </c>
      <c r="V175" s="289">
        <v>6</v>
      </c>
      <c r="W175" s="289">
        <v>2126</v>
      </c>
      <c r="X175" s="289">
        <f t="shared" ref="X175:X186" si="174">W175-V175</f>
        <v>2120</v>
      </c>
      <c r="Y175" s="289">
        <f t="shared" ref="Y175:Y186" si="175">X175/$R175</f>
        <v>221.24563840835972</v>
      </c>
      <c r="Z175" s="308">
        <v>4.5999999999999996</v>
      </c>
      <c r="AA175" s="289">
        <v>33.799999999999997</v>
      </c>
      <c r="AB175" s="289">
        <f t="shared" ref="AB175:AB186" si="176">AA175-Z175</f>
        <v>29.199999999999996</v>
      </c>
      <c r="AC175" s="289">
        <f t="shared" ref="AC175:AC186" si="177">AB175/$R175</f>
        <v>3.0473455856245768</v>
      </c>
      <c r="AD175" s="308">
        <v>4.0378319999999999</v>
      </c>
      <c r="AE175" s="289">
        <v>28.97</v>
      </c>
      <c r="AF175" s="289">
        <f t="shared" ref="AF175:AF186" si="178">AE175-AD175</f>
        <v>24.932167999999997</v>
      </c>
      <c r="AG175" s="289">
        <f t="shared" ref="AG175:AG186" si="179">AF175/$R175</f>
        <v>2.6019497292756966</v>
      </c>
      <c r="AH175" s="308">
        <v>0.1</v>
      </c>
      <c r="AI175" s="289">
        <v>1.73</v>
      </c>
      <c r="AJ175" s="289">
        <f t="shared" ref="AJ175:AJ186" si="180">AI175-AH175</f>
        <v>1.63</v>
      </c>
      <c r="AK175" s="307">
        <f t="shared" ref="AK175:AK186" si="181">AJ175/$R175</f>
        <v>0.17010867481397468</v>
      </c>
      <c r="AL175" s="308">
        <v>-0.4</v>
      </c>
      <c r="AM175" s="289">
        <v>-3.1</v>
      </c>
      <c r="AN175" s="289">
        <f t="shared" ref="AN175:AN186" si="182">AM175-AL175</f>
        <v>-2.7</v>
      </c>
      <c r="AO175" s="307">
        <f t="shared" ref="AO175:AO186" si="183">AN175/$R175</f>
        <v>-0.28177510552008078</v>
      </c>
      <c r="AP175" s="308">
        <v>-0.2</v>
      </c>
      <c r="AQ175" s="289">
        <v>-3.8</v>
      </c>
      <c r="AR175" s="289">
        <f t="shared" ref="AR175:AR186" si="184">AQ175-AP175</f>
        <v>-3.5999999999999996</v>
      </c>
      <c r="AS175" s="307">
        <f t="shared" ref="AS175:AS186" si="185">AR175/$R175</f>
        <v>-0.37570014069344099</v>
      </c>
      <c r="AT175" s="308">
        <v>0.2</v>
      </c>
      <c r="AU175" s="289">
        <v>1.3</v>
      </c>
      <c r="AV175" s="289">
        <f t="shared" ref="AV175:AV186" si="186">AU175-AT175</f>
        <v>1.1000000000000001</v>
      </c>
      <c r="AW175" s="307">
        <f t="shared" ref="AW175:AW186" si="187">AV175/$R175</f>
        <v>0.11479726521188477</v>
      </c>
      <c r="AX175" s="308">
        <v>5</v>
      </c>
      <c r="AY175" s="289">
        <v>2125</v>
      </c>
      <c r="AZ175" s="289">
        <f t="shared" ref="AZ175:AZ186" si="188">AY175-AX175</f>
        <v>2120</v>
      </c>
      <c r="BA175" s="307">
        <f t="shared" ref="BA175:BA186" si="189">AZ175/$R175</f>
        <v>221.24563840835972</v>
      </c>
      <c r="BB175" s="308">
        <v>0.2</v>
      </c>
      <c r="BC175" s="289">
        <v>1.1000000000000001</v>
      </c>
      <c r="BD175" s="289">
        <f t="shared" ref="BD175:BD186" si="190">BC175-BB175</f>
        <v>0.90000000000000013</v>
      </c>
      <c r="BE175" s="307">
        <f t="shared" ref="BE175:BE186" si="191">BD175/$R175</f>
        <v>9.3925035173360275E-2</v>
      </c>
      <c r="BF175" s="308">
        <v>0</v>
      </c>
      <c r="BG175" s="289">
        <v>0</v>
      </c>
      <c r="BH175" s="289">
        <f t="shared" ref="BH175:BH186" si="192">BG175-BF175</f>
        <v>0</v>
      </c>
      <c r="BI175" s="307">
        <f t="shared" ref="BI175:BI186" si="193">BH175/$R175</f>
        <v>0</v>
      </c>
      <c r="BJ175" s="281">
        <v>96.696282999999994</v>
      </c>
      <c r="BK175" s="281">
        <v>93.978655000000003</v>
      </c>
      <c r="BL175" s="281">
        <f t="shared" ref="BL175:BL186" si="194">BK175-BJ175</f>
        <v>-2.7176279999999906</v>
      </c>
      <c r="BM175" s="408">
        <v>0</v>
      </c>
      <c r="BN175" s="458">
        <v>0</v>
      </c>
      <c r="BO175" s="458">
        <f t="shared" ref="BO175:BO186" si="195">BN175-BM175</f>
        <v>0</v>
      </c>
      <c r="BP175" s="408">
        <v>0.2</v>
      </c>
      <c r="BQ175" s="458">
        <v>1.1000000000000001</v>
      </c>
      <c r="BR175" s="458">
        <f t="shared" ref="BR175:BR186" si="196">BQ175-BP175</f>
        <v>0.90000000000000013</v>
      </c>
      <c r="BS175" s="281"/>
      <c r="BT175" s="281"/>
      <c r="BU175" s="281"/>
      <c r="BV175" s="281"/>
      <c r="BW175" s="298" t="s">
        <v>713</v>
      </c>
      <c r="BX175" s="422">
        <v>149.73451274000001</v>
      </c>
      <c r="BY175" s="422">
        <v>22.61076091</v>
      </c>
      <c r="BZ175" s="422">
        <v>603.77314736000005</v>
      </c>
      <c r="CA175" s="422">
        <v>492.43079716</v>
      </c>
      <c r="CB175" s="422">
        <v>7.0889082700000001</v>
      </c>
      <c r="CC175" s="422">
        <v>7.05915683</v>
      </c>
      <c r="CD175" s="422">
        <v>0.19152076000000001</v>
      </c>
      <c r="CE175" s="422">
        <v>9.5822184000000004</v>
      </c>
      <c r="CF175" s="422">
        <v>9.5639015500000006</v>
      </c>
      <c r="CG175" s="422">
        <v>0.22897296</v>
      </c>
      <c r="CH175" s="422">
        <v>0.42145874999999999</v>
      </c>
      <c r="CI175" s="422">
        <v>7.6391840000000003E-2</v>
      </c>
    </row>
    <row r="176" spans="1:87" ht="15" customHeight="1" x14ac:dyDescent="0.2">
      <c r="A176" s="423">
        <v>62009036</v>
      </c>
      <c r="B176" s="297" t="s">
        <v>621</v>
      </c>
      <c r="C176" s="297" t="s">
        <v>626</v>
      </c>
      <c r="D176" s="326" t="s">
        <v>798</v>
      </c>
      <c r="E176" s="283" t="s">
        <v>911</v>
      </c>
      <c r="F176" s="310" t="str">
        <f t="shared" si="147"/>
        <v>09/22/20</v>
      </c>
      <c r="G176" s="298" t="s">
        <v>912</v>
      </c>
      <c r="H176" s="298" t="s">
        <v>775</v>
      </c>
      <c r="I176" s="306"/>
      <c r="J176" s="299">
        <v>23.961525999999999</v>
      </c>
      <c r="K176" s="299">
        <v>41.796520999999998</v>
      </c>
      <c r="L176" s="299">
        <v>29.5106</v>
      </c>
      <c r="M176" s="299">
        <v>28.484674999999999</v>
      </c>
      <c r="N176" s="284">
        <v>3875</v>
      </c>
      <c r="O176" s="284">
        <v>28.39</v>
      </c>
      <c r="P176" s="284">
        <v>0.20169999999999999</v>
      </c>
      <c r="Q176" s="284">
        <v>1.932E-2</v>
      </c>
      <c r="R176" s="285">
        <v>5.0170921699999997</v>
      </c>
      <c r="S176" s="285">
        <f t="shared" si="173"/>
        <v>14.599201969999999</v>
      </c>
      <c r="T176" s="314">
        <v>72.258994000000001</v>
      </c>
      <c r="U176" s="314">
        <v>70.719361000000006</v>
      </c>
      <c r="V176" s="289">
        <v>18385</v>
      </c>
      <c r="W176" s="289">
        <v>19445</v>
      </c>
      <c r="X176" s="289">
        <f t="shared" si="174"/>
        <v>1060</v>
      </c>
      <c r="Y176" s="289">
        <f t="shared" si="175"/>
        <v>211.27776091863188</v>
      </c>
      <c r="Z176" s="308">
        <v>174.1</v>
      </c>
      <c r="AA176" s="289">
        <v>189.5</v>
      </c>
      <c r="AB176" s="289">
        <f t="shared" si="176"/>
        <v>15.400000000000006</v>
      </c>
      <c r="AC176" s="289">
        <f t="shared" si="177"/>
        <v>3.0695070925914454</v>
      </c>
      <c r="AD176" s="308">
        <v>149.56</v>
      </c>
      <c r="AE176" s="289">
        <v>162.82</v>
      </c>
      <c r="AF176" s="289">
        <f t="shared" si="178"/>
        <v>13.259999999999991</v>
      </c>
      <c r="AG176" s="289">
        <f t="shared" si="179"/>
        <v>2.6429651979066575</v>
      </c>
      <c r="AH176" s="308">
        <v>8.0926749999999998</v>
      </c>
      <c r="AI176" s="289">
        <v>9.39</v>
      </c>
      <c r="AJ176" s="289">
        <f t="shared" si="180"/>
        <v>1.2973250000000007</v>
      </c>
      <c r="AK176" s="307">
        <f t="shared" si="181"/>
        <v>0.2585810577205323</v>
      </c>
      <c r="AL176" s="308">
        <v>-15.8</v>
      </c>
      <c r="AM176" s="289">
        <v>-17.3</v>
      </c>
      <c r="AN176" s="289">
        <f t="shared" si="182"/>
        <v>-1.5</v>
      </c>
      <c r="AO176" s="307">
        <f t="shared" si="183"/>
        <v>-0.29897796356410172</v>
      </c>
      <c r="AP176" s="308">
        <v>-19.3</v>
      </c>
      <c r="AQ176" s="289">
        <v>-21.1</v>
      </c>
      <c r="AR176" s="289">
        <f t="shared" si="184"/>
        <v>-1.8000000000000007</v>
      </c>
      <c r="AS176" s="307">
        <f t="shared" si="185"/>
        <v>-0.3587735562769222</v>
      </c>
      <c r="AT176" s="308">
        <v>6.6</v>
      </c>
      <c r="AU176" s="289">
        <v>7.2</v>
      </c>
      <c r="AV176" s="289">
        <f t="shared" si="186"/>
        <v>0.60000000000000053</v>
      </c>
      <c r="AW176" s="307">
        <f t="shared" si="187"/>
        <v>0.1195911854256408</v>
      </c>
      <c r="AX176" s="308">
        <v>18390</v>
      </c>
      <c r="AY176" s="289">
        <v>19448</v>
      </c>
      <c r="AZ176" s="289">
        <f t="shared" si="188"/>
        <v>1058</v>
      </c>
      <c r="BA176" s="307">
        <f t="shared" si="189"/>
        <v>210.87912363387974</v>
      </c>
      <c r="BB176" s="308">
        <v>5.7</v>
      </c>
      <c r="BC176" s="289">
        <v>6.2</v>
      </c>
      <c r="BD176" s="289">
        <f t="shared" si="190"/>
        <v>0.5</v>
      </c>
      <c r="BE176" s="307">
        <f t="shared" si="191"/>
        <v>9.9659321188033903E-2</v>
      </c>
      <c r="BF176" s="308">
        <v>0</v>
      </c>
      <c r="BG176" s="289">
        <v>0</v>
      </c>
      <c r="BH176" s="289">
        <f t="shared" si="192"/>
        <v>0</v>
      </c>
      <c r="BI176" s="307">
        <f t="shared" si="193"/>
        <v>0</v>
      </c>
      <c r="BJ176" s="281">
        <v>72.258994000000001</v>
      </c>
      <c r="BK176" s="281">
        <v>70.719361000000006</v>
      </c>
      <c r="BL176" s="281">
        <f t="shared" si="194"/>
        <v>-1.5396329999999949</v>
      </c>
      <c r="BM176" s="408">
        <v>0</v>
      </c>
      <c r="BN176" s="458">
        <v>0</v>
      </c>
      <c r="BO176" s="458">
        <f t="shared" si="195"/>
        <v>0</v>
      </c>
      <c r="BP176" s="408">
        <v>5.7</v>
      </c>
      <c r="BQ176" s="458">
        <v>6.2</v>
      </c>
      <c r="BR176" s="458">
        <f t="shared" si="196"/>
        <v>0.5</v>
      </c>
      <c r="BS176" s="281"/>
      <c r="BT176" s="281"/>
      <c r="BU176" s="281"/>
      <c r="BV176" s="281"/>
      <c r="BW176" s="298" t="s">
        <v>713</v>
      </c>
      <c r="BX176" s="422">
        <v>344.75663946999998</v>
      </c>
      <c r="BY176" s="422">
        <v>12.00989101</v>
      </c>
      <c r="BZ176" s="422">
        <v>550.80191845000002</v>
      </c>
      <c r="CA176" s="422">
        <v>491.74400000000003</v>
      </c>
      <c r="CB176" s="422">
        <v>3.8430212400000001</v>
      </c>
      <c r="CC176" s="422">
        <v>3.8212799400000002</v>
      </c>
      <c r="CD176" s="422">
        <v>0.27263069000000001</v>
      </c>
      <c r="CE176" s="422">
        <v>5.0171151399999996</v>
      </c>
      <c r="CF176" s="422">
        <v>5.0034741399999998</v>
      </c>
      <c r="CG176" s="422">
        <v>0.29464632000000002</v>
      </c>
      <c r="CH176" s="422">
        <v>0.56895342000000004</v>
      </c>
      <c r="CI176" s="422">
        <v>0.14112050000000001</v>
      </c>
    </row>
    <row r="177" spans="1:87" ht="15" customHeight="1" x14ac:dyDescent="0.2">
      <c r="A177" s="423">
        <v>62009036</v>
      </c>
      <c r="B177" s="297" t="s">
        <v>621</v>
      </c>
      <c r="C177" s="297" t="s">
        <v>627</v>
      </c>
      <c r="D177" s="326" t="s">
        <v>798</v>
      </c>
      <c r="E177" s="283" t="s">
        <v>911</v>
      </c>
      <c r="F177" s="310" t="str">
        <f t="shared" si="147"/>
        <v>09/22/20</v>
      </c>
      <c r="G177" s="298" t="s">
        <v>912</v>
      </c>
      <c r="H177" s="298" t="s">
        <v>775</v>
      </c>
      <c r="I177" s="306"/>
      <c r="J177" s="299">
        <v>24.221924000000001</v>
      </c>
      <c r="K177" s="299">
        <v>39.991608999999997</v>
      </c>
      <c r="L177" s="299">
        <v>29.51247</v>
      </c>
      <c r="M177" s="299">
        <v>30.239765999999999</v>
      </c>
      <c r="N177" s="284">
        <v>3875</v>
      </c>
      <c r="O177" s="284">
        <v>28.39</v>
      </c>
      <c r="P177" s="284">
        <v>0.20169999999999999</v>
      </c>
      <c r="Q177" s="284">
        <v>1.932E-2</v>
      </c>
      <c r="R177" s="285">
        <v>3.3923896500000001</v>
      </c>
      <c r="S177" s="285">
        <f t="shared" si="173"/>
        <v>8.4094818199999999</v>
      </c>
      <c r="T177" s="314">
        <v>70.719361000000006</v>
      </c>
      <c r="U177" s="314">
        <v>69.216350000000006</v>
      </c>
      <c r="V177" s="289">
        <v>19445</v>
      </c>
      <c r="W177" s="289">
        <v>20441</v>
      </c>
      <c r="X177" s="289">
        <f t="shared" si="174"/>
        <v>996</v>
      </c>
      <c r="Y177" s="289">
        <f t="shared" si="175"/>
        <v>293.59834888070714</v>
      </c>
      <c r="Z177" s="308">
        <v>189.5</v>
      </c>
      <c r="AA177" s="289">
        <v>200.8</v>
      </c>
      <c r="AB177" s="289">
        <f t="shared" si="176"/>
        <v>11.300000000000011</v>
      </c>
      <c r="AC177" s="289">
        <f t="shared" si="177"/>
        <v>3.3309852834859375</v>
      </c>
      <c r="AD177" s="308">
        <v>162.83000000000001</v>
      </c>
      <c r="AE177" s="289">
        <v>172.52233799999999</v>
      </c>
      <c r="AF177" s="289">
        <f t="shared" si="178"/>
        <v>9.6923379999999781</v>
      </c>
      <c r="AG177" s="289">
        <f t="shared" si="179"/>
        <v>2.857082764652338</v>
      </c>
      <c r="AH177" s="308">
        <v>9.39</v>
      </c>
      <c r="AI177" s="289">
        <v>9.76</v>
      </c>
      <c r="AJ177" s="289">
        <f t="shared" si="180"/>
        <v>0.36999999999999922</v>
      </c>
      <c r="AK177" s="307">
        <f t="shared" si="181"/>
        <v>0.10906765972476046</v>
      </c>
      <c r="AL177" s="308">
        <v>-17.3</v>
      </c>
      <c r="AM177" s="289">
        <v>-18.3</v>
      </c>
      <c r="AN177" s="289">
        <f t="shared" si="182"/>
        <v>-1</v>
      </c>
      <c r="AO177" s="307">
        <f t="shared" si="183"/>
        <v>-0.29477745871556943</v>
      </c>
      <c r="AP177" s="308">
        <v>-21.1</v>
      </c>
      <c r="AQ177" s="289">
        <v>-22.3</v>
      </c>
      <c r="AR177" s="289">
        <f t="shared" si="184"/>
        <v>-1.1999999999999993</v>
      </c>
      <c r="AS177" s="307">
        <f t="shared" si="185"/>
        <v>-0.35373295045868308</v>
      </c>
      <c r="AT177" s="308">
        <v>7.2</v>
      </c>
      <c r="AU177" s="289">
        <v>7.6</v>
      </c>
      <c r="AV177" s="289">
        <f t="shared" si="186"/>
        <v>0.39999999999999947</v>
      </c>
      <c r="AW177" s="307">
        <f t="shared" si="187"/>
        <v>0.11791098348622761</v>
      </c>
      <c r="AX177" s="308">
        <v>19448</v>
      </c>
      <c r="AY177" s="289">
        <v>20447</v>
      </c>
      <c r="AZ177" s="289">
        <f t="shared" si="188"/>
        <v>999</v>
      </c>
      <c r="BA177" s="307">
        <f t="shared" si="189"/>
        <v>294.48268125685382</v>
      </c>
      <c r="BB177" s="308">
        <v>6.2</v>
      </c>
      <c r="BC177" s="289">
        <v>6.5</v>
      </c>
      <c r="BD177" s="289">
        <f t="shared" si="190"/>
        <v>0.29999999999999982</v>
      </c>
      <c r="BE177" s="307">
        <f t="shared" si="191"/>
        <v>8.843323761467077E-2</v>
      </c>
      <c r="BF177" s="308">
        <v>0</v>
      </c>
      <c r="BG177" s="289">
        <v>0</v>
      </c>
      <c r="BH177" s="289">
        <f t="shared" si="192"/>
        <v>0</v>
      </c>
      <c r="BI177" s="307">
        <f t="shared" si="193"/>
        <v>0</v>
      </c>
      <c r="BJ177" s="281">
        <v>70.719361000000006</v>
      </c>
      <c r="BK177" s="281">
        <v>69.216350000000006</v>
      </c>
      <c r="BL177" s="281">
        <f t="shared" si="194"/>
        <v>-1.5030110000000008</v>
      </c>
      <c r="BM177" s="408">
        <v>0</v>
      </c>
      <c r="BN177" s="458">
        <v>0</v>
      </c>
      <c r="BO177" s="458">
        <f t="shared" si="195"/>
        <v>0</v>
      </c>
      <c r="BP177" s="408">
        <v>6.2</v>
      </c>
      <c r="BQ177" s="458">
        <v>6.5</v>
      </c>
      <c r="BR177" s="458">
        <f t="shared" si="196"/>
        <v>0.29999999999999982</v>
      </c>
      <c r="BS177" s="281"/>
      <c r="BT177" s="281"/>
      <c r="BU177" s="281"/>
      <c r="BV177" s="281"/>
      <c r="BW177" s="298" t="s">
        <v>713</v>
      </c>
      <c r="BX177" s="422">
        <v>15123.768705779999</v>
      </c>
      <c r="BY177" s="422">
        <v>23.06160032</v>
      </c>
      <c r="BZ177" s="422">
        <v>1375.33644516</v>
      </c>
      <c r="CA177" s="422">
        <v>1117.5999999999999</v>
      </c>
      <c r="CB177" s="422">
        <v>4.70681218</v>
      </c>
      <c r="CC177" s="422">
        <v>4.3170293900000001</v>
      </c>
      <c r="CD177" s="422">
        <v>-0.75887974999999996</v>
      </c>
      <c r="CE177" s="422">
        <v>3.39239304</v>
      </c>
      <c r="CF177" s="422">
        <v>3.4183340800000002</v>
      </c>
      <c r="CG177" s="422">
        <v>8.9772830999999993</v>
      </c>
      <c r="CH177" s="422">
        <v>9.0289585100000007</v>
      </c>
      <c r="CI177" s="422">
        <v>0.46559158</v>
      </c>
    </row>
    <row r="178" spans="1:87" ht="15" customHeight="1" x14ac:dyDescent="0.2">
      <c r="A178" s="423">
        <v>62009036</v>
      </c>
      <c r="B178" s="297" t="s">
        <v>621</v>
      </c>
      <c r="C178" s="297" t="s">
        <v>629</v>
      </c>
      <c r="D178" s="326" t="s">
        <v>798</v>
      </c>
      <c r="E178" s="283" t="s">
        <v>911</v>
      </c>
      <c r="F178" s="310" t="str">
        <f t="shared" si="147"/>
        <v>09/22/20</v>
      </c>
      <c r="G178" s="298" t="s">
        <v>912</v>
      </c>
      <c r="H178" s="298" t="s">
        <v>775</v>
      </c>
      <c r="I178" s="306"/>
      <c r="J178" s="299">
        <v>23.939772000000001</v>
      </c>
      <c r="K178" s="299">
        <v>40.644379999999998</v>
      </c>
      <c r="L178" s="299">
        <v>29.508787000000002</v>
      </c>
      <c r="M178" s="299">
        <v>31.171202999999998</v>
      </c>
      <c r="N178" s="284">
        <v>3875</v>
      </c>
      <c r="O178" s="284">
        <v>28.39</v>
      </c>
      <c r="P178" s="284">
        <v>0.20169999999999999</v>
      </c>
      <c r="Q178" s="284">
        <v>1.932E-2</v>
      </c>
      <c r="R178" s="285">
        <v>3.3904439399999999</v>
      </c>
      <c r="S178" s="285">
        <f t="shared" si="173"/>
        <v>6.7828335900000001</v>
      </c>
      <c r="T178" s="314">
        <v>69.214823999999993</v>
      </c>
      <c r="U178" s="314">
        <v>66.587224000000006</v>
      </c>
      <c r="V178" s="289">
        <v>20443</v>
      </c>
      <c r="W178" s="289">
        <v>22208</v>
      </c>
      <c r="X178" s="289">
        <f t="shared" si="174"/>
        <v>1765</v>
      </c>
      <c r="Y178" s="289">
        <f t="shared" si="175"/>
        <v>520.58079450209107</v>
      </c>
      <c r="Z178" s="308">
        <v>202.1</v>
      </c>
      <c r="AA178" s="289">
        <v>213.2</v>
      </c>
      <c r="AB178" s="289">
        <f t="shared" si="176"/>
        <v>11.099999999999994</v>
      </c>
      <c r="AC178" s="289">
        <f t="shared" si="177"/>
        <v>3.2739075461604576</v>
      </c>
      <c r="AD178" s="308">
        <v>173.67</v>
      </c>
      <c r="AE178" s="289">
        <v>183.25</v>
      </c>
      <c r="AF178" s="289">
        <f t="shared" si="178"/>
        <v>9.5800000000000125</v>
      </c>
      <c r="AG178" s="289">
        <f t="shared" si="179"/>
        <v>2.8255886749745263</v>
      </c>
      <c r="AH178" s="308">
        <v>9.81</v>
      </c>
      <c r="AI178" s="289">
        <v>10.14</v>
      </c>
      <c r="AJ178" s="289">
        <f t="shared" si="180"/>
        <v>0.33000000000000007</v>
      </c>
      <c r="AK178" s="307">
        <f t="shared" si="181"/>
        <v>9.733238650747314E-2</v>
      </c>
      <c r="AL178" s="308">
        <v>-18.399999999999999</v>
      </c>
      <c r="AM178" s="289">
        <v>-19.399999999999999</v>
      </c>
      <c r="AN178" s="289">
        <f t="shared" si="182"/>
        <v>-1</v>
      </c>
      <c r="AO178" s="307">
        <f t="shared" si="183"/>
        <v>-0.29494662578022157</v>
      </c>
      <c r="AP178" s="308">
        <v>-22.4</v>
      </c>
      <c r="AQ178" s="289">
        <v>-23.6</v>
      </c>
      <c r="AR178" s="289">
        <f t="shared" si="184"/>
        <v>-1.2000000000000028</v>
      </c>
      <c r="AS178" s="307">
        <f t="shared" si="185"/>
        <v>-0.35393595093626673</v>
      </c>
      <c r="AT178" s="308">
        <v>7.6</v>
      </c>
      <c r="AU178" s="289">
        <v>8</v>
      </c>
      <c r="AV178" s="289">
        <f t="shared" si="186"/>
        <v>0.40000000000000036</v>
      </c>
      <c r="AW178" s="307">
        <f t="shared" si="187"/>
        <v>0.11797865031208873</v>
      </c>
      <c r="AX178" s="308">
        <v>20449</v>
      </c>
      <c r="AY178" s="289">
        <v>22218</v>
      </c>
      <c r="AZ178" s="289">
        <f t="shared" si="188"/>
        <v>1769</v>
      </c>
      <c r="BA178" s="307">
        <f t="shared" si="189"/>
        <v>521.76058100521198</v>
      </c>
      <c r="BB178" s="308">
        <v>6.6</v>
      </c>
      <c r="BC178" s="289">
        <v>6.9</v>
      </c>
      <c r="BD178" s="289">
        <f t="shared" si="190"/>
        <v>0.30000000000000071</v>
      </c>
      <c r="BE178" s="307">
        <f t="shared" si="191"/>
        <v>8.8483987734066682E-2</v>
      </c>
      <c r="BF178" s="308">
        <v>0</v>
      </c>
      <c r="BG178" s="289">
        <v>0</v>
      </c>
      <c r="BH178" s="289">
        <f t="shared" si="192"/>
        <v>0</v>
      </c>
      <c r="BI178" s="307">
        <f t="shared" si="193"/>
        <v>0</v>
      </c>
      <c r="BJ178" s="281">
        <v>69.214823999999993</v>
      </c>
      <c r="BK178" s="281">
        <v>66.587224000000006</v>
      </c>
      <c r="BL178" s="281">
        <f t="shared" si="194"/>
        <v>-2.6275999999999868</v>
      </c>
      <c r="BM178" s="408">
        <v>0</v>
      </c>
      <c r="BN178" s="458">
        <v>0</v>
      </c>
      <c r="BO178" s="458">
        <f t="shared" si="195"/>
        <v>0</v>
      </c>
      <c r="BP178" s="408">
        <v>6.6</v>
      </c>
      <c r="BQ178" s="458">
        <v>6.9</v>
      </c>
      <c r="BR178" s="458">
        <f t="shared" si="196"/>
        <v>0.30000000000000071</v>
      </c>
      <c r="BS178" s="281"/>
      <c r="BT178" s="281"/>
      <c r="BU178" s="281"/>
      <c r="BV178" s="281"/>
      <c r="BW178" s="298" t="s">
        <v>713</v>
      </c>
      <c r="BX178" s="422">
        <v>15079.33794628</v>
      </c>
      <c r="BY178" s="422">
        <v>16.206157319999999</v>
      </c>
      <c r="BZ178" s="422">
        <v>1298.72001426</v>
      </c>
      <c r="CA178" s="422">
        <v>1117.5999999999999</v>
      </c>
      <c r="CB178" s="422">
        <v>4.5259281400000004</v>
      </c>
      <c r="CC178" s="422">
        <v>4.3169771299999997</v>
      </c>
      <c r="CD178" s="422">
        <v>-0.8155327</v>
      </c>
      <c r="CE178" s="422">
        <v>3.39045672</v>
      </c>
      <c r="CF178" s="422">
        <v>3.4183343499999999</v>
      </c>
      <c r="CG178" s="422">
        <v>5.3946362800000003</v>
      </c>
      <c r="CH178" s="422">
        <v>4.8402156099999996</v>
      </c>
      <c r="CI178" s="422">
        <v>0.46559720999999998</v>
      </c>
    </row>
    <row r="179" spans="1:87" ht="15" customHeight="1" x14ac:dyDescent="0.2">
      <c r="A179" s="423">
        <v>62009036</v>
      </c>
      <c r="B179" s="297" t="s">
        <v>621</v>
      </c>
      <c r="C179" s="297" t="s">
        <v>630</v>
      </c>
      <c r="D179" s="326" t="s">
        <v>798</v>
      </c>
      <c r="E179" s="283" t="s">
        <v>911</v>
      </c>
      <c r="F179" s="310" t="str">
        <f t="shared" si="147"/>
        <v>09/22/20</v>
      </c>
      <c r="G179" s="298" t="s">
        <v>912</v>
      </c>
      <c r="H179" s="298" t="s">
        <v>775</v>
      </c>
      <c r="I179" s="306"/>
      <c r="J179" s="299">
        <v>23.785055</v>
      </c>
      <c r="K179" s="299">
        <v>41.106552000000001</v>
      </c>
      <c r="L179" s="299">
        <v>29.506257000000002</v>
      </c>
      <c r="M179" s="299">
        <v>31.630628999999999</v>
      </c>
      <c r="N179" s="284">
        <v>3875</v>
      </c>
      <c r="O179" s="284">
        <v>28.39</v>
      </c>
      <c r="P179" s="284">
        <v>0.20169999999999999</v>
      </c>
      <c r="Q179" s="284">
        <v>1.932E-2</v>
      </c>
      <c r="R179" s="285">
        <v>3.38153478</v>
      </c>
      <c r="S179" s="285">
        <f t="shared" si="173"/>
        <v>6.7719787199999999</v>
      </c>
      <c r="T179" s="314">
        <v>66.582645999999997</v>
      </c>
      <c r="U179" s="314">
        <v>62.923538000000001</v>
      </c>
      <c r="V179" s="289">
        <v>22212</v>
      </c>
      <c r="W179" s="289">
        <v>24642</v>
      </c>
      <c r="X179" s="289">
        <f t="shared" si="174"/>
        <v>2430</v>
      </c>
      <c r="Y179" s="289">
        <f t="shared" si="175"/>
        <v>718.60860765714199</v>
      </c>
      <c r="Z179" s="308">
        <v>214.6</v>
      </c>
      <c r="AA179" s="289">
        <v>225.9</v>
      </c>
      <c r="AB179" s="289">
        <f t="shared" si="176"/>
        <v>11.300000000000011</v>
      </c>
      <c r="AC179" s="289">
        <f t="shared" si="177"/>
        <v>3.3416778874591411</v>
      </c>
      <c r="AD179" s="308">
        <v>184.44</v>
      </c>
      <c r="AE179" s="289">
        <v>194.19368499999999</v>
      </c>
      <c r="AF179" s="289">
        <f t="shared" si="178"/>
        <v>9.7536849999999902</v>
      </c>
      <c r="AG179" s="289">
        <f t="shared" si="179"/>
        <v>2.8843958836939687</v>
      </c>
      <c r="AH179" s="308">
        <v>10.18</v>
      </c>
      <c r="AI179" s="289">
        <v>10.49</v>
      </c>
      <c r="AJ179" s="289">
        <f t="shared" si="180"/>
        <v>0.3100000000000005</v>
      </c>
      <c r="AK179" s="307">
        <f t="shared" si="181"/>
        <v>9.1674349124985344E-2</v>
      </c>
      <c r="AL179" s="308">
        <v>-19.5</v>
      </c>
      <c r="AM179" s="289">
        <v>-20.5</v>
      </c>
      <c r="AN179" s="289">
        <f t="shared" si="182"/>
        <v>-1</v>
      </c>
      <c r="AO179" s="307">
        <f t="shared" si="183"/>
        <v>-0.29572370685479094</v>
      </c>
      <c r="AP179" s="308">
        <v>-23.8</v>
      </c>
      <c r="AQ179" s="289">
        <v>-24.9</v>
      </c>
      <c r="AR179" s="289">
        <f t="shared" si="184"/>
        <v>-1.0999999999999979</v>
      </c>
      <c r="AS179" s="307">
        <f t="shared" si="185"/>
        <v>-0.3252960775402694</v>
      </c>
      <c r="AT179" s="308">
        <v>8.1</v>
      </c>
      <c r="AU179" s="289">
        <v>8.5</v>
      </c>
      <c r="AV179" s="289">
        <f t="shared" si="186"/>
        <v>0.40000000000000036</v>
      </c>
      <c r="AW179" s="307">
        <f t="shared" si="187"/>
        <v>0.11828948274191649</v>
      </c>
      <c r="AX179" s="308">
        <v>22221</v>
      </c>
      <c r="AY179" s="289">
        <v>24656</v>
      </c>
      <c r="AZ179" s="289">
        <f t="shared" si="188"/>
        <v>2435</v>
      </c>
      <c r="BA179" s="307">
        <f t="shared" si="189"/>
        <v>720.08722619141599</v>
      </c>
      <c r="BB179" s="308">
        <v>6.9</v>
      </c>
      <c r="BC179" s="289">
        <v>7.3</v>
      </c>
      <c r="BD179" s="289">
        <f t="shared" si="190"/>
        <v>0.39999999999999947</v>
      </c>
      <c r="BE179" s="307">
        <f t="shared" si="191"/>
        <v>0.11828948274191622</v>
      </c>
      <c r="BF179" s="308">
        <v>0</v>
      </c>
      <c r="BG179" s="289">
        <v>0</v>
      </c>
      <c r="BH179" s="289">
        <f t="shared" si="192"/>
        <v>0</v>
      </c>
      <c r="BI179" s="307">
        <f t="shared" si="193"/>
        <v>0</v>
      </c>
      <c r="BJ179" s="281">
        <v>66.582645999999997</v>
      </c>
      <c r="BK179" s="281">
        <v>62.923538000000001</v>
      </c>
      <c r="BL179" s="281">
        <f t="shared" si="194"/>
        <v>-3.6591079999999963</v>
      </c>
      <c r="BM179" s="408">
        <v>0</v>
      </c>
      <c r="BN179" s="458">
        <v>0</v>
      </c>
      <c r="BO179" s="458">
        <f t="shared" si="195"/>
        <v>0</v>
      </c>
      <c r="BP179" s="408">
        <v>6.9</v>
      </c>
      <c r="BQ179" s="458">
        <v>7.3</v>
      </c>
      <c r="BR179" s="458">
        <f t="shared" si="196"/>
        <v>0.39999999999999947</v>
      </c>
      <c r="BS179" s="281"/>
      <c r="BT179" s="281"/>
      <c r="BU179" s="281"/>
      <c r="BV179" s="281"/>
      <c r="BW179" s="298" t="s">
        <v>713</v>
      </c>
      <c r="BX179" s="422">
        <v>15135.48224843</v>
      </c>
      <c r="BY179" s="422">
        <v>19.59480624</v>
      </c>
      <c r="BZ179" s="422">
        <v>1336.5915545</v>
      </c>
      <c r="CA179" s="422">
        <v>1117.5999999999999</v>
      </c>
      <c r="CB179" s="422">
        <v>4.60363554</v>
      </c>
      <c r="CC179" s="422">
        <v>4.31693397</v>
      </c>
      <c r="CD179" s="422">
        <v>-1.0757706</v>
      </c>
      <c r="CE179" s="422">
        <v>3.3815608500000001</v>
      </c>
      <c r="CF179" s="422">
        <v>3.4183342799999998</v>
      </c>
      <c r="CG179" s="422">
        <v>7.23649539</v>
      </c>
      <c r="CH179" s="422">
        <v>6.6413238799999998</v>
      </c>
      <c r="CI179" s="422">
        <v>0.46560186999999997</v>
      </c>
    </row>
    <row r="180" spans="1:87" ht="15" customHeight="1" x14ac:dyDescent="0.2">
      <c r="A180" s="423">
        <v>62009037</v>
      </c>
      <c r="B180" s="297" t="s">
        <v>622</v>
      </c>
      <c r="C180" s="297" t="s">
        <v>626</v>
      </c>
      <c r="D180" s="326" t="s">
        <v>801</v>
      </c>
      <c r="E180" s="283" t="s">
        <v>913</v>
      </c>
      <c r="F180" s="310" t="str">
        <f t="shared" si="147"/>
        <v>09/22/20</v>
      </c>
      <c r="G180" s="298" t="s">
        <v>914</v>
      </c>
      <c r="H180" s="298" t="s">
        <v>775</v>
      </c>
      <c r="I180" s="306"/>
      <c r="J180" s="299">
        <v>21.216014000000001</v>
      </c>
      <c r="K180" s="299">
        <v>50.837035999999998</v>
      </c>
      <c r="L180" s="299">
        <v>29.501239000000002</v>
      </c>
      <c r="M180" s="299">
        <v>30.051152999999999</v>
      </c>
      <c r="N180" s="284">
        <v>3875</v>
      </c>
      <c r="O180" s="284">
        <v>28.39</v>
      </c>
      <c r="P180" s="284">
        <v>0.20169999999999999</v>
      </c>
      <c r="Q180" s="284">
        <v>1.932E-2</v>
      </c>
      <c r="R180" s="285">
        <v>7.7444757199999996</v>
      </c>
      <c r="S180" s="285">
        <f t="shared" si="173"/>
        <v>11.1260105</v>
      </c>
      <c r="T180" s="314">
        <v>62.896071999999997</v>
      </c>
      <c r="U180" s="314">
        <v>60.192177000000001</v>
      </c>
      <c r="V180" s="289">
        <v>24656</v>
      </c>
      <c r="W180" s="289">
        <v>26431</v>
      </c>
      <c r="X180" s="289">
        <f t="shared" si="174"/>
        <v>1775</v>
      </c>
      <c r="Y180" s="289">
        <f t="shared" si="175"/>
        <v>229.19563107623767</v>
      </c>
      <c r="Z180" s="308">
        <v>238.4</v>
      </c>
      <c r="AA180" s="289">
        <v>274.8</v>
      </c>
      <c r="AB180" s="289">
        <f t="shared" si="176"/>
        <v>36.400000000000006</v>
      </c>
      <c r="AC180" s="289">
        <f t="shared" si="177"/>
        <v>4.7001244908028461</v>
      </c>
      <c r="AD180" s="308">
        <v>205.1</v>
      </c>
      <c r="AE180" s="289">
        <v>236.48</v>
      </c>
      <c r="AF180" s="289">
        <f t="shared" si="178"/>
        <v>31.379999999999995</v>
      </c>
      <c r="AG180" s="289">
        <f t="shared" si="179"/>
        <v>4.0519205088294852</v>
      </c>
      <c r="AH180" s="308">
        <v>9.6199999999999992</v>
      </c>
      <c r="AI180" s="289">
        <v>11.72</v>
      </c>
      <c r="AJ180" s="289">
        <f t="shared" si="180"/>
        <v>2.1000000000000014</v>
      </c>
      <c r="AK180" s="307">
        <f t="shared" si="181"/>
        <v>0.27116102831554895</v>
      </c>
      <c r="AL180" s="308">
        <v>-21.4</v>
      </c>
      <c r="AM180" s="289">
        <v>-24.7</v>
      </c>
      <c r="AN180" s="289">
        <f t="shared" si="182"/>
        <v>-3.3000000000000007</v>
      </c>
      <c r="AO180" s="307">
        <f t="shared" si="183"/>
        <v>-0.42611018735300532</v>
      </c>
      <c r="AP180" s="308">
        <v>-25.822241000000002</v>
      </c>
      <c r="AQ180" s="289">
        <v>-29.9</v>
      </c>
      <c r="AR180" s="289">
        <f t="shared" si="184"/>
        <v>-4.0777589999999968</v>
      </c>
      <c r="AS180" s="307">
        <f t="shared" si="185"/>
        <v>-0.52653777317284911</v>
      </c>
      <c r="AT180" s="308">
        <v>8.8000000000000007</v>
      </c>
      <c r="AU180" s="289">
        <v>10.199999999999999</v>
      </c>
      <c r="AV180" s="289">
        <f t="shared" si="186"/>
        <v>1.3999999999999986</v>
      </c>
      <c r="AW180" s="307">
        <f t="shared" si="187"/>
        <v>0.18077401887703234</v>
      </c>
      <c r="AX180" s="308">
        <v>24670</v>
      </c>
      <c r="AY180" s="289">
        <v>26445</v>
      </c>
      <c r="AZ180" s="289">
        <f t="shared" si="188"/>
        <v>1775</v>
      </c>
      <c r="BA180" s="307">
        <f t="shared" si="189"/>
        <v>229.19563107623767</v>
      </c>
      <c r="BB180" s="308">
        <v>7.6</v>
      </c>
      <c r="BC180" s="289">
        <v>8.8000000000000007</v>
      </c>
      <c r="BD180" s="289">
        <f t="shared" si="190"/>
        <v>1.2000000000000011</v>
      </c>
      <c r="BE180" s="307">
        <f t="shared" si="191"/>
        <v>0.1549491590374566</v>
      </c>
      <c r="BF180" s="308">
        <v>0</v>
      </c>
      <c r="BG180" s="289">
        <v>0</v>
      </c>
      <c r="BH180" s="289">
        <f t="shared" si="192"/>
        <v>0</v>
      </c>
      <c r="BI180" s="307">
        <f t="shared" si="193"/>
        <v>0</v>
      </c>
      <c r="BJ180" s="281">
        <v>62.896071999999997</v>
      </c>
      <c r="BK180" s="281">
        <v>60.192177000000001</v>
      </c>
      <c r="BL180" s="281">
        <f t="shared" si="194"/>
        <v>-2.7038949999999957</v>
      </c>
      <c r="BM180" s="408">
        <v>0</v>
      </c>
      <c r="BN180" s="458">
        <v>0</v>
      </c>
      <c r="BO180" s="458">
        <f t="shared" si="195"/>
        <v>0</v>
      </c>
      <c r="BP180" s="408">
        <v>7.6</v>
      </c>
      <c r="BQ180" s="458">
        <v>8.8000000000000007</v>
      </c>
      <c r="BR180" s="458">
        <f t="shared" si="196"/>
        <v>1.2000000000000011</v>
      </c>
      <c r="BS180" s="281"/>
      <c r="BT180" s="281"/>
      <c r="BU180" s="281"/>
      <c r="BV180" s="281"/>
      <c r="BW180" s="298" t="s">
        <v>713</v>
      </c>
      <c r="BX180" s="422">
        <v>1573.0357034900001</v>
      </c>
      <c r="BY180" s="422">
        <v>-1.3517577999999999</v>
      </c>
      <c r="BZ180" s="422">
        <v>5149.2459454500004</v>
      </c>
      <c r="CA180" s="422">
        <v>5219.8050676100002</v>
      </c>
      <c r="CB180" s="422">
        <v>8.8396912699999994</v>
      </c>
      <c r="CC180" s="422">
        <v>8.9107666699999992</v>
      </c>
      <c r="CD180" s="422">
        <v>0.15615380000000001</v>
      </c>
      <c r="CE180" s="422">
        <v>7.74441267</v>
      </c>
      <c r="CF180" s="422">
        <v>7.7323383300000001</v>
      </c>
      <c r="CG180" s="422">
        <v>-0.96145778000000004</v>
      </c>
      <c r="CH180" s="422">
        <v>-0.79763505999999995</v>
      </c>
      <c r="CI180" s="422">
        <v>0.68390057000000004</v>
      </c>
    </row>
    <row r="181" spans="1:87" ht="15" customHeight="1" x14ac:dyDescent="0.2">
      <c r="A181" s="423">
        <v>62009037</v>
      </c>
      <c r="B181" s="297" t="s">
        <v>622</v>
      </c>
      <c r="C181" s="297" t="s">
        <v>627</v>
      </c>
      <c r="D181" s="326" t="s">
        <v>801</v>
      </c>
      <c r="E181" s="283" t="s">
        <v>913</v>
      </c>
      <c r="F181" s="310" t="str">
        <f t="shared" si="147"/>
        <v>09/22/20</v>
      </c>
      <c r="G181" s="298" t="s">
        <v>914</v>
      </c>
      <c r="H181" s="298" t="s">
        <v>775</v>
      </c>
      <c r="I181" s="306"/>
      <c r="J181" s="299" t="s">
        <v>777</v>
      </c>
      <c r="K181" s="299" t="s">
        <v>777</v>
      </c>
      <c r="L181" s="299" t="s">
        <v>777</v>
      </c>
      <c r="M181" s="299" t="s">
        <v>777</v>
      </c>
      <c r="N181" s="284">
        <v>3875</v>
      </c>
      <c r="O181" s="284">
        <v>28.39</v>
      </c>
      <c r="P181" s="284">
        <v>0.20169999999999999</v>
      </c>
      <c r="Q181" s="284">
        <v>1.932E-2</v>
      </c>
      <c r="R181" s="285" t="s">
        <v>1164</v>
      </c>
      <c r="S181" s="285" t="e">
        <f t="shared" si="173"/>
        <v>#VALUE!</v>
      </c>
      <c r="T181" s="314">
        <v>60.190651000000003</v>
      </c>
      <c r="U181" s="314">
        <v>62.899124</v>
      </c>
      <c r="V181" s="289">
        <v>26432</v>
      </c>
      <c r="W181" s="289">
        <v>24655</v>
      </c>
      <c r="X181" s="289">
        <f t="shared" si="174"/>
        <v>-1777</v>
      </c>
      <c r="Y181" s="289" t="e">
        <f t="shared" si="175"/>
        <v>#VALUE!</v>
      </c>
      <c r="Z181" s="308">
        <v>275.7</v>
      </c>
      <c r="AA181" s="289">
        <v>237</v>
      </c>
      <c r="AB181" s="289">
        <f t="shared" si="176"/>
        <v>-38.699999999999989</v>
      </c>
      <c r="AC181" s="289" t="e">
        <f t="shared" si="177"/>
        <v>#VALUE!</v>
      </c>
      <c r="AD181" s="308">
        <v>237.25744599999999</v>
      </c>
      <c r="AE181" s="289">
        <v>203.90772999999999</v>
      </c>
      <c r="AF181" s="289">
        <f t="shared" si="178"/>
        <v>-33.349716000000001</v>
      </c>
      <c r="AG181" s="289" t="e">
        <f t="shared" si="179"/>
        <v>#VALUE!</v>
      </c>
      <c r="AH181" s="308">
        <v>11.75</v>
      </c>
      <c r="AI181" s="289">
        <v>9.9661349999999995</v>
      </c>
      <c r="AJ181" s="289">
        <f t="shared" si="180"/>
        <v>-1.7838650000000005</v>
      </c>
      <c r="AK181" s="307" t="e">
        <f t="shared" si="181"/>
        <v>#VALUE!</v>
      </c>
      <c r="AL181" s="308">
        <v>-24.8</v>
      </c>
      <c r="AM181" s="289">
        <v>-21.3</v>
      </c>
      <c r="AN181" s="289">
        <f t="shared" si="182"/>
        <v>3.5</v>
      </c>
      <c r="AO181" s="307" t="e">
        <f t="shared" si="183"/>
        <v>#VALUE!</v>
      </c>
      <c r="AP181" s="308">
        <v>-30</v>
      </c>
      <c r="AQ181" s="289">
        <v>-25.8</v>
      </c>
      <c r="AR181" s="289">
        <f t="shared" si="184"/>
        <v>4.1999999999999993</v>
      </c>
      <c r="AS181" s="307" t="e">
        <f t="shared" si="185"/>
        <v>#VALUE!</v>
      </c>
      <c r="AT181" s="308">
        <v>10.199999999999999</v>
      </c>
      <c r="AU181" s="289">
        <v>8.8000000000000007</v>
      </c>
      <c r="AV181" s="289">
        <f t="shared" si="186"/>
        <v>-1.3999999999999986</v>
      </c>
      <c r="AW181" s="307" t="e">
        <f t="shared" si="187"/>
        <v>#VALUE!</v>
      </c>
      <c r="AX181" s="308">
        <v>26446</v>
      </c>
      <c r="AY181" s="289">
        <v>24669</v>
      </c>
      <c r="AZ181" s="289">
        <f t="shared" si="188"/>
        <v>-1777</v>
      </c>
      <c r="BA181" s="307" t="e">
        <f t="shared" si="189"/>
        <v>#VALUE!</v>
      </c>
      <c r="BB181" s="308">
        <v>8.8000000000000007</v>
      </c>
      <c r="BC181" s="289">
        <v>7.6</v>
      </c>
      <c r="BD181" s="289">
        <f t="shared" si="190"/>
        <v>-1.2000000000000011</v>
      </c>
      <c r="BE181" s="307" t="e">
        <f t="shared" si="191"/>
        <v>#VALUE!</v>
      </c>
      <c r="BF181" s="308">
        <v>0</v>
      </c>
      <c r="BG181" s="289">
        <v>0</v>
      </c>
      <c r="BH181" s="289">
        <f t="shared" si="192"/>
        <v>0</v>
      </c>
      <c r="BI181" s="307" t="e">
        <f t="shared" si="193"/>
        <v>#VALUE!</v>
      </c>
      <c r="BJ181" s="281">
        <v>60.190651000000003</v>
      </c>
      <c r="BK181" s="281">
        <v>62.899124</v>
      </c>
      <c r="BL181" s="281">
        <f t="shared" si="194"/>
        <v>2.7084729999999979</v>
      </c>
      <c r="BM181" s="408">
        <v>0</v>
      </c>
      <c r="BN181" s="458">
        <v>0</v>
      </c>
      <c r="BO181" s="458">
        <f t="shared" si="195"/>
        <v>0</v>
      </c>
      <c r="BP181" s="408">
        <v>8.8000000000000007</v>
      </c>
      <c r="BQ181" s="458">
        <v>7.6</v>
      </c>
      <c r="BR181" s="458">
        <f t="shared" si="196"/>
        <v>-1.2000000000000011</v>
      </c>
      <c r="BS181" s="281"/>
      <c r="BT181" s="281"/>
      <c r="BU181" s="281"/>
      <c r="BV181" s="281"/>
      <c r="BW181" s="298" t="s">
        <v>713</v>
      </c>
    </row>
    <row r="182" spans="1:87" ht="15" customHeight="1" x14ac:dyDescent="0.2">
      <c r="A182" s="423">
        <v>62009037</v>
      </c>
      <c r="B182" s="297" t="s">
        <v>622</v>
      </c>
      <c r="C182" s="297" t="s">
        <v>629</v>
      </c>
      <c r="D182" s="326" t="s">
        <v>801</v>
      </c>
      <c r="E182" s="283" t="s">
        <v>913</v>
      </c>
      <c r="F182" s="310" t="str">
        <f t="shared" si="147"/>
        <v>09/22/20</v>
      </c>
      <c r="G182" s="298" t="s">
        <v>914</v>
      </c>
      <c r="H182" s="298" t="s">
        <v>775</v>
      </c>
      <c r="I182" s="306"/>
      <c r="J182" s="299" t="s">
        <v>777</v>
      </c>
      <c r="K182" s="299" t="s">
        <v>777</v>
      </c>
      <c r="L182" s="299" t="s">
        <v>777</v>
      </c>
      <c r="M182" s="299" t="s">
        <v>777</v>
      </c>
      <c r="N182" s="284">
        <v>3875</v>
      </c>
      <c r="O182" s="284">
        <v>28.39</v>
      </c>
      <c r="P182" s="284">
        <v>0.20169999999999999</v>
      </c>
      <c r="Q182" s="284">
        <v>1.932E-2</v>
      </c>
      <c r="R182" s="285" t="s">
        <v>1165</v>
      </c>
      <c r="S182" s="285" t="e">
        <f t="shared" si="173"/>
        <v>#VALUE!</v>
      </c>
      <c r="T182" s="314">
        <v>60.190651000000003</v>
      </c>
      <c r="U182" s="314">
        <v>62.899124</v>
      </c>
      <c r="V182" s="289">
        <v>26432</v>
      </c>
      <c r="W182" s="289">
        <v>24655</v>
      </c>
      <c r="X182" s="289">
        <f t="shared" si="174"/>
        <v>-1777</v>
      </c>
      <c r="Y182" s="289" t="e">
        <f t="shared" si="175"/>
        <v>#VALUE!</v>
      </c>
      <c r="Z182" s="308">
        <v>275.7</v>
      </c>
      <c r="AA182" s="289">
        <v>237</v>
      </c>
      <c r="AB182" s="289">
        <f t="shared" si="176"/>
        <v>-38.699999999999989</v>
      </c>
      <c r="AC182" s="289" t="e">
        <f t="shared" si="177"/>
        <v>#VALUE!</v>
      </c>
      <c r="AD182" s="308">
        <v>237.25744599999999</v>
      </c>
      <c r="AE182" s="289">
        <v>203.90772999999999</v>
      </c>
      <c r="AF182" s="289">
        <f t="shared" si="178"/>
        <v>-33.349716000000001</v>
      </c>
      <c r="AG182" s="289" t="e">
        <f t="shared" si="179"/>
        <v>#VALUE!</v>
      </c>
      <c r="AH182" s="308">
        <v>11.75</v>
      </c>
      <c r="AI182" s="289">
        <v>9.9661349999999995</v>
      </c>
      <c r="AJ182" s="289">
        <f t="shared" si="180"/>
        <v>-1.7838650000000005</v>
      </c>
      <c r="AK182" s="307" t="e">
        <f t="shared" si="181"/>
        <v>#VALUE!</v>
      </c>
      <c r="AL182" s="308">
        <v>-24.8</v>
      </c>
      <c r="AM182" s="289">
        <v>-21.3</v>
      </c>
      <c r="AN182" s="289">
        <f t="shared" si="182"/>
        <v>3.5</v>
      </c>
      <c r="AO182" s="307" t="e">
        <f t="shared" si="183"/>
        <v>#VALUE!</v>
      </c>
      <c r="AP182" s="308">
        <v>-30</v>
      </c>
      <c r="AQ182" s="289">
        <v>-25.8</v>
      </c>
      <c r="AR182" s="289">
        <f t="shared" si="184"/>
        <v>4.1999999999999993</v>
      </c>
      <c r="AS182" s="307" t="e">
        <f t="shared" si="185"/>
        <v>#VALUE!</v>
      </c>
      <c r="AT182" s="308">
        <v>10.199999999999999</v>
      </c>
      <c r="AU182" s="289">
        <v>8.8000000000000007</v>
      </c>
      <c r="AV182" s="289">
        <f t="shared" si="186"/>
        <v>-1.3999999999999986</v>
      </c>
      <c r="AW182" s="307" t="e">
        <f t="shared" si="187"/>
        <v>#VALUE!</v>
      </c>
      <c r="AX182" s="308">
        <v>26446</v>
      </c>
      <c r="AY182" s="289">
        <v>24669</v>
      </c>
      <c r="AZ182" s="289">
        <f t="shared" si="188"/>
        <v>-1777</v>
      </c>
      <c r="BA182" s="307" t="e">
        <f t="shared" si="189"/>
        <v>#VALUE!</v>
      </c>
      <c r="BB182" s="308">
        <v>8.8000000000000007</v>
      </c>
      <c r="BC182" s="289">
        <v>7.6</v>
      </c>
      <c r="BD182" s="289">
        <f t="shared" si="190"/>
        <v>-1.2000000000000011</v>
      </c>
      <c r="BE182" s="307" t="e">
        <f t="shared" si="191"/>
        <v>#VALUE!</v>
      </c>
      <c r="BF182" s="308">
        <v>0</v>
      </c>
      <c r="BG182" s="289">
        <v>0</v>
      </c>
      <c r="BH182" s="289">
        <f t="shared" si="192"/>
        <v>0</v>
      </c>
      <c r="BI182" s="307" t="e">
        <f t="shared" si="193"/>
        <v>#VALUE!</v>
      </c>
      <c r="BJ182" s="281">
        <v>60.190651000000003</v>
      </c>
      <c r="BK182" s="281">
        <v>62.899124</v>
      </c>
      <c r="BL182" s="281">
        <f t="shared" si="194"/>
        <v>2.7084729999999979</v>
      </c>
      <c r="BM182" s="408">
        <v>0</v>
      </c>
      <c r="BN182" s="458">
        <v>0</v>
      </c>
      <c r="BO182" s="458">
        <f t="shared" si="195"/>
        <v>0</v>
      </c>
      <c r="BP182" s="408">
        <v>8.8000000000000007</v>
      </c>
      <c r="BQ182" s="458">
        <v>7.6</v>
      </c>
      <c r="BR182" s="458">
        <f t="shared" si="196"/>
        <v>-1.2000000000000011</v>
      </c>
      <c r="BS182" s="281"/>
      <c r="BT182" s="281"/>
      <c r="BU182" s="281"/>
      <c r="BV182" s="281"/>
      <c r="BW182" s="298" t="s">
        <v>713</v>
      </c>
    </row>
    <row r="183" spans="1:87" ht="15" customHeight="1" x14ac:dyDescent="0.2">
      <c r="A183" s="423">
        <v>62009037</v>
      </c>
      <c r="B183" s="297" t="s">
        <v>622</v>
      </c>
      <c r="C183" s="297" t="s">
        <v>630</v>
      </c>
      <c r="D183" s="326" t="s">
        <v>801</v>
      </c>
      <c r="E183" s="283" t="s">
        <v>913</v>
      </c>
      <c r="F183" s="310" t="str">
        <f t="shared" si="147"/>
        <v>09/22/20</v>
      </c>
      <c r="G183" s="298" t="s">
        <v>914</v>
      </c>
      <c r="H183" s="298" t="s">
        <v>775</v>
      </c>
      <c r="I183" s="306"/>
      <c r="J183" s="299" t="s">
        <v>777</v>
      </c>
      <c r="K183" s="299" t="s">
        <v>777</v>
      </c>
      <c r="L183" s="299" t="s">
        <v>777</v>
      </c>
      <c r="M183" s="299" t="s">
        <v>777</v>
      </c>
      <c r="N183" s="284">
        <v>3875</v>
      </c>
      <c r="O183" s="284">
        <v>28.39</v>
      </c>
      <c r="P183" s="284">
        <v>0.20169999999999999</v>
      </c>
      <c r="Q183" s="284">
        <v>1.932E-2</v>
      </c>
      <c r="R183" s="285" t="s">
        <v>1166</v>
      </c>
      <c r="S183" s="285" t="e">
        <f t="shared" si="173"/>
        <v>#VALUE!</v>
      </c>
      <c r="T183" s="314">
        <v>60.190651000000003</v>
      </c>
      <c r="U183" s="314">
        <v>62.899124</v>
      </c>
      <c r="V183" s="289">
        <v>26432</v>
      </c>
      <c r="W183" s="289">
        <v>24655</v>
      </c>
      <c r="X183" s="289">
        <f t="shared" si="174"/>
        <v>-1777</v>
      </c>
      <c r="Y183" s="289" t="e">
        <f t="shared" si="175"/>
        <v>#VALUE!</v>
      </c>
      <c r="Z183" s="308">
        <v>275.7</v>
      </c>
      <c r="AA183" s="289">
        <v>237</v>
      </c>
      <c r="AB183" s="289">
        <f t="shared" si="176"/>
        <v>-38.699999999999989</v>
      </c>
      <c r="AC183" s="289" t="e">
        <f t="shared" si="177"/>
        <v>#VALUE!</v>
      </c>
      <c r="AD183" s="308">
        <v>237.25744599999999</v>
      </c>
      <c r="AE183" s="289">
        <v>203.90772999999999</v>
      </c>
      <c r="AF183" s="289">
        <f t="shared" si="178"/>
        <v>-33.349716000000001</v>
      </c>
      <c r="AG183" s="289" t="e">
        <f t="shared" si="179"/>
        <v>#VALUE!</v>
      </c>
      <c r="AH183" s="308">
        <v>11.75</v>
      </c>
      <c r="AI183" s="289">
        <v>9.9661349999999995</v>
      </c>
      <c r="AJ183" s="289">
        <f t="shared" si="180"/>
        <v>-1.7838650000000005</v>
      </c>
      <c r="AK183" s="307" t="e">
        <f t="shared" si="181"/>
        <v>#VALUE!</v>
      </c>
      <c r="AL183" s="308">
        <v>-24.8</v>
      </c>
      <c r="AM183" s="289">
        <v>-21.3</v>
      </c>
      <c r="AN183" s="289">
        <f t="shared" si="182"/>
        <v>3.5</v>
      </c>
      <c r="AO183" s="307" t="e">
        <f t="shared" si="183"/>
        <v>#VALUE!</v>
      </c>
      <c r="AP183" s="308">
        <v>-30</v>
      </c>
      <c r="AQ183" s="289">
        <v>-25.8</v>
      </c>
      <c r="AR183" s="289">
        <f t="shared" si="184"/>
        <v>4.1999999999999993</v>
      </c>
      <c r="AS183" s="307" t="e">
        <f t="shared" si="185"/>
        <v>#VALUE!</v>
      </c>
      <c r="AT183" s="308">
        <v>10.199999999999999</v>
      </c>
      <c r="AU183" s="289">
        <v>8.8000000000000007</v>
      </c>
      <c r="AV183" s="289">
        <f t="shared" si="186"/>
        <v>-1.3999999999999986</v>
      </c>
      <c r="AW183" s="307" t="e">
        <f t="shared" si="187"/>
        <v>#VALUE!</v>
      </c>
      <c r="AX183" s="308">
        <v>26446</v>
      </c>
      <c r="AY183" s="289">
        <v>24669</v>
      </c>
      <c r="AZ183" s="289">
        <f t="shared" si="188"/>
        <v>-1777</v>
      </c>
      <c r="BA183" s="307" t="e">
        <f t="shared" si="189"/>
        <v>#VALUE!</v>
      </c>
      <c r="BB183" s="308">
        <v>8.8000000000000007</v>
      </c>
      <c r="BC183" s="289">
        <v>7.6</v>
      </c>
      <c r="BD183" s="289">
        <f t="shared" si="190"/>
        <v>-1.2000000000000011</v>
      </c>
      <c r="BE183" s="307" t="e">
        <f t="shared" si="191"/>
        <v>#VALUE!</v>
      </c>
      <c r="BF183" s="308">
        <v>0</v>
      </c>
      <c r="BG183" s="289">
        <v>0</v>
      </c>
      <c r="BH183" s="289">
        <f t="shared" si="192"/>
        <v>0</v>
      </c>
      <c r="BI183" s="307" t="e">
        <f t="shared" si="193"/>
        <v>#VALUE!</v>
      </c>
      <c r="BJ183" s="281">
        <v>60.190651000000003</v>
      </c>
      <c r="BK183" s="281">
        <v>62.899124</v>
      </c>
      <c r="BL183" s="281">
        <f t="shared" si="194"/>
        <v>2.7084729999999979</v>
      </c>
      <c r="BM183" s="408">
        <v>0</v>
      </c>
      <c r="BN183" s="458">
        <v>0</v>
      </c>
      <c r="BO183" s="458">
        <f t="shared" si="195"/>
        <v>0</v>
      </c>
      <c r="BP183" s="408">
        <v>8.8000000000000007</v>
      </c>
      <c r="BQ183" s="458">
        <v>7.6</v>
      </c>
      <c r="BR183" s="458">
        <f t="shared" si="196"/>
        <v>-1.2000000000000011</v>
      </c>
      <c r="BS183" s="281"/>
      <c r="BT183" s="281"/>
      <c r="BU183" s="281"/>
      <c r="BV183" s="281"/>
      <c r="BW183" s="298" t="s">
        <v>713</v>
      </c>
    </row>
    <row r="184" spans="1:87" ht="15" customHeight="1" x14ac:dyDescent="0.2">
      <c r="A184" s="423">
        <v>62009038</v>
      </c>
      <c r="B184" s="345" t="s">
        <v>623</v>
      </c>
      <c r="C184" s="297" t="s">
        <v>626</v>
      </c>
      <c r="D184" s="326" t="s">
        <v>772</v>
      </c>
      <c r="E184" s="283" t="s">
        <v>915</v>
      </c>
      <c r="F184" s="310" t="str">
        <f t="shared" si="147"/>
        <v>09/22/20</v>
      </c>
      <c r="G184" s="298" t="s">
        <v>916</v>
      </c>
      <c r="H184" s="298" t="s">
        <v>775</v>
      </c>
      <c r="I184" s="306"/>
      <c r="J184" s="299">
        <v>20.638373999999999</v>
      </c>
      <c r="K184" s="299">
        <v>51.97381</v>
      </c>
      <c r="L184" s="299">
        <v>29.501369</v>
      </c>
      <c r="M184" s="299">
        <v>31.931947999999998</v>
      </c>
      <c r="N184" s="284">
        <v>3875</v>
      </c>
      <c r="O184" s="284">
        <v>28.39</v>
      </c>
      <c r="P184" s="284">
        <v>0.20169999999999999</v>
      </c>
      <c r="Q184" s="284">
        <v>1.932E-2</v>
      </c>
      <c r="R184" s="285">
        <v>3.38201675</v>
      </c>
      <c r="S184" s="285" t="e">
        <f t="shared" si="173"/>
        <v>#VALUE!</v>
      </c>
      <c r="T184" s="314">
        <v>60.152504</v>
      </c>
      <c r="U184" s="314">
        <v>57.674441999999999</v>
      </c>
      <c r="V184" s="289">
        <v>26458</v>
      </c>
      <c r="W184" s="289">
        <v>27950</v>
      </c>
      <c r="X184" s="289">
        <f t="shared" si="174"/>
        <v>1492</v>
      </c>
      <c r="Y184" s="289">
        <f t="shared" si="175"/>
        <v>441.15689255530742</v>
      </c>
      <c r="Z184" s="308">
        <v>300</v>
      </c>
      <c r="AA184" s="289">
        <v>341.8</v>
      </c>
      <c r="AB184" s="289">
        <f t="shared" si="176"/>
        <v>41.800000000000011</v>
      </c>
      <c r="AC184" s="289">
        <f t="shared" si="177"/>
        <v>12.359489349069609</v>
      </c>
      <c r="AD184" s="308">
        <v>258.70999999999998</v>
      </c>
      <c r="AE184" s="289">
        <v>296.33999999999997</v>
      </c>
      <c r="AF184" s="289">
        <f t="shared" si="178"/>
        <v>37.629999999999995</v>
      </c>
      <c r="AG184" s="289">
        <f t="shared" si="179"/>
        <v>11.126497229796392</v>
      </c>
      <c r="AH184" s="308">
        <v>8.6999999999999993</v>
      </c>
      <c r="AI184" s="289">
        <v>-0.14000000000000001</v>
      </c>
      <c r="AJ184" s="289">
        <f t="shared" si="180"/>
        <v>-8.84</v>
      </c>
      <c r="AK184" s="307">
        <f t="shared" si="181"/>
        <v>-2.6138250202338589</v>
      </c>
      <c r="AL184" s="308">
        <v>-26.2</v>
      </c>
      <c r="AM184" s="289">
        <v>-27.7</v>
      </c>
      <c r="AN184" s="289">
        <f t="shared" si="182"/>
        <v>-1.5</v>
      </c>
      <c r="AO184" s="307">
        <f t="shared" si="183"/>
        <v>-0.44352234506230637</v>
      </c>
      <c r="AP184" s="308">
        <v>-31.5</v>
      </c>
      <c r="AQ184" s="289">
        <v>-33.299999999999997</v>
      </c>
      <c r="AR184" s="289">
        <f t="shared" si="184"/>
        <v>-1.7999999999999972</v>
      </c>
      <c r="AS184" s="307">
        <f t="shared" si="185"/>
        <v>-0.5322268140747668</v>
      </c>
      <c r="AT184" s="308">
        <v>10.8</v>
      </c>
      <c r="AU184" s="289">
        <v>11.4</v>
      </c>
      <c r="AV184" s="289">
        <f t="shared" si="186"/>
        <v>0.59999999999999964</v>
      </c>
      <c r="AW184" s="307">
        <f t="shared" si="187"/>
        <v>0.17740893802492244</v>
      </c>
      <c r="AX184" s="308">
        <v>26471</v>
      </c>
      <c r="AY184" s="289">
        <v>27973</v>
      </c>
      <c r="AZ184" s="289">
        <f t="shared" si="188"/>
        <v>1502</v>
      </c>
      <c r="BA184" s="307">
        <f t="shared" si="189"/>
        <v>444.11370818905613</v>
      </c>
      <c r="BB184" s="308">
        <v>9.3000000000000007</v>
      </c>
      <c r="BC184" s="289">
        <v>9.8000000000000007</v>
      </c>
      <c r="BD184" s="289">
        <f t="shared" si="190"/>
        <v>0.5</v>
      </c>
      <c r="BE184" s="307">
        <f t="shared" si="191"/>
        <v>0.14784078168743547</v>
      </c>
      <c r="BF184" s="308">
        <v>0</v>
      </c>
      <c r="BG184" s="289">
        <v>0</v>
      </c>
      <c r="BH184" s="289">
        <f t="shared" si="192"/>
        <v>0</v>
      </c>
      <c r="BI184" s="307">
        <f t="shared" si="193"/>
        <v>0</v>
      </c>
      <c r="BJ184" s="281">
        <v>60.152504</v>
      </c>
      <c r="BK184" s="281">
        <v>57.674441999999999</v>
      </c>
      <c r="BL184" s="281">
        <f t="shared" si="194"/>
        <v>-2.4780620000000013</v>
      </c>
      <c r="BM184" s="408">
        <v>0</v>
      </c>
      <c r="BN184" s="458">
        <v>0</v>
      </c>
      <c r="BO184" s="458">
        <f t="shared" si="195"/>
        <v>0</v>
      </c>
      <c r="BP184" s="408">
        <v>9.3000000000000007</v>
      </c>
      <c r="BQ184" s="458">
        <v>9.8000000000000007</v>
      </c>
      <c r="BR184" s="458">
        <f t="shared" si="196"/>
        <v>0.5</v>
      </c>
      <c r="BS184" s="281"/>
      <c r="BT184" s="281"/>
      <c r="BU184" s="281"/>
      <c r="BV184" s="281"/>
      <c r="BW184" s="298" t="s">
        <v>713</v>
      </c>
      <c r="BX184" s="422">
        <v>0</v>
      </c>
      <c r="BY184" s="422" t="s">
        <v>797</v>
      </c>
      <c r="BZ184" s="422">
        <v>5134.4109329499997</v>
      </c>
      <c r="CA184" s="422">
        <v>0</v>
      </c>
      <c r="CB184" s="422">
        <v>9.4868724499999999</v>
      </c>
      <c r="CC184" s="422">
        <v>0</v>
      </c>
      <c r="CD184" s="422" t="s">
        <v>797</v>
      </c>
      <c r="CE184" s="422">
        <v>3.38192615</v>
      </c>
      <c r="CF184" s="422">
        <v>0</v>
      </c>
      <c r="CG184" s="422" t="s">
        <v>777</v>
      </c>
      <c r="CH184" s="422" t="s">
        <v>797</v>
      </c>
      <c r="CI184" s="422" t="s">
        <v>777</v>
      </c>
    </row>
    <row r="185" spans="1:87" ht="15" customHeight="1" x14ac:dyDescent="0.2">
      <c r="A185" s="423">
        <v>62009039</v>
      </c>
      <c r="B185" s="297" t="s">
        <v>624</v>
      </c>
      <c r="C185" s="297" t="s">
        <v>626</v>
      </c>
      <c r="D185" s="326" t="s">
        <v>917</v>
      </c>
      <c r="E185" s="283" t="s">
        <v>918</v>
      </c>
      <c r="F185" s="310" t="str">
        <f t="shared" si="147"/>
        <v>09/22/20</v>
      </c>
      <c r="G185" s="298" t="s">
        <v>919</v>
      </c>
      <c r="H185" s="298" t="s">
        <v>775</v>
      </c>
      <c r="I185" s="306"/>
      <c r="J185" s="299">
        <v>25.596285000000002</v>
      </c>
      <c r="K185" s="299">
        <v>37.604523999999998</v>
      </c>
      <c r="L185" s="299">
        <v>29.504218000000002</v>
      </c>
      <c r="M185" s="299">
        <v>30.55415</v>
      </c>
      <c r="N185" s="284">
        <v>3875</v>
      </c>
      <c r="O185" s="284">
        <v>28.39</v>
      </c>
      <c r="P185" s="284">
        <v>0.20169999999999999</v>
      </c>
      <c r="Q185" s="284">
        <v>1.932E-2</v>
      </c>
      <c r="R185" s="285">
        <v>9.2001030799999999</v>
      </c>
      <c r="S185" s="285">
        <f t="shared" si="173"/>
        <v>12.58211983</v>
      </c>
      <c r="T185" s="314">
        <v>57.236209000000002</v>
      </c>
      <c r="U185" s="314">
        <v>54.346744999999999</v>
      </c>
      <c r="V185" s="289">
        <v>28243</v>
      </c>
      <c r="W185" s="289">
        <v>30166</v>
      </c>
      <c r="X185" s="289">
        <f t="shared" si="174"/>
        <v>1923</v>
      </c>
      <c r="Y185" s="289">
        <f t="shared" si="175"/>
        <v>209.01939720440612</v>
      </c>
      <c r="Z185" s="308">
        <v>346.4</v>
      </c>
      <c r="AA185" s="289">
        <v>370</v>
      </c>
      <c r="AB185" s="289">
        <f t="shared" si="176"/>
        <v>23.600000000000023</v>
      </c>
      <c r="AC185" s="289">
        <f t="shared" si="177"/>
        <v>2.565188650038476</v>
      </c>
      <c r="AD185" s="308">
        <v>300.27999999999997</v>
      </c>
      <c r="AE185" s="289">
        <v>320.49</v>
      </c>
      <c r="AF185" s="289">
        <f t="shared" si="178"/>
        <v>20.210000000000036</v>
      </c>
      <c r="AG185" s="289">
        <f t="shared" si="179"/>
        <v>2.1967145176812557</v>
      </c>
      <c r="AH185" s="308">
        <v>3.75</v>
      </c>
      <c r="AI185" s="289">
        <v>7.88</v>
      </c>
      <c r="AJ185" s="289">
        <f t="shared" si="180"/>
        <v>4.13</v>
      </c>
      <c r="AK185" s="307">
        <f t="shared" si="181"/>
        <v>0.44890801375673284</v>
      </c>
      <c r="AL185" s="308">
        <v>-28.1</v>
      </c>
      <c r="AM185" s="289">
        <v>-30.4</v>
      </c>
      <c r="AN185" s="289">
        <f t="shared" si="182"/>
        <v>-2.2999999999999972</v>
      </c>
      <c r="AO185" s="307">
        <f t="shared" si="183"/>
        <v>-0.24999719894442718</v>
      </c>
      <c r="AP185" s="308">
        <v>-33.700000000000003</v>
      </c>
      <c r="AQ185" s="289">
        <v>-36.5</v>
      </c>
      <c r="AR185" s="289">
        <f t="shared" si="184"/>
        <v>-2.7999999999999972</v>
      </c>
      <c r="AS185" s="307">
        <f t="shared" si="185"/>
        <v>-0.30434441610625923</v>
      </c>
      <c r="AT185" s="308">
        <v>11.6</v>
      </c>
      <c r="AU185" s="289">
        <v>12.6</v>
      </c>
      <c r="AV185" s="289">
        <f t="shared" si="186"/>
        <v>1</v>
      </c>
      <c r="AW185" s="307">
        <f t="shared" si="187"/>
        <v>0.10869443432366413</v>
      </c>
      <c r="AX185" s="308">
        <v>28267</v>
      </c>
      <c r="AY185" s="289">
        <v>30190</v>
      </c>
      <c r="AZ185" s="289">
        <f t="shared" si="188"/>
        <v>1923</v>
      </c>
      <c r="BA185" s="307">
        <f t="shared" si="189"/>
        <v>209.01939720440612</v>
      </c>
      <c r="BB185" s="308">
        <v>10.199999999999999</v>
      </c>
      <c r="BC185" s="289">
        <v>11.1</v>
      </c>
      <c r="BD185" s="289">
        <f t="shared" si="190"/>
        <v>0.90000000000000036</v>
      </c>
      <c r="BE185" s="307">
        <f t="shared" si="191"/>
        <v>9.7824990891297744E-2</v>
      </c>
      <c r="BF185" s="308">
        <v>0</v>
      </c>
      <c r="BG185" s="289">
        <v>0</v>
      </c>
      <c r="BH185" s="289">
        <f t="shared" si="192"/>
        <v>0</v>
      </c>
      <c r="BI185" s="307">
        <f t="shared" si="193"/>
        <v>0</v>
      </c>
      <c r="BJ185" s="281">
        <v>57.236209000000002</v>
      </c>
      <c r="BK185" s="281">
        <v>54.346744999999999</v>
      </c>
      <c r="BL185" s="281">
        <f t="shared" si="194"/>
        <v>-2.8894640000000038</v>
      </c>
      <c r="BM185" s="408">
        <v>0</v>
      </c>
      <c r="BN185" s="458">
        <v>0</v>
      </c>
      <c r="BO185" s="458">
        <f t="shared" si="195"/>
        <v>0</v>
      </c>
      <c r="BP185" s="408">
        <v>10.199999999999999</v>
      </c>
      <c r="BQ185" s="458">
        <v>11.1</v>
      </c>
      <c r="BR185" s="458">
        <f t="shared" si="196"/>
        <v>0.90000000000000036</v>
      </c>
      <c r="BS185" s="281"/>
      <c r="BT185" s="281"/>
      <c r="BU185" s="281"/>
      <c r="BV185" s="281"/>
      <c r="BW185" s="298" t="s">
        <v>713</v>
      </c>
      <c r="BX185" s="422">
        <v>7183.2269938999998</v>
      </c>
      <c r="BY185" s="422">
        <v>21.347157209999999</v>
      </c>
      <c r="BZ185" s="422">
        <v>596.71736473999999</v>
      </c>
      <c r="CA185" s="422">
        <v>491.74400000000003</v>
      </c>
      <c r="CB185" s="422">
        <v>7.00261216</v>
      </c>
      <c r="CC185" s="422">
        <v>6.9681745599999996</v>
      </c>
      <c r="CD185" s="422">
        <v>0.21546177999999999</v>
      </c>
      <c r="CE185" s="422">
        <v>9.1977460799999999</v>
      </c>
      <c r="CF185" s="422">
        <v>9.1779710600000008</v>
      </c>
      <c r="CG185" s="422">
        <v>0.27738001000000001</v>
      </c>
      <c r="CH185" s="422">
        <v>0.49421263999999998</v>
      </c>
      <c r="CI185" s="422">
        <v>7.7389120000000006E-2</v>
      </c>
    </row>
    <row r="186" spans="1:87" ht="15" customHeight="1" x14ac:dyDescent="0.2">
      <c r="A186" s="423">
        <v>62009040</v>
      </c>
      <c r="B186" s="297" t="s">
        <v>620</v>
      </c>
      <c r="C186" s="297" t="s">
        <v>626</v>
      </c>
      <c r="D186" s="326" t="s">
        <v>920</v>
      </c>
      <c r="E186" s="283" t="s">
        <v>921</v>
      </c>
      <c r="F186" s="310" t="str">
        <f t="shared" si="147"/>
        <v>09/23/20</v>
      </c>
      <c r="G186" s="298" t="s">
        <v>922</v>
      </c>
      <c r="H186" s="298" t="s">
        <v>775</v>
      </c>
      <c r="I186" s="306"/>
      <c r="J186" s="299">
        <v>36.519759000000001</v>
      </c>
      <c r="K186" s="299">
        <v>32.632925</v>
      </c>
      <c r="L186" s="299">
        <v>29.371079999999999</v>
      </c>
      <c r="M186" s="299">
        <v>36.418281</v>
      </c>
      <c r="N186" s="284">
        <v>3875</v>
      </c>
      <c r="O186" s="284">
        <v>28.39</v>
      </c>
      <c r="P186" s="284">
        <v>0.20169999999999999</v>
      </c>
      <c r="Q186" s="284">
        <v>1.932E-2</v>
      </c>
      <c r="R186" s="285">
        <v>3.5915237800000002</v>
      </c>
      <c r="S186" s="285">
        <f t="shared" si="173"/>
        <v>12.791626860000001</v>
      </c>
      <c r="T186" s="314">
        <v>97.167786000000007</v>
      </c>
      <c r="U186" s="314">
        <v>95.973005999999998</v>
      </c>
      <c r="V186" s="289">
        <v>34242</v>
      </c>
      <c r="W186" s="289">
        <v>35147</v>
      </c>
      <c r="X186" s="289">
        <f t="shared" si="174"/>
        <v>905</v>
      </c>
      <c r="Y186" s="289">
        <f t="shared" si="175"/>
        <v>251.98218233710259</v>
      </c>
      <c r="Z186" s="308">
        <v>1056</v>
      </c>
      <c r="AA186" s="289">
        <v>1101.2</v>
      </c>
      <c r="AB186" s="289">
        <f t="shared" si="176"/>
        <v>45.200000000000045</v>
      </c>
      <c r="AC186" s="289">
        <f t="shared" si="177"/>
        <v>12.585187449322706</v>
      </c>
      <c r="AD186" s="308">
        <v>872.7</v>
      </c>
      <c r="AE186" s="289">
        <v>913.105414</v>
      </c>
      <c r="AF186" s="289">
        <f t="shared" si="178"/>
        <v>40.405413999999951</v>
      </c>
      <c r="AG186" s="289">
        <f t="shared" si="179"/>
        <v>11.250214804369177</v>
      </c>
      <c r="AH186" s="308">
        <v>-13.29</v>
      </c>
      <c r="AI186" s="289">
        <v>-12.6</v>
      </c>
      <c r="AJ186" s="289">
        <f t="shared" si="180"/>
        <v>0.6899999999999995</v>
      </c>
      <c r="AK186" s="307">
        <f t="shared" si="181"/>
        <v>0.19211901194762504</v>
      </c>
      <c r="AL186" s="308">
        <v>1175.3</v>
      </c>
      <c r="AM186" s="289">
        <v>1415.7541839999999</v>
      </c>
      <c r="AN186" s="289">
        <f t="shared" si="182"/>
        <v>240.45418399999994</v>
      </c>
      <c r="AO186" s="307">
        <f t="shared" si="183"/>
        <v>66.950464128626749</v>
      </c>
      <c r="AP186" s="308">
        <v>-65.5</v>
      </c>
      <c r="AQ186" s="289">
        <v>-68.5</v>
      </c>
      <c r="AR186" s="289">
        <f t="shared" si="184"/>
        <v>-3</v>
      </c>
      <c r="AS186" s="307">
        <f t="shared" si="185"/>
        <v>-0.8353000519461965</v>
      </c>
      <c r="AT186" s="308">
        <v>68</v>
      </c>
      <c r="AU186" s="289">
        <v>68.900000000000006</v>
      </c>
      <c r="AV186" s="289">
        <f t="shared" si="186"/>
        <v>0.90000000000000568</v>
      </c>
      <c r="AW186" s="307">
        <f t="shared" si="187"/>
        <v>0.25059001558386051</v>
      </c>
      <c r="AX186" s="308">
        <v>-1937</v>
      </c>
      <c r="AY186" s="289">
        <v>-1033</v>
      </c>
      <c r="AZ186" s="289">
        <f t="shared" si="188"/>
        <v>904</v>
      </c>
      <c r="BA186" s="307">
        <f t="shared" si="189"/>
        <v>251.70374898645386</v>
      </c>
      <c r="BB186" s="308">
        <v>41252.800000000003</v>
      </c>
      <c r="BC186" s="289">
        <v>41253.4</v>
      </c>
      <c r="BD186" s="289">
        <f t="shared" si="190"/>
        <v>0.59999999999854481</v>
      </c>
      <c r="BE186" s="307">
        <f t="shared" si="191"/>
        <v>0.16706001038883411</v>
      </c>
      <c r="BF186" s="308">
        <v>-41108.300000000003</v>
      </c>
      <c r="BG186" s="289">
        <v>-41108.300000000003</v>
      </c>
      <c r="BH186" s="289">
        <f t="shared" si="192"/>
        <v>0</v>
      </c>
      <c r="BI186" s="307">
        <f t="shared" si="193"/>
        <v>0</v>
      </c>
      <c r="BJ186" s="281">
        <v>97.167786000000007</v>
      </c>
      <c r="BK186" s="281">
        <v>95.973005999999998</v>
      </c>
      <c r="BL186" s="281">
        <f t="shared" si="194"/>
        <v>-1.1947800000000086</v>
      </c>
      <c r="BM186" s="408">
        <v>-41108.300000000003</v>
      </c>
      <c r="BN186" s="458">
        <v>-41108.300000000003</v>
      </c>
      <c r="BO186" s="458">
        <f t="shared" si="195"/>
        <v>0</v>
      </c>
      <c r="BP186" s="408">
        <v>41252.800000000003</v>
      </c>
      <c r="BQ186" s="458">
        <v>41253.4</v>
      </c>
      <c r="BR186" s="458">
        <f t="shared" si="196"/>
        <v>0.59999999999854481</v>
      </c>
      <c r="BS186" s="281"/>
      <c r="BT186" s="281"/>
      <c r="BU186" s="281"/>
      <c r="BV186" s="281"/>
      <c r="BW186" s="298" t="s">
        <v>713</v>
      </c>
      <c r="BX186" s="422">
        <v>2201.1438856999998</v>
      </c>
      <c r="BY186" s="422">
        <v>-1.12561394</v>
      </c>
      <c r="BZ186" s="422">
        <v>2025.71657959</v>
      </c>
      <c r="CA186" s="422">
        <v>2048.7779092400001</v>
      </c>
      <c r="CB186" s="422">
        <v>2.9413405300000002</v>
      </c>
      <c r="CC186" s="422">
        <v>2.9658270899999999</v>
      </c>
      <c r="CD186" s="422">
        <v>1.3864E-2</v>
      </c>
      <c r="CE186" s="422">
        <v>3.5914781499999999</v>
      </c>
      <c r="CF186" s="422">
        <v>3.5909802900000001</v>
      </c>
      <c r="CG186" s="422">
        <v>-0.84647620000000001</v>
      </c>
      <c r="CH186" s="422">
        <v>-0.82562349000000002</v>
      </c>
      <c r="CI186" s="422">
        <v>0.59140219999999999</v>
      </c>
    </row>
    <row r="187" spans="1:87" ht="15" customHeight="1" x14ac:dyDescent="0.2">
      <c r="A187" s="457" t="s">
        <v>906</v>
      </c>
      <c r="B187" s="334"/>
      <c r="C187" s="334"/>
      <c r="D187" s="335"/>
      <c r="E187" s="334"/>
      <c r="F187" s="334"/>
      <c r="G187" s="335"/>
      <c r="H187" s="335"/>
      <c r="I187" s="335"/>
      <c r="J187" s="335"/>
      <c r="K187" s="335"/>
      <c r="L187" s="335"/>
      <c r="M187" s="335"/>
      <c r="N187" s="335"/>
      <c r="O187" s="335"/>
      <c r="P187" s="336"/>
      <c r="Q187" s="337"/>
      <c r="R187" s="334"/>
      <c r="S187" s="334"/>
      <c r="T187" s="334"/>
      <c r="U187" s="334"/>
      <c r="V187" s="341"/>
      <c r="W187" s="341"/>
      <c r="X187" s="334"/>
      <c r="Y187" s="334"/>
      <c r="Z187" s="341"/>
      <c r="AA187" s="341"/>
      <c r="AB187" s="334"/>
      <c r="AC187" s="334"/>
      <c r="AD187" s="341"/>
      <c r="AE187" s="341"/>
      <c r="AF187" s="334"/>
      <c r="AG187" s="334"/>
      <c r="AH187" s="334"/>
      <c r="AI187" s="334"/>
      <c r="AJ187" s="334"/>
      <c r="AK187" s="334"/>
      <c r="AL187" s="341"/>
      <c r="AM187" s="341"/>
      <c r="AN187" s="334"/>
      <c r="AO187" s="334"/>
      <c r="AP187" s="334"/>
      <c r="AQ187" s="334"/>
      <c r="AR187" s="334"/>
      <c r="AS187" s="334"/>
      <c r="AT187" s="334"/>
      <c r="AU187" s="334"/>
      <c r="AV187" s="334"/>
      <c r="AW187" s="334"/>
      <c r="AX187" s="334"/>
      <c r="AY187" s="334"/>
      <c r="AZ187" s="334"/>
      <c r="BA187" s="334"/>
      <c r="BB187" s="334"/>
      <c r="BC187" s="334"/>
      <c r="BD187" s="334"/>
      <c r="BE187" s="334"/>
      <c r="BF187" s="334"/>
      <c r="BG187" s="334"/>
      <c r="BH187" s="334"/>
      <c r="BI187" s="334"/>
      <c r="BJ187" s="334"/>
      <c r="BK187" s="334"/>
      <c r="BL187" s="338"/>
    </row>
    <row r="188" spans="1:87" ht="15" customHeight="1" x14ac:dyDescent="0.2">
      <c r="A188" s="297">
        <v>62009040</v>
      </c>
      <c r="B188" s="297" t="s">
        <v>607</v>
      </c>
      <c r="C188" s="297" t="s">
        <v>626</v>
      </c>
      <c r="D188" s="326" t="s">
        <v>920</v>
      </c>
      <c r="E188" s="283" t="s">
        <v>921</v>
      </c>
      <c r="F188" s="310" t="str">
        <f t="shared" si="147"/>
        <v>09/23/20</v>
      </c>
      <c r="G188" s="298" t="s">
        <v>922</v>
      </c>
      <c r="H188" s="298" t="s">
        <v>775</v>
      </c>
      <c r="I188" s="306"/>
      <c r="J188" s="299">
        <v>36.519759000000001</v>
      </c>
      <c r="K188" s="299">
        <v>32.632925</v>
      </c>
      <c r="L188" s="299">
        <v>29.371079999999999</v>
      </c>
      <c r="M188" s="299">
        <v>36.418281</v>
      </c>
      <c r="N188" s="284">
        <v>3875</v>
      </c>
      <c r="O188" s="284">
        <v>28.39</v>
      </c>
      <c r="P188" s="284">
        <v>0.20169999999999999</v>
      </c>
      <c r="Q188" s="284">
        <v>1.932E-2</v>
      </c>
      <c r="R188" s="285">
        <v>3.5915237800000002</v>
      </c>
      <c r="S188" s="285">
        <f>R188+R187</f>
        <v>3.5915237800000002</v>
      </c>
      <c r="T188" s="314">
        <v>97.167786000000007</v>
      </c>
      <c r="U188" s="314">
        <v>95.973005999999998</v>
      </c>
      <c r="V188" s="289">
        <v>34242</v>
      </c>
      <c r="W188" s="289">
        <v>35147</v>
      </c>
      <c r="X188" s="289">
        <f>W188-V188</f>
        <v>905</v>
      </c>
      <c r="Y188" s="289">
        <f t="shared" ref="Y188:Y210" si="197">X188/$R188</f>
        <v>251.98218233710259</v>
      </c>
      <c r="Z188" s="308">
        <v>1056</v>
      </c>
      <c r="AA188" s="289">
        <v>1101.2</v>
      </c>
      <c r="AB188" s="289">
        <f>AA188-Z188</f>
        <v>45.200000000000045</v>
      </c>
      <c r="AC188" s="289">
        <f t="shared" ref="AC188:AC210" si="198">AB188/$R188</f>
        <v>12.585187449322706</v>
      </c>
      <c r="AD188" s="308">
        <v>872.7</v>
      </c>
      <c r="AE188" s="289">
        <v>913.105414</v>
      </c>
      <c r="AF188" s="289">
        <f>AE188-AD188</f>
        <v>40.405413999999951</v>
      </c>
      <c r="AG188" s="289">
        <f t="shared" ref="AG188:AG210" si="199">AF188/$R188</f>
        <v>11.250214804369177</v>
      </c>
      <c r="AH188" s="308">
        <v>-13.29</v>
      </c>
      <c r="AI188" s="289">
        <v>-12.6</v>
      </c>
      <c r="AJ188" s="289">
        <f>AI188-AH188</f>
        <v>0.6899999999999995</v>
      </c>
      <c r="AK188" s="307">
        <f t="shared" ref="AK188:AK210" si="200">AJ188/$R188</f>
        <v>0.19211901194762504</v>
      </c>
      <c r="AL188" s="308">
        <v>1175.3</v>
      </c>
      <c r="AM188" s="289">
        <v>1415.7541839999999</v>
      </c>
      <c r="AN188" s="289">
        <f>AM188-AL188</f>
        <v>240.45418399999994</v>
      </c>
      <c r="AO188" s="307">
        <f t="shared" ref="AO188:AO210" si="201">AN188/$R188</f>
        <v>66.950464128626749</v>
      </c>
      <c r="AP188" s="308">
        <v>-65.5</v>
      </c>
      <c r="AQ188" s="289">
        <v>-68.5</v>
      </c>
      <c r="AR188" s="289">
        <f>AQ188-AP188</f>
        <v>-3</v>
      </c>
      <c r="AS188" s="307">
        <f t="shared" ref="AS188:AS210" si="202">AR188/$R188</f>
        <v>-0.8353000519461965</v>
      </c>
      <c r="AT188" s="308">
        <v>68</v>
      </c>
      <c r="AU188" s="289">
        <v>68.900000000000006</v>
      </c>
      <c r="AV188" s="289">
        <f>AU188-AT188</f>
        <v>0.90000000000000568</v>
      </c>
      <c r="AW188" s="307">
        <f t="shared" ref="AW188:AW210" si="203">AV188/$R188</f>
        <v>0.25059001558386051</v>
      </c>
      <c r="AX188" s="308">
        <v>-1937</v>
      </c>
      <c r="AY188" s="289">
        <v>-1033</v>
      </c>
      <c r="AZ188" s="289">
        <f>AY188-AX188</f>
        <v>904</v>
      </c>
      <c r="BA188" s="307">
        <f t="shared" ref="BA188:BA210" si="204">AZ188/$R188</f>
        <v>251.70374898645386</v>
      </c>
      <c r="BB188" s="308">
        <v>41252.800000000003</v>
      </c>
      <c r="BC188" s="289">
        <v>41253.4</v>
      </c>
      <c r="BD188" s="289">
        <f>BC188-BB188</f>
        <v>0.59999999999854481</v>
      </c>
      <c r="BE188" s="307">
        <f t="shared" ref="BE188:BE210" si="205">BD188/$R188</f>
        <v>0.16706001038883411</v>
      </c>
      <c r="BF188" s="308">
        <v>-41108.300000000003</v>
      </c>
      <c r="BG188" s="289">
        <v>-41108.300000000003</v>
      </c>
      <c r="BH188" s="289">
        <f>BG188-BF188</f>
        <v>0</v>
      </c>
      <c r="BI188" s="307">
        <f t="shared" ref="BI188:BI210" si="206">BH188/$R188</f>
        <v>0</v>
      </c>
      <c r="BJ188" s="281">
        <v>97.167786000000007</v>
      </c>
      <c r="BK188" s="281">
        <v>95.973005999999998</v>
      </c>
      <c r="BL188" s="281">
        <f>BK188-BJ188</f>
        <v>-1.1947800000000086</v>
      </c>
      <c r="BM188" s="408">
        <v>-41108.300000000003</v>
      </c>
      <c r="BN188" s="458">
        <v>-41108.300000000003</v>
      </c>
      <c r="BO188" s="458">
        <f>BN188-BM188</f>
        <v>0</v>
      </c>
      <c r="BP188" s="408">
        <v>41252.800000000003</v>
      </c>
      <c r="BQ188" s="458">
        <v>41253.4</v>
      </c>
      <c r="BR188" s="458">
        <f>BQ188-BP188</f>
        <v>0.59999999999854481</v>
      </c>
      <c r="BS188" s="281"/>
      <c r="BT188" s="281"/>
      <c r="BU188" s="281"/>
      <c r="BV188" s="281"/>
      <c r="BW188" s="298" t="s">
        <v>713</v>
      </c>
      <c r="BX188" s="422">
        <v>2201.1438856999998</v>
      </c>
      <c r="BY188" s="422">
        <v>-1.12561394</v>
      </c>
      <c r="BZ188" s="422">
        <v>2025.71657959</v>
      </c>
      <c r="CA188" s="422">
        <v>2048.7779092400001</v>
      </c>
      <c r="CB188" s="422">
        <v>2.9413405300000002</v>
      </c>
      <c r="CC188" s="422">
        <v>2.9658270899999999</v>
      </c>
      <c r="CD188" s="422">
        <v>1.3864E-2</v>
      </c>
      <c r="CE188" s="422">
        <v>3.5914781499999999</v>
      </c>
      <c r="CF188" s="422">
        <v>3.5909802900000001</v>
      </c>
      <c r="CG188" s="422">
        <v>-0.84647620000000001</v>
      </c>
      <c r="CH188" s="422">
        <v>-0.82562349000000002</v>
      </c>
      <c r="CI188" s="422">
        <v>0.59140219999999999</v>
      </c>
    </row>
    <row r="189" spans="1:87" ht="15" customHeight="1" x14ac:dyDescent="0.2">
      <c r="A189" s="297">
        <f>A188</f>
        <v>62009040</v>
      </c>
      <c r="B189" s="297" t="s">
        <v>608</v>
      </c>
      <c r="C189" s="297" t="s">
        <v>627</v>
      </c>
      <c r="D189" s="326" t="s">
        <v>920</v>
      </c>
      <c r="E189" s="283" t="s">
        <v>921</v>
      </c>
      <c r="F189" s="310" t="str">
        <f t="shared" si="147"/>
        <v>09/23/20</v>
      </c>
      <c r="G189" s="298" t="s">
        <v>922</v>
      </c>
      <c r="H189" s="298" t="s">
        <v>775</v>
      </c>
      <c r="I189" s="306"/>
      <c r="J189" s="299">
        <v>33.673368000000004</v>
      </c>
      <c r="K189" s="299">
        <v>45.961483999999999</v>
      </c>
      <c r="L189" s="299">
        <v>29.363807000000001</v>
      </c>
      <c r="M189" s="299">
        <v>38.040374999999997</v>
      </c>
      <c r="N189" s="284">
        <v>3875</v>
      </c>
      <c r="O189" s="284">
        <v>28.39</v>
      </c>
      <c r="P189" s="284">
        <v>0.20169999999999999</v>
      </c>
      <c r="Q189" s="284">
        <v>1.932E-2</v>
      </c>
      <c r="R189" s="285">
        <v>3.8540823500000001</v>
      </c>
      <c r="S189" s="285">
        <f>R189+R188</f>
        <v>7.4456061299999998</v>
      </c>
      <c r="T189" s="314">
        <v>95.973005999999998</v>
      </c>
      <c r="U189" s="314">
        <v>94.973541999999995</v>
      </c>
      <c r="V189" s="289">
        <v>35147</v>
      </c>
      <c r="W189" s="289">
        <v>35901</v>
      </c>
      <c r="X189" s="289">
        <f>W189-V189</f>
        <v>754</v>
      </c>
      <c r="Y189" s="289">
        <f t="shared" si="197"/>
        <v>195.63671232920075</v>
      </c>
      <c r="Z189" s="308">
        <v>1101.3</v>
      </c>
      <c r="AA189" s="289">
        <v>1163.5999999999999</v>
      </c>
      <c r="AB189" s="289">
        <f>AA189-Z189</f>
        <v>62.299999999999955</v>
      </c>
      <c r="AC189" s="289">
        <f t="shared" si="198"/>
        <v>16.164677955051985</v>
      </c>
      <c r="AD189" s="308">
        <v>913.11541399999999</v>
      </c>
      <c r="AE189" s="289">
        <v>968.61499700000002</v>
      </c>
      <c r="AF189" s="289">
        <f>AE189-AD189</f>
        <v>55.49958300000003</v>
      </c>
      <c r="AG189" s="289">
        <f t="shared" si="199"/>
        <v>14.400206835227594</v>
      </c>
      <c r="AH189" s="308">
        <v>-12.6</v>
      </c>
      <c r="AI189" s="289">
        <v>-11.64</v>
      </c>
      <c r="AJ189" s="289">
        <f>AI189-AH189</f>
        <v>0.95999999999999908</v>
      </c>
      <c r="AK189" s="307">
        <f t="shared" si="200"/>
        <v>0.24908653028651528</v>
      </c>
      <c r="AL189" s="308">
        <v>1415.8</v>
      </c>
      <c r="AM189" s="289">
        <v>1608</v>
      </c>
      <c r="AN189" s="289">
        <f>AM189-AL189</f>
        <v>192.20000000000005</v>
      </c>
      <c r="AO189" s="307">
        <f t="shared" si="201"/>
        <v>49.869199084446144</v>
      </c>
      <c r="AP189" s="308">
        <v>-68.5</v>
      </c>
      <c r="AQ189" s="289">
        <v>-73.8</v>
      </c>
      <c r="AR189" s="289">
        <f>AQ189-AP189</f>
        <v>-5.2999999999999972</v>
      </c>
      <c r="AS189" s="307">
        <f t="shared" si="202"/>
        <v>-1.3751652192901371</v>
      </c>
      <c r="AT189" s="308">
        <v>68.900000000000006</v>
      </c>
      <c r="AU189" s="289">
        <v>70.2</v>
      </c>
      <c r="AV189" s="289">
        <f>AU189-AT189</f>
        <v>1.2999999999999972</v>
      </c>
      <c r="AW189" s="307">
        <f t="shared" si="203"/>
        <v>0.33730467642965573</v>
      </c>
      <c r="AX189" s="308">
        <v>-1033</v>
      </c>
      <c r="AY189" s="289">
        <v>-283</v>
      </c>
      <c r="AZ189" s="289">
        <f>AY189-AX189</f>
        <v>750</v>
      </c>
      <c r="BA189" s="307">
        <f t="shared" si="204"/>
        <v>194.59885178634028</v>
      </c>
      <c r="BB189" s="308">
        <v>41253.4</v>
      </c>
      <c r="BC189" s="289">
        <v>41254.5</v>
      </c>
      <c r="BD189" s="289">
        <f>BC189-BB189</f>
        <v>1.0999999999985448</v>
      </c>
      <c r="BE189" s="307">
        <f t="shared" si="205"/>
        <v>0.28541164928625479</v>
      </c>
      <c r="BF189" s="308">
        <v>-41108.300000000003</v>
      </c>
      <c r="BG189" s="289">
        <v>-41108.300000000003</v>
      </c>
      <c r="BH189" s="289">
        <f>BG189-BF189</f>
        <v>0</v>
      </c>
      <c r="BI189" s="307">
        <f t="shared" si="206"/>
        <v>0</v>
      </c>
      <c r="BJ189" s="281">
        <v>95.973005999999998</v>
      </c>
      <c r="BK189" s="281">
        <v>94.973541999999995</v>
      </c>
      <c r="BL189" s="281">
        <f>BK189-BJ189</f>
        <v>-0.99946400000000324</v>
      </c>
      <c r="BM189" s="408">
        <v>-41108.300000000003</v>
      </c>
      <c r="BN189" s="458">
        <v>-41108.300000000003</v>
      </c>
      <c r="BO189" s="458">
        <f>BN189-BM189</f>
        <v>0</v>
      </c>
      <c r="BP189" s="408">
        <v>41253.4</v>
      </c>
      <c r="BQ189" s="458">
        <v>41254.5</v>
      </c>
      <c r="BR189" s="458">
        <f>BQ189-BP189</f>
        <v>1.0999999999985448</v>
      </c>
      <c r="BS189" s="281"/>
      <c r="BT189" s="281"/>
      <c r="BU189" s="281"/>
      <c r="BV189" s="281"/>
      <c r="BW189" s="298" t="s">
        <v>713</v>
      </c>
      <c r="BX189" s="422">
        <v>1349.45923468</v>
      </c>
      <c r="BY189" s="422">
        <v>-1.1830683</v>
      </c>
      <c r="BZ189" s="422">
        <v>3375.6775892400001</v>
      </c>
      <c r="CA189" s="422">
        <v>3416.0922943599999</v>
      </c>
      <c r="CB189" s="422">
        <v>2.7093329700000002</v>
      </c>
      <c r="CC189" s="422">
        <v>2.7416195600000002</v>
      </c>
      <c r="CD189" s="422">
        <v>-0.15372246000000001</v>
      </c>
      <c r="CE189" s="422">
        <v>3.8538964500000001</v>
      </c>
      <c r="CF189" s="422">
        <v>3.8598298799999999</v>
      </c>
      <c r="CG189" s="422">
        <v>-1.03612613</v>
      </c>
      <c r="CH189" s="422">
        <v>-1.1776466800000001</v>
      </c>
      <c r="CI189" s="422">
        <v>0.71727381999999995</v>
      </c>
    </row>
    <row r="190" spans="1:87" ht="15" customHeight="1" x14ac:dyDescent="0.2">
      <c r="A190" s="297">
        <f>A189</f>
        <v>62009040</v>
      </c>
      <c r="B190" s="297" t="s">
        <v>609</v>
      </c>
      <c r="C190" s="297" t="s">
        <v>628</v>
      </c>
      <c r="D190" s="326" t="s">
        <v>920</v>
      </c>
      <c r="E190" s="283" t="s">
        <v>921</v>
      </c>
      <c r="F190" s="310" t="str">
        <f t="shared" si="147"/>
        <v>09/23/20</v>
      </c>
      <c r="G190" s="298" t="s">
        <v>922</v>
      </c>
      <c r="H190" s="298" t="s">
        <v>775</v>
      </c>
      <c r="I190" s="306"/>
      <c r="J190" s="300">
        <f>AVERAGE(J188:J189)</f>
        <v>35.096563500000002</v>
      </c>
      <c r="K190" s="300">
        <f>AVERAGE(K188:K189)</f>
        <v>39.297204499999999</v>
      </c>
      <c r="L190" s="300">
        <f>AVERAGE(L188:L189)</f>
        <v>29.3674435</v>
      </c>
      <c r="M190" s="300">
        <f>AVERAGE(M188:M189)</f>
        <v>37.229327999999995</v>
      </c>
      <c r="N190" s="286"/>
      <c r="O190" s="284"/>
      <c r="P190" s="302"/>
      <c r="Q190" s="301"/>
      <c r="R190" s="287">
        <f>R189+R188</f>
        <v>7.4456061299999998</v>
      </c>
      <c r="S190" s="287">
        <f>S189</f>
        <v>7.4456061299999998</v>
      </c>
      <c r="T190" s="315">
        <f>T188</f>
        <v>97.167786000000007</v>
      </c>
      <c r="U190" s="315">
        <f>U189</f>
        <v>94.973541999999995</v>
      </c>
      <c r="V190" s="290">
        <f>V188</f>
        <v>34242</v>
      </c>
      <c r="W190" s="290">
        <f>W189</f>
        <v>35901</v>
      </c>
      <c r="X190" s="290">
        <f>SUM(X188:X189)</f>
        <v>1659</v>
      </c>
      <c r="Y190" s="290">
        <f t="shared" si="197"/>
        <v>222.81597643414426</v>
      </c>
      <c r="Z190" s="290">
        <f>Z188</f>
        <v>1056</v>
      </c>
      <c r="AA190" s="290">
        <f>AA189</f>
        <v>1163.5999999999999</v>
      </c>
      <c r="AB190" s="290">
        <f>SUM(AB188:AB189)</f>
        <v>107.5</v>
      </c>
      <c r="AC190" s="290">
        <f t="shared" si="198"/>
        <v>14.438045489252868</v>
      </c>
      <c r="AD190" s="290">
        <f>AD188</f>
        <v>872.7</v>
      </c>
      <c r="AE190" s="290">
        <f>AE189</f>
        <v>968.61499700000002</v>
      </c>
      <c r="AF190" s="290">
        <f>SUM(AF188:AF189)</f>
        <v>95.90499699999998</v>
      </c>
      <c r="AG190" s="290">
        <f t="shared" si="199"/>
        <v>12.880750784489857</v>
      </c>
      <c r="AH190" s="290">
        <f>AH188</f>
        <v>-13.29</v>
      </c>
      <c r="AI190" s="290">
        <f>AI189</f>
        <v>-11.64</v>
      </c>
      <c r="AJ190" s="290">
        <f>SUM(AJ188:AJ189)</f>
        <v>1.6499999999999986</v>
      </c>
      <c r="AK190" s="288">
        <f t="shared" si="200"/>
        <v>0.22160720983504384</v>
      </c>
      <c r="AL190" s="290">
        <f>AL188</f>
        <v>1175.3</v>
      </c>
      <c r="AM190" s="290">
        <f>AM189</f>
        <v>1608</v>
      </c>
      <c r="AN190" s="290">
        <f>SUM(AN188:AN189)</f>
        <v>432.65418399999999</v>
      </c>
      <c r="AO190" s="288">
        <f t="shared" si="201"/>
        <v>58.108658508907723</v>
      </c>
      <c r="AP190" s="290">
        <f>AP188</f>
        <v>-65.5</v>
      </c>
      <c r="AQ190" s="290">
        <f>AQ189</f>
        <v>-73.8</v>
      </c>
      <c r="AR190" s="290">
        <f>SUM(AR188:AR189)</f>
        <v>-8.2999999999999972</v>
      </c>
      <c r="AS190" s="288">
        <f t="shared" si="202"/>
        <v>-1.114751419170221</v>
      </c>
      <c r="AT190" s="290">
        <f>AT188</f>
        <v>68</v>
      </c>
      <c r="AU190" s="290">
        <f>AU189</f>
        <v>70.2</v>
      </c>
      <c r="AV190" s="290">
        <f>SUM(AV188:AV189)</f>
        <v>2.2000000000000028</v>
      </c>
      <c r="AW190" s="288">
        <f t="shared" si="203"/>
        <v>0.29547627978005908</v>
      </c>
      <c r="AX190" s="290">
        <f>AX188</f>
        <v>-1937</v>
      </c>
      <c r="AY190" s="290">
        <f>AY189</f>
        <v>-283</v>
      </c>
      <c r="AZ190" s="290">
        <f>SUM(AZ188:AZ189)</f>
        <v>1654</v>
      </c>
      <c r="BA190" s="288">
        <f t="shared" si="204"/>
        <v>222.14443943464411</v>
      </c>
      <c r="BB190" s="290">
        <f>BB188</f>
        <v>41252.800000000003</v>
      </c>
      <c r="BC190" s="290">
        <f>BC189</f>
        <v>41254.5</v>
      </c>
      <c r="BD190" s="290">
        <f>SUM(BD188:BD189)</f>
        <v>1.6999999999970896</v>
      </c>
      <c r="BE190" s="288">
        <f t="shared" si="205"/>
        <v>0.22832257982965445</v>
      </c>
      <c r="BF190" s="290">
        <f>BF188</f>
        <v>-41108.300000000003</v>
      </c>
      <c r="BG190" s="290">
        <f>BG189</f>
        <v>-41108.300000000003</v>
      </c>
      <c r="BH190" s="290">
        <f>SUM(BH188:BH189)</f>
        <v>0</v>
      </c>
      <c r="BI190" s="288">
        <f t="shared" si="206"/>
        <v>0</v>
      </c>
      <c r="BJ190" s="282"/>
      <c r="BK190" s="282"/>
      <c r="BL190" s="282">
        <f>SUM(BL188:BL189)</f>
        <v>-2.1942440000000119</v>
      </c>
      <c r="BM190" s="459">
        <f>BM188</f>
        <v>-41108.300000000003</v>
      </c>
      <c r="BN190" s="459">
        <f>BN189</f>
        <v>-41108.300000000003</v>
      </c>
      <c r="BO190" s="459">
        <f>SUM(BO188:BO189)</f>
        <v>0</v>
      </c>
      <c r="BP190" s="459">
        <f>BP188</f>
        <v>41252.800000000003</v>
      </c>
      <c r="BQ190" s="459">
        <f>BQ189</f>
        <v>41254.5</v>
      </c>
      <c r="BR190" s="459">
        <f>SUM(BR188:BR189)</f>
        <v>1.6999999999970896</v>
      </c>
      <c r="BS190" s="282"/>
      <c r="BT190" s="282"/>
      <c r="BU190" s="282"/>
      <c r="BV190" s="282"/>
      <c r="BW190" s="298" t="s">
        <v>713</v>
      </c>
    </row>
    <row r="191" spans="1:87" ht="15" customHeight="1" x14ac:dyDescent="0.2">
      <c r="A191" s="297">
        <f t="shared" ref="A191:A197" si="207">A190</f>
        <v>62009040</v>
      </c>
      <c r="B191" s="297" t="s">
        <v>610</v>
      </c>
      <c r="C191" s="297" t="s">
        <v>629</v>
      </c>
      <c r="D191" s="326" t="s">
        <v>920</v>
      </c>
      <c r="E191" s="283" t="s">
        <v>921</v>
      </c>
      <c r="F191" s="310" t="str">
        <f t="shared" si="147"/>
        <v>09/23/20</v>
      </c>
      <c r="G191" s="298" t="s">
        <v>922</v>
      </c>
      <c r="H191" s="298" t="s">
        <v>775</v>
      </c>
      <c r="I191" s="306"/>
      <c r="J191" s="299">
        <v>37.816772999999998</v>
      </c>
      <c r="K191" s="299">
        <v>27.964652000000001</v>
      </c>
      <c r="L191" s="299">
        <v>29.368480999999999</v>
      </c>
      <c r="M191" s="299">
        <v>39.804743000000002</v>
      </c>
      <c r="N191" s="284">
        <v>3875</v>
      </c>
      <c r="O191" s="284">
        <v>28.39</v>
      </c>
      <c r="P191" s="284">
        <v>0.20169999999999999</v>
      </c>
      <c r="Q191" s="284">
        <v>1.932E-2</v>
      </c>
      <c r="R191" s="285">
        <v>10.27750206</v>
      </c>
      <c r="S191" s="285">
        <f>R191+R190</f>
        <v>17.723108189999998</v>
      </c>
      <c r="T191" s="314">
        <v>94.965912000000003</v>
      </c>
      <c r="U191" s="314">
        <v>92.095693999999995</v>
      </c>
      <c r="V191" s="289">
        <v>35906</v>
      </c>
      <c r="W191" s="289">
        <v>38036</v>
      </c>
      <c r="X191" s="289">
        <f>W191-V191</f>
        <v>2130</v>
      </c>
      <c r="Y191" s="289">
        <f t="shared" si="197"/>
        <v>207.24880302286215</v>
      </c>
      <c r="Z191" s="308">
        <v>1164.848696</v>
      </c>
      <c r="AA191" s="289">
        <v>1222.2</v>
      </c>
      <c r="AB191" s="289">
        <f>AA191-Z191</f>
        <v>57.351304000000027</v>
      </c>
      <c r="AC191" s="289">
        <f t="shared" si="198"/>
        <v>5.5802765754930945</v>
      </c>
      <c r="AD191" s="308">
        <v>969.72487000000001</v>
      </c>
      <c r="AE191" s="289">
        <v>1020.884664</v>
      </c>
      <c r="AF191" s="289">
        <f>AE191-AD191</f>
        <v>51.159794000000034</v>
      </c>
      <c r="AG191" s="289">
        <f t="shared" si="199"/>
        <v>4.9778432250686446</v>
      </c>
      <c r="AH191" s="308">
        <v>-11.62</v>
      </c>
      <c r="AI191" s="289">
        <v>-10.92</v>
      </c>
      <c r="AJ191" s="289">
        <f>AI191-AH191</f>
        <v>0.69999999999999929</v>
      </c>
      <c r="AK191" s="307">
        <f t="shared" si="200"/>
        <v>6.8109935265729282E-2</v>
      </c>
      <c r="AL191" s="308">
        <v>1612.1</v>
      </c>
      <c r="AM191" s="289">
        <v>1771.1</v>
      </c>
      <c r="AN191" s="289">
        <f>AM191-AL191</f>
        <v>159</v>
      </c>
      <c r="AO191" s="307">
        <f t="shared" si="201"/>
        <v>15.470685296072809</v>
      </c>
      <c r="AP191" s="308">
        <v>-73.900000000000006</v>
      </c>
      <c r="AQ191" s="289">
        <v>-78.5</v>
      </c>
      <c r="AR191" s="289">
        <f>AQ191-AP191</f>
        <v>-4.5999999999999943</v>
      </c>
      <c r="AS191" s="307">
        <f t="shared" si="202"/>
        <v>-0.44757957460336373</v>
      </c>
      <c r="AT191" s="308">
        <v>70.3</v>
      </c>
      <c r="AU191" s="289">
        <v>71.400000000000006</v>
      </c>
      <c r="AV191" s="289">
        <f>AU191-AT191</f>
        <v>1.1000000000000085</v>
      </c>
      <c r="AW191" s="307">
        <f t="shared" si="203"/>
        <v>0.10702989827471837</v>
      </c>
      <c r="AX191" s="308">
        <v>-278</v>
      </c>
      <c r="AY191" s="289">
        <v>1850</v>
      </c>
      <c r="AZ191" s="289">
        <f>AY191-AX191</f>
        <v>2128</v>
      </c>
      <c r="BA191" s="307">
        <f t="shared" si="204"/>
        <v>207.05420320781721</v>
      </c>
      <c r="BB191" s="308">
        <v>41254.5</v>
      </c>
      <c r="BC191" s="289">
        <v>41255.5</v>
      </c>
      <c r="BD191" s="289">
        <f>BC191-BB191</f>
        <v>1</v>
      </c>
      <c r="BE191" s="307">
        <f t="shared" si="205"/>
        <v>9.7299907522470502E-2</v>
      </c>
      <c r="BF191" s="308">
        <v>-41108.300000000003</v>
      </c>
      <c r="BG191" s="289">
        <v>-41108.300000000003</v>
      </c>
      <c r="BH191" s="289">
        <f>BG191-BF191</f>
        <v>0</v>
      </c>
      <c r="BI191" s="307">
        <f t="shared" si="206"/>
        <v>0</v>
      </c>
      <c r="BJ191" s="281">
        <v>94.965912000000003</v>
      </c>
      <c r="BK191" s="281">
        <v>92.095693999999995</v>
      </c>
      <c r="BL191" s="281">
        <f>BK191-BJ191</f>
        <v>-2.8702180000000084</v>
      </c>
      <c r="BM191" s="408">
        <v>-41108.300000000003</v>
      </c>
      <c r="BN191" s="458">
        <v>-41108.300000000003</v>
      </c>
      <c r="BO191" s="458">
        <f>BN191-BM191</f>
        <v>0</v>
      </c>
      <c r="BP191" s="408">
        <v>41254.5</v>
      </c>
      <c r="BQ191" s="458">
        <v>41255.5</v>
      </c>
      <c r="BR191" s="458">
        <f>BQ191-BP191</f>
        <v>1</v>
      </c>
      <c r="BS191" s="281"/>
      <c r="BT191" s="281"/>
      <c r="BU191" s="281"/>
      <c r="BV191" s="281"/>
      <c r="BW191" s="298" t="s">
        <v>713</v>
      </c>
      <c r="BX191" s="422">
        <v>1772.7543901199999</v>
      </c>
      <c r="BY191" s="422">
        <v>1.6166068499999999</v>
      </c>
      <c r="BZ191" s="422">
        <v>1327.8364418900001</v>
      </c>
      <c r="CA191" s="422">
        <v>1306.71204547</v>
      </c>
      <c r="CB191" s="422">
        <v>7.3478893000000003</v>
      </c>
      <c r="CC191" s="422">
        <v>7.3153662199999996</v>
      </c>
      <c r="CD191" s="422">
        <v>0.20369688</v>
      </c>
      <c r="CE191" s="422">
        <v>10.27757283</v>
      </c>
      <c r="CF191" s="422">
        <v>10.25668029</v>
      </c>
      <c r="CG191" s="422">
        <v>0.23982259</v>
      </c>
      <c r="CH191" s="422">
        <v>0.44458568999999998</v>
      </c>
      <c r="CI191" s="422">
        <v>0.28264932999999998</v>
      </c>
    </row>
    <row r="192" spans="1:87" ht="15" customHeight="1" x14ac:dyDescent="0.2">
      <c r="A192" s="297">
        <f t="shared" si="207"/>
        <v>62009040</v>
      </c>
      <c r="B192" s="297" t="s">
        <v>611</v>
      </c>
      <c r="C192" s="297" t="s">
        <v>630</v>
      </c>
      <c r="D192" s="326" t="s">
        <v>920</v>
      </c>
      <c r="E192" s="283" t="s">
        <v>921</v>
      </c>
      <c r="F192" s="310" t="str">
        <f t="shared" si="147"/>
        <v>09/23/20</v>
      </c>
      <c r="G192" s="298" t="s">
        <v>922</v>
      </c>
      <c r="H192" s="298" t="s">
        <v>775</v>
      </c>
      <c r="I192" s="306"/>
      <c r="J192" s="299">
        <v>34.095928000000001</v>
      </c>
      <c r="K192" s="299">
        <v>47.948436000000001</v>
      </c>
      <c r="L192" s="299">
        <v>29.362871999999999</v>
      </c>
      <c r="M192" s="299">
        <v>39.894061000000001</v>
      </c>
      <c r="N192" s="284">
        <v>3875</v>
      </c>
      <c r="O192" s="284">
        <v>28.39</v>
      </c>
      <c r="P192" s="284">
        <v>0.20169999999999999</v>
      </c>
      <c r="Q192" s="284">
        <v>1.932E-2</v>
      </c>
      <c r="R192" s="285">
        <v>3.5924008700000001</v>
      </c>
      <c r="S192" s="285">
        <f>R192+R191</f>
        <v>13.86990293</v>
      </c>
      <c r="T192" s="314">
        <v>92.086539000000002</v>
      </c>
      <c r="U192" s="314">
        <v>91.061133999999996</v>
      </c>
      <c r="V192" s="289">
        <v>38044.435854000003</v>
      </c>
      <c r="W192" s="289">
        <v>38812</v>
      </c>
      <c r="X192" s="289">
        <f>W192-V192</f>
        <v>767.56414599999698</v>
      </c>
      <c r="Y192" s="289">
        <f t="shared" si="197"/>
        <v>213.66327806283962</v>
      </c>
      <c r="Z192" s="308">
        <v>1227</v>
      </c>
      <c r="AA192" s="289">
        <v>1271</v>
      </c>
      <c r="AB192" s="289">
        <f>AA192-Z192</f>
        <v>44</v>
      </c>
      <c r="AC192" s="289">
        <f t="shared" si="198"/>
        <v>12.248076312263002</v>
      </c>
      <c r="AD192" s="308">
        <v>1025.1743590000001</v>
      </c>
      <c r="AE192" s="289">
        <v>1064.7</v>
      </c>
      <c r="AF192" s="289">
        <f>AE192-AD192</f>
        <v>39.525640999999951</v>
      </c>
      <c r="AG192" s="289">
        <f t="shared" si="199"/>
        <v>11.002569710434335</v>
      </c>
      <c r="AH192" s="308">
        <v>-9.32</v>
      </c>
      <c r="AI192" s="289">
        <v>-13.09</v>
      </c>
      <c r="AJ192" s="289">
        <f>AI192-AH192</f>
        <v>-3.7699999999999996</v>
      </c>
      <c r="AK192" s="307">
        <f t="shared" si="200"/>
        <v>-1.0494374476643524</v>
      </c>
      <c r="AL192" s="308">
        <v>1773.143523</v>
      </c>
      <c r="AM192" s="289">
        <v>1901.9</v>
      </c>
      <c r="AN192" s="289">
        <f>AM192-AL192</f>
        <v>128.75647700000013</v>
      </c>
      <c r="AO192" s="307">
        <f t="shared" si="201"/>
        <v>35.841344454412216</v>
      </c>
      <c r="AP192" s="308">
        <v>-78.5</v>
      </c>
      <c r="AQ192" s="289">
        <v>-81.599999999999994</v>
      </c>
      <c r="AR192" s="289">
        <f>AQ192-AP192</f>
        <v>-3.0999999999999943</v>
      </c>
      <c r="AS192" s="307">
        <f t="shared" si="202"/>
        <v>-0.86293264927307356</v>
      </c>
      <c r="AT192" s="308">
        <v>71.5</v>
      </c>
      <c r="AU192" s="289">
        <v>72.3</v>
      </c>
      <c r="AV192" s="289">
        <f>AU192-AT192</f>
        <v>0.79999999999999716</v>
      </c>
      <c r="AW192" s="307">
        <f t="shared" si="203"/>
        <v>0.22269229658659925</v>
      </c>
      <c r="AX192" s="308">
        <v>1858</v>
      </c>
      <c r="AY192" s="289">
        <v>2624</v>
      </c>
      <c r="AZ192" s="289">
        <f>AY192-AX192</f>
        <v>766</v>
      </c>
      <c r="BA192" s="307">
        <f t="shared" si="204"/>
        <v>213.22787398166952</v>
      </c>
      <c r="BB192" s="308">
        <v>41256.300000000003</v>
      </c>
      <c r="BC192" s="289">
        <v>41256.9</v>
      </c>
      <c r="BD192" s="289">
        <f>BC192-BB192</f>
        <v>0.59999999999854481</v>
      </c>
      <c r="BE192" s="307">
        <f t="shared" si="205"/>
        <v>0.16701922243954495</v>
      </c>
      <c r="BF192" s="308">
        <v>-41108.300000000003</v>
      </c>
      <c r="BG192" s="289">
        <v>-41108.300000000003</v>
      </c>
      <c r="BH192" s="289">
        <f>BG192-BF192</f>
        <v>0</v>
      </c>
      <c r="BI192" s="307">
        <f t="shared" si="206"/>
        <v>0</v>
      </c>
      <c r="BJ192" s="281">
        <v>92.086539000000002</v>
      </c>
      <c r="BK192" s="281">
        <v>91.061133999999996</v>
      </c>
      <c r="BL192" s="281">
        <f>BK192-BJ192</f>
        <v>-1.0254050000000063</v>
      </c>
      <c r="BM192" s="408">
        <v>-41108.300000000003</v>
      </c>
      <c r="BN192" s="458">
        <v>-41108.300000000003</v>
      </c>
      <c r="BO192" s="458">
        <f>BN192-BM192</f>
        <v>0</v>
      </c>
      <c r="BP192" s="408">
        <v>41256.300000000003</v>
      </c>
      <c r="BQ192" s="458">
        <v>41256.9</v>
      </c>
      <c r="BR192" s="458">
        <f>BQ192-BP192</f>
        <v>0.59999999999854481</v>
      </c>
      <c r="BS192" s="281"/>
      <c r="BT192" s="281"/>
      <c r="BU192" s="281"/>
      <c r="BV192" s="281"/>
      <c r="BW192" s="298" t="s">
        <v>713</v>
      </c>
      <c r="BX192" s="422">
        <v>2196.0889807100002</v>
      </c>
      <c r="BY192" s="422">
        <v>-1.0707994199999999</v>
      </c>
      <c r="BZ192" s="422">
        <v>2026.7056648</v>
      </c>
      <c r="CA192" s="422">
        <v>2048.64251689</v>
      </c>
      <c r="CB192" s="422">
        <v>2.9431129</v>
      </c>
      <c r="CC192" s="422">
        <v>2.9656474500000001</v>
      </c>
      <c r="CD192" s="422">
        <v>3.8651159999999997E-2</v>
      </c>
      <c r="CE192" s="422">
        <v>3.5923672</v>
      </c>
      <c r="CF192" s="422">
        <v>3.5909792399999998</v>
      </c>
      <c r="CG192" s="422">
        <v>-0.80461775000000002</v>
      </c>
      <c r="CH192" s="422">
        <v>-0.75985267999999995</v>
      </c>
      <c r="CI192" s="422">
        <v>0.59138117000000001</v>
      </c>
    </row>
    <row r="193" spans="1:87" ht="15" customHeight="1" x14ac:dyDescent="0.2">
      <c r="A193" s="297">
        <f t="shared" si="207"/>
        <v>62009040</v>
      </c>
      <c r="B193" s="297" t="s">
        <v>224</v>
      </c>
      <c r="C193" s="297" t="s">
        <v>631</v>
      </c>
      <c r="D193" s="326" t="s">
        <v>920</v>
      </c>
      <c r="E193" s="283" t="s">
        <v>921</v>
      </c>
      <c r="F193" s="310" t="str">
        <f t="shared" si="147"/>
        <v>09/23/20</v>
      </c>
      <c r="G193" s="298" t="s">
        <v>922</v>
      </c>
      <c r="H193" s="298" t="s">
        <v>775</v>
      </c>
      <c r="I193" s="306"/>
      <c r="J193" s="299">
        <v>32.473990000000001</v>
      </c>
      <c r="K193" s="299">
        <v>53.543089999999999</v>
      </c>
      <c r="L193" s="299">
        <v>29.365959</v>
      </c>
      <c r="M193" s="299">
        <v>39.425719999999998</v>
      </c>
      <c r="N193" s="284">
        <v>3875</v>
      </c>
      <c r="O193" s="284">
        <v>28.39</v>
      </c>
      <c r="P193" s="284">
        <v>0.20169999999999999</v>
      </c>
      <c r="Q193" s="284">
        <v>1.932E-2</v>
      </c>
      <c r="R193" s="285">
        <v>3.8535508100000002</v>
      </c>
      <c r="S193" s="285">
        <f>R193+R192</f>
        <v>7.4459516800000003</v>
      </c>
      <c r="T193" s="314">
        <v>91.061133999999996</v>
      </c>
      <c r="U193" s="314">
        <v>90.128809000000004</v>
      </c>
      <c r="V193" s="289">
        <v>38812</v>
      </c>
      <c r="W193" s="289">
        <v>39514</v>
      </c>
      <c r="X193" s="289">
        <f>W193-V193</f>
        <v>702</v>
      </c>
      <c r="Y193" s="289">
        <f t="shared" si="197"/>
        <v>182.16964939927701</v>
      </c>
      <c r="Z193" s="308">
        <v>1271</v>
      </c>
      <c r="AA193" s="289">
        <v>1331.9</v>
      </c>
      <c r="AB193" s="289">
        <f>AA193-Z193</f>
        <v>60.900000000000091</v>
      </c>
      <c r="AC193" s="289">
        <f t="shared" si="198"/>
        <v>15.80360633677491</v>
      </c>
      <c r="AD193" s="308">
        <v>1064.71</v>
      </c>
      <c r="AE193" s="289">
        <v>1118.9738299999999</v>
      </c>
      <c r="AF193" s="289">
        <f>AE193-AD193</f>
        <v>54.263829999999871</v>
      </c>
      <c r="AG193" s="289">
        <f t="shared" si="199"/>
        <v>14.081514082851776</v>
      </c>
      <c r="AH193" s="308">
        <v>-13.09</v>
      </c>
      <c r="AI193" s="289">
        <v>-11.38</v>
      </c>
      <c r="AJ193" s="289">
        <f>AI193-AH193</f>
        <v>1.7099999999999991</v>
      </c>
      <c r="AK193" s="307">
        <f t="shared" si="200"/>
        <v>0.44374658187003352</v>
      </c>
      <c r="AL193" s="308">
        <v>1901.9</v>
      </c>
      <c r="AM193" s="289">
        <v>2053.1</v>
      </c>
      <c r="AN193" s="289">
        <f>AM193-AL193</f>
        <v>151.19999999999982</v>
      </c>
      <c r="AO193" s="307">
        <f t="shared" si="201"/>
        <v>39.236539870613463</v>
      </c>
      <c r="AP193" s="308">
        <v>-81.599999999999994</v>
      </c>
      <c r="AQ193" s="289">
        <v>-86.8</v>
      </c>
      <c r="AR193" s="289">
        <f>AQ193-AP193</f>
        <v>-5.2000000000000028</v>
      </c>
      <c r="AS193" s="307">
        <f t="shared" si="202"/>
        <v>-1.3494048103650156</v>
      </c>
      <c r="AT193" s="308">
        <v>72.3</v>
      </c>
      <c r="AU193" s="289">
        <v>73.599999999999994</v>
      </c>
      <c r="AV193" s="289">
        <f>AU193-AT193</f>
        <v>1.2999999999999972</v>
      </c>
      <c r="AW193" s="307">
        <f t="shared" si="203"/>
        <v>0.33735120259125301</v>
      </c>
      <c r="AX193" s="308">
        <v>2624</v>
      </c>
      <c r="AY193" s="289">
        <v>3322</v>
      </c>
      <c r="AZ193" s="289">
        <f>AY193-AX193</f>
        <v>698</v>
      </c>
      <c r="BA193" s="307">
        <f t="shared" si="204"/>
        <v>181.13164569899624</v>
      </c>
      <c r="BB193" s="308">
        <v>41256.9</v>
      </c>
      <c r="BC193" s="289">
        <v>41258.1</v>
      </c>
      <c r="BD193" s="289">
        <f>BC193-BB193</f>
        <v>1.1999999999970896</v>
      </c>
      <c r="BE193" s="307">
        <f t="shared" si="205"/>
        <v>0.31140111008347898</v>
      </c>
      <c r="BF193" s="308">
        <v>-41108.300000000003</v>
      </c>
      <c r="BG193" s="289">
        <v>-41108.300000000003</v>
      </c>
      <c r="BH193" s="289">
        <f>BG193-BF193</f>
        <v>0</v>
      </c>
      <c r="BI193" s="307">
        <f t="shared" si="206"/>
        <v>0</v>
      </c>
      <c r="BJ193" s="281">
        <v>91.061133999999996</v>
      </c>
      <c r="BK193" s="281">
        <v>90.128809000000004</v>
      </c>
      <c r="BL193" s="281">
        <f>BK193-BJ193</f>
        <v>-0.93232499999999163</v>
      </c>
      <c r="BM193" s="408">
        <v>-41108.300000000003</v>
      </c>
      <c r="BN193" s="458">
        <v>-41108.300000000003</v>
      </c>
      <c r="BO193" s="458">
        <f>BN193-BM193</f>
        <v>0</v>
      </c>
      <c r="BP193" s="408">
        <v>41256.9</v>
      </c>
      <c r="BQ193" s="458">
        <v>41258.1</v>
      </c>
      <c r="BR193" s="458">
        <f>BQ193-BP193</f>
        <v>1.1999999999970896</v>
      </c>
      <c r="BS193" s="281"/>
      <c r="BT193" s="281"/>
      <c r="BU193" s="281"/>
      <c r="BV193" s="281"/>
      <c r="BW193" s="298" t="s">
        <v>713</v>
      </c>
      <c r="BX193" s="422">
        <v>1349.9009948200001</v>
      </c>
      <c r="BY193" s="422">
        <v>-1.1944155299999999</v>
      </c>
      <c r="BZ193" s="422">
        <v>3375.2089997799999</v>
      </c>
      <c r="CA193" s="422">
        <v>3416.01035804</v>
      </c>
      <c r="CB193" s="422">
        <v>2.7086468199999998</v>
      </c>
      <c r="CC193" s="422">
        <v>2.7415021500000001</v>
      </c>
      <c r="CD193" s="422">
        <v>-0.16650342000000001</v>
      </c>
      <c r="CE193" s="422">
        <v>3.8534027499999999</v>
      </c>
      <c r="CF193" s="422">
        <v>3.8598295</v>
      </c>
      <c r="CG193" s="422">
        <v>-1.04445637</v>
      </c>
      <c r="CH193" s="422">
        <v>-1.1984425700000001</v>
      </c>
      <c r="CI193" s="422">
        <v>0.71728135000000004</v>
      </c>
    </row>
    <row r="194" spans="1:87" ht="15" customHeight="1" x14ac:dyDescent="0.2">
      <c r="A194" s="297">
        <f t="shared" si="207"/>
        <v>62009040</v>
      </c>
      <c r="B194" s="297" t="s">
        <v>612</v>
      </c>
      <c r="C194" s="297" t="s">
        <v>632</v>
      </c>
      <c r="D194" s="326" t="s">
        <v>920</v>
      </c>
      <c r="E194" s="283" t="s">
        <v>921</v>
      </c>
      <c r="F194" s="310" t="str">
        <f t="shared" si="147"/>
        <v>09/23/20</v>
      </c>
      <c r="G194" s="298" t="s">
        <v>922</v>
      </c>
      <c r="H194" s="298" t="s">
        <v>775</v>
      </c>
      <c r="I194" s="306"/>
      <c r="J194" s="300">
        <f>AVERAGE(J192:J193)</f>
        <v>33.284959000000001</v>
      </c>
      <c r="K194" s="300">
        <f>AVERAGE(K192:K193)</f>
        <v>50.745762999999997</v>
      </c>
      <c r="L194" s="300">
        <f>AVERAGE(L192:L193)</f>
        <v>29.3644155</v>
      </c>
      <c r="M194" s="300">
        <f>AVERAGE(M192:M193)</f>
        <v>39.659890500000003</v>
      </c>
      <c r="N194" s="286"/>
      <c r="O194" s="284"/>
      <c r="P194" s="302"/>
      <c r="Q194" s="301"/>
      <c r="R194" s="287">
        <f>R193+R192</f>
        <v>7.4459516800000003</v>
      </c>
      <c r="S194" s="287">
        <f>S193</f>
        <v>7.4459516800000003</v>
      </c>
      <c r="T194" s="315">
        <f>T192</f>
        <v>92.086539000000002</v>
      </c>
      <c r="U194" s="315">
        <f>U193</f>
        <v>90.128809000000004</v>
      </c>
      <c r="V194" s="290">
        <f>V192</f>
        <v>38044.435854000003</v>
      </c>
      <c r="W194" s="290">
        <f>W193</f>
        <v>39514</v>
      </c>
      <c r="X194" s="290">
        <f>SUM(X192:X193)</f>
        <v>1469.564145999997</v>
      </c>
      <c r="Y194" s="290">
        <f t="shared" si="197"/>
        <v>197.36417977936662</v>
      </c>
      <c r="Z194" s="290">
        <f>Z192</f>
        <v>1227</v>
      </c>
      <c r="AA194" s="290">
        <f>AA193</f>
        <v>1331.9</v>
      </c>
      <c r="AB194" s="290">
        <f>SUM(AB192:AB193)</f>
        <v>104.90000000000009</v>
      </c>
      <c r="AC194" s="290">
        <f t="shared" si="198"/>
        <v>14.088192417601089</v>
      </c>
      <c r="AD194" s="290">
        <f>AD192</f>
        <v>1025.1743590000001</v>
      </c>
      <c r="AE194" s="290">
        <f>AE193</f>
        <v>1118.9738299999999</v>
      </c>
      <c r="AF194" s="290">
        <f>SUM(AF192:AF193)</f>
        <v>93.789470999999821</v>
      </c>
      <c r="AG194" s="290">
        <f t="shared" si="199"/>
        <v>12.596035406987736</v>
      </c>
      <c r="AH194" s="290">
        <f>AH192</f>
        <v>-9.32</v>
      </c>
      <c r="AI194" s="290">
        <f>AI193</f>
        <v>-11.38</v>
      </c>
      <c r="AJ194" s="290">
        <f>SUM(AJ192:AJ193)</f>
        <v>-2.0600000000000005</v>
      </c>
      <c r="AK194" s="288">
        <f t="shared" si="200"/>
        <v>-0.27666040400627478</v>
      </c>
      <c r="AL194" s="290">
        <f>AL192</f>
        <v>1773.143523</v>
      </c>
      <c r="AM194" s="290">
        <f>AM193</f>
        <v>2053.1</v>
      </c>
      <c r="AN194" s="290">
        <f>SUM(AN192:AN193)</f>
        <v>279.95647699999995</v>
      </c>
      <c r="AO194" s="288">
        <f t="shared" si="201"/>
        <v>37.598481568443368</v>
      </c>
      <c r="AP194" s="290">
        <f>AP192</f>
        <v>-78.5</v>
      </c>
      <c r="AQ194" s="290">
        <f>AQ193</f>
        <v>-86.8</v>
      </c>
      <c r="AR194" s="290">
        <f>SUM(AR192:AR193)</f>
        <v>-8.2999999999999972</v>
      </c>
      <c r="AS194" s="288">
        <f t="shared" si="202"/>
        <v>-1.1146996860446987</v>
      </c>
      <c r="AT194" s="290">
        <f>AT192</f>
        <v>71.5</v>
      </c>
      <c r="AU194" s="290">
        <f>AU193</f>
        <v>73.599999999999994</v>
      </c>
      <c r="AV194" s="290">
        <f>SUM(AV192:AV193)</f>
        <v>2.0999999999999943</v>
      </c>
      <c r="AW194" s="288">
        <f t="shared" si="203"/>
        <v>0.28203245068600746</v>
      </c>
      <c r="AX194" s="290">
        <f>AX192</f>
        <v>1858</v>
      </c>
      <c r="AY194" s="290">
        <f>AY193</f>
        <v>3322</v>
      </c>
      <c r="AZ194" s="290">
        <f>SUM(AZ192:AZ193)</f>
        <v>1464</v>
      </c>
      <c r="BA194" s="288">
        <f t="shared" si="204"/>
        <v>196.6169084782457</v>
      </c>
      <c r="BB194" s="290">
        <f>BB192</f>
        <v>41256.300000000003</v>
      </c>
      <c r="BC194" s="290">
        <f>BC193</f>
        <v>41258.1</v>
      </c>
      <c r="BD194" s="290">
        <f>SUM(BD192:BD193)</f>
        <v>1.7999999999956344</v>
      </c>
      <c r="BE194" s="288">
        <f t="shared" si="205"/>
        <v>0.24174210058742074</v>
      </c>
      <c r="BF194" s="290">
        <f>BF192</f>
        <v>-41108.300000000003</v>
      </c>
      <c r="BG194" s="290">
        <f>BG193</f>
        <v>-41108.300000000003</v>
      </c>
      <c r="BH194" s="290">
        <f>SUM(BH192:BH193)</f>
        <v>0</v>
      </c>
      <c r="BI194" s="288">
        <f t="shared" si="206"/>
        <v>0</v>
      </c>
      <c r="BJ194" s="282"/>
      <c r="BK194" s="282"/>
      <c r="BL194" s="282">
        <f>SUM(BL192:BL193)</f>
        <v>-1.957729999999998</v>
      </c>
      <c r="BM194" s="459">
        <f>BM192</f>
        <v>-41108.300000000003</v>
      </c>
      <c r="BN194" s="459">
        <f>BN193</f>
        <v>-41108.300000000003</v>
      </c>
      <c r="BO194" s="459">
        <f>SUM(BO192:BO193)</f>
        <v>0</v>
      </c>
      <c r="BP194" s="459">
        <f>BP192</f>
        <v>41256.300000000003</v>
      </c>
      <c r="BQ194" s="459">
        <f>BQ193</f>
        <v>41258.1</v>
      </c>
      <c r="BR194" s="459">
        <f>SUM(BR192:BR193)</f>
        <v>1.7999999999956344</v>
      </c>
      <c r="BS194" s="282"/>
      <c r="BT194" s="282"/>
      <c r="BU194" s="282"/>
      <c r="BV194" s="282"/>
      <c r="BW194" s="298" t="s">
        <v>713</v>
      </c>
    </row>
    <row r="195" spans="1:87" ht="15" customHeight="1" x14ac:dyDescent="0.2">
      <c r="A195" s="297">
        <v>62009041</v>
      </c>
      <c r="B195" s="297" t="s">
        <v>613</v>
      </c>
      <c r="C195" s="297" t="s">
        <v>835</v>
      </c>
      <c r="D195" s="326" t="s">
        <v>923</v>
      </c>
      <c r="E195" s="283" t="s">
        <v>948</v>
      </c>
      <c r="F195" s="310" t="s">
        <v>1167</v>
      </c>
      <c r="G195" s="298" t="s">
        <v>949</v>
      </c>
      <c r="H195" s="298" t="s">
        <v>775</v>
      </c>
      <c r="I195" s="306"/>
      <c r="J195" s="299">
        <v>36.928311999999998</v>
      </c>
      <c r="K195" s="299">
        <v>35.551532999999999</v>
      </c>
      <c r="L195" s="299">
        <v>29.368660999999999</v>
      </c>
      <c r="M195" s="299">
        <v>42.048212999999997</v>
      </c>
      <c r="N195" s="284">
        <v>3875</v>
      </c>
      <c r="O195" s="284">
        <v>28.39</v>
      </c>
      <c r="P195" s="284">
        <v>0.20169999999999999</v>
      </c>
      <c r="Q195" s="284">
        <v>1.932E-2</v>
      </c>
      <c r="R195" s="285">
        <v>1.76956373</v>
      </c>
      <c r="S195" s="285">
        <f>R195+R194</f>
        <v>9.2155154100000001</v>
      </c>
      <c r="T195" s="314">
        <v>90.052514000000002</v>
      </c>
      <c r="U195" s="314">
        <v>87.066327999999999</v>
      </c>
      <c r="V195" s="289">
        <v>39572</v>
      </c>
      <c r="W195" s="289">
        <v>41761</v>
      </c>
      <c r="X195" s="289">
        <f>W195-V195-X196</f>
        <v>494</v>
      </c>
      <c r="Y195" s="289">
        <f>X195/$R195</f>
        <v>279.16485381399627</v>
      </c>
      <c r="Z195" s="308">
        <v>1346.7</v>
      </c>
      <c r="AA195" s="289">
        <v>1390.5</v>
      </c>
      <c r="AB195" s="289">
        <f>AA195-Z195-AB196</f>
        <v>16.999999999999773</v>
      </c>
      <c r="AC195" s="289">
        <f>AB195/$R195</f>
        <v>9.6068876818580442</v>
      </c>
      <c r="AD195" s="308">
        <v>1132.1341709999999</v>
      </c>
      <c r="AE195" s="289">
        <v>1171.2739349999999</v>
      </c>
      <c r="AF195" s="289">
        <f>AE195-AD195-AF196</f>
        <v>15.239913999999999</v>
      </c>
      <c r="AG195" s="289">
        <f>AF195/$R195</f>
        <v>8.6122436517163461</v>
      </c>
      <c r="AH195" s="308">
        <v>-11.17</v>
      </c>
      <c r="AI195" s="289">
        <v>-10.63</v>
      </c>
      <c r="AJ195" s="289">
        <f>AI195-AH195-AJ196</f>
        <v>0.22000000000000064</v>
      </c>
      <c r="AK195" s="307">
        <f>AJ195/$R195</f>
        <v>0.12432442882404729</v>
      </c>
      <c r="AL195" s="308">
        <v>2094</v>
      </c>
      <c r="AM195" s="289">
        <v>2199.1</v>
      </c>
      <c r="AN195" s="289">
        <f>AM195-AL195-AN196</f>
        <v>42.360400000000027</v>
      </c>
      <c r="AO195" s="307">
        <f>AN195/$R195</f>
        <v>23.938329703446186</v>
      </c>
      <c r="AP195" s="308">
        <v>-88</v>
      </c>
      <c r="AQ195" s="289">
        <v>-91.6</v>
      </c>
      <c r="AR195" s="289">
        <f>AQ195-AP195-AR196</f>
        <v>-1.3999999999999915</v>
      </c>
      <c r="AS195" s="307">
        <f>AR195/$R195</f>
        <v>-0.79115545615302107</v>
      </c>
      <c r="AT195" s="308">
        <v>73.900000000000006</v>
      </c>
      <c r="AU195" s="289">
        <v>74.8</v>
      </c>
      <c r="AV195" s="289">
        <f>AU195-AT195-AV196</f>
        <v>0.29999999999998295</v>
      </c>
      <c r="AW195" s="307">
        <f>AV195/$R195</f>
        <v>0.16953331203278163</v>
      </c>
      <c r="AX195" s="308">
        <v>3380</v>
      </c>
      <c r="AY195" s="289">
        <v>5570</v>
      </c>
      <c r="AZ195" s="289">
        <f>AY195-AX195-AZ196</f>
        <v>495</v>
      </c>
      <c r="BA195" s="307">
        <f>AZ195/$R195</f>
        <v>279.72996485410562</v>
      </c>
      <c r="BB195" s="308">
        <v>41258.300000000003</v>
      </c>
      <c r="BC195" s="289">
        <v>41259.1</v>
      </c>
      <c r="BD195" s="289">
        <f>BC195-BB195-BD196</f>
        <v>0.29999999999563443</v>
      </c>
      <c r="BE195" s="307">
        <f>BD195/$R195</f>
        <v>0.16953331203032423</v>
      </c>
      <c r="BF195" s="308">
        <v>-41108.300000000003</v>
      </c>
      <c r="BG195" s="289">
        <v>-41108.300000000003</v>
      </c>
      <c r="BH195" s="289">
        <f>BG195-BF195-BH196</f>
        <v>0</v>
      </c>
      <c r="BI195" s="307">
        <f>BH195/$R195</f>
        <v>0</v>
      </c>
      <c r="BJ195" s="281">
        <v>90.052514000000002</v>
      </c>
      <c r="BK195" s="281">
        <v>87.066327999999999</v>
      </c>
      <c r="BL195" s="281">
        <f>BK195-BJ195-BL196</f>
        <v>-0.67749899999999741</v>
      </c>
      <c r="BM195" s="408">
        <v>-41108.300000000003</v>
      </c>
      <c r="BN195" s="458">
        <v>-41108.300000000003</v>
      </c>
      <c r="BO195" s="458">
        <f>BN195-BM195-BO196</f>
        <v>0</v>
      </c>
      <c r="BP195" s="408">
        <v>41258.300000000003</v>
      </c>
      <c r="BQ195" s="458">
        <v>41259.1</v>
      </c>
      <c r="BR195" s="458">
        <f>BQ195-BP195-BR196</f>
        <v>0.29999999999563443</v>
      </c>
      <c r="BS195" s="281"/>
      <c r="BT195" s="281"/>
      <c r="BU195" s="281"/>
      <c r="BV195" s="281"/>
      <c r="BW195" s="298" t="s">
        <v>713</v>
      </c>
      <c r="BX195" s="422">
        <v>5079.4112870899999</v>
      </c>
      <c r="BY195" s="422">
        <v>-2.44765495</v>
      </c>
      <c r="BZ195" s="422">
        <v>2399.3170312100001</v>
      </c>
      <c r="CA195" s="422">
        <v>2459.5175338499998</v>
      </c>
      <c r="CB195" s="422">
        <v>2.8694190800000001</v>
      </c>
      <c r="CC195" s="422">
        <v>2.9254454299999999</v>
      </c>
      <c r="CD195" s="422">
        <v>-0.14505334</v>
      </c>
      <c r="CE195" s="422">
        <v>1.7695346999999999</v>
      </c>
      <c r="CF195" s="422">
        <v>1.7721051999999999</v>
      </c>
      <c r="CG195" s="422">
        <v>-1.80464749</v>
      </c>
      <c r="CH195" s="422">
        <v>-1.91513932</v>
      </c>
      <c r="CI195" s="422">
        <v>0.81465538000000004</v>
      </c>
    </row>
    <row r="196" spans="1:87" ht="15" customHeight="1" x14ac:dyDescent="0.2">
      <c r="A196" s="297">
        <f t="shared" si="207"/>
        <v>62009041</v>
      </c>
      <c r="B196" s="297" t="s">
        <v>614</v>
      </c>
      <c r="C196" s="297" t="s">
        <v>627</v>
      </c>
      <c r="D196" s="326" t="s">
        <v>923</v>
      </c>
      <c r="E196" s="283" t="s">
        <v>948</v>
      </c>
      <c r="F196" s="310" t="s">
        <v>1167</v>
      </c>
      <c r="G196" s="298" t="s">
        <v>949</v>
      </c>
      <c r="H196" s="298" t="s">
        <v>775</v>
      </c>
      <c r="I196" s="306"/>
      <c r="J196" s="299">
        <v>39.786453999999999</v>
      </c>
      <c r="K196" s="299">
        <v>28.101889</v>
      </c>
      <c r="L196" s="299">
        <v>29.393013</v>
      </c>
      <c r="M196" s="299">
        <v>42.117227</v>
      </c>
      <c r="N196" s="284">
        <v>3875</v>
      </c>
      <c r="O196" s="284">
        <v>28.39</v>
      </c>
      <c r="P196" s="284">
        <v>0.20169999999999999</v>
      </c>
      <c r="Q196" s="284">
        <v>1.932E-2</v>
      </c>
      <c r="R196" s="285">
        <v>6.2460545300000003</v>
      </c>
      <c r="S196" s="285">
        <f>R196+R195</f>
        <v>8.0156182600000001</v>
      </c>
      <c r="T196" s="314">
        <v>89.597796000000002</v>
      </c>
      <c r="U196" s="314">
        <v>87.289108999999996</v>
      </c>
      <c r="V196" s="289">
        <v>39905</v>
      </c>
      <c r="W196" s="289">
        <v>41600</v>
      </c>
      <c r="X196" s="289">
        <f>W196-V196</f>
        <v>1695</v>
      </c>
      <c r="Y196" s="289">
        <f>X196/$R196</f>
        <v>271.37130997798062</v>
      </c>
      <c r="Z196" s="308">
        <v>1356.1</v>
      </c>
      <c r="AA196" s="289">
        <v>1382.9</v>
      </c>
      <c r="AB196" s="289">
        <f>AA196-Z196</f>
        <v>26.800000000000182</v>
      </c>
      <c r="AC196" s="289">
        <f>AB196/$R196</f>
        <v>4.290708617940961</v>
      </c>
      <c r="AD196" s="308">
        <v>1140.5741129999999</v>
      </c>
      <c r="AE196" s="289">
        <v>1164.4739629999999</v>
      </c>
      <c r="AF196" s="289">
        <f>AE196-AD196</f>
        <v>23.899850000000015</v>
      </c>
      <c r="AG196" s="289">
        <f>AF196/$R196</f>
        <v>3.8263915060632705</v>
      </c>
      <c r="AH196" s="308">
        <v>-11.04</v>
      </c>
      <c r="AI196" s="289">
        <v>-10.72</v>
      </c>
      <c r="AJ196" s="289">
        <f>AI196-AH196</f>
        <v>0.31999999999999851</v>
      </c>
      <c r="AK196" s="307">
        <f>AJ196/$R196</f>
        <v>5.123234170675716E-2</v>
      </c>
      <c r="AL196" s="308">
        <v>2118.5</v>
      </c>
      <c r="AM196" s="289">
        <v>2181.2395999999999</v>
      </c>
      <c r="AN196" s="289">
        <f>AM196-AL196</f>
        <v>62.739599999999882</v>
      </c>
      <c r="AO196" s="307">
        <f>AN196/$R196</f>
        <v>10.044676955453971</v>
      </c>
      <c r="AP196" s="308">
        <v>-88.8</v>
      </c>
      <c r="AQ196" s="289">
        <v>-91</v>
      </c>
      <c r="AR196" s="289">
        <f>AQ196-AP196</f>
        <v>-2.2000000000000028</v>
      </c>
      <c r="AS196" s="307">
        <f>AR196/$R196</f>
        <v>-0.35222234923395757</v>
      </c>
      <c r="AT196" s="308">
        <v>74.099999999999994</v>
      </c>
      <c r="AU196" s="289">
        <v>74.7</v>
      </c>
      <c r="AV196" s="289">
        <f>AU196-AT196</f>
        <v>0.60000000000000853</v>
      </c>
      <c r="AW196" s="307">
        <f>AV196/$R196</f>
        <v>9.6060640700171493E-2</v>
      </c>
      <c r="AX196" s="308">
        <v>3713</v>
      </c>
      <c r="AY196" s="289">
        <v>5408</v>
      </c>
      <c r="AZ196" s="289">
        <f>AY196-AX196</f>
        <v>1695</v>
      </c>
      <c r="BA196" s="307">
        <f>AZ196/$R196</f>
        <v>271.37130997798062</v>
      </c>
      <c r="BB196" s="308">
        <v>41258.5</v>
      </c>
      <c r="BC196" s="289">
        <v>41259</v>
      </c>
      <c r="BD196" s="289">
        <f>BC196-BB196</f>
        <v>0.5</v>
      </c>
      <c r="BE196" s="307">
        <f>BD196/$R196</f>
        <v>8.0050533916808442E-2</v>
      </c>
      <c r="BF196" s="308">
        <v>-41108.300000000003</v>
      </c>
      <c r="BG196" s="289">
        <v>-41108.300000000003</v>
      </c>
      <c r="BH196" s="289">
        <f>BG196-BF196</f>
        <v>0</v>
      </c>
      <c r="BI196" s="307">
        <f>BH196/$R196</f>
        <v>0</v>
      </c>
      <c r="BJ196" s="281">
        <v>89.597796000000002</v>
      </c>
      <c r="BK196" s="281">
        <v>87.289108999999996</v>
      </c>
      <c r="BL196" s="281">
        <f>BK196-BJ196</f>
        <v>-2.3086870000000062</v>
      </c>
      <c r="BM196" s="408">
        <v>-41108.300000000003</v>
      </c>
      <c r="BN196" s="458">
        <v>-41108.300000000003</v>
      </c>
      <c r="BO196" s="458">
        <f>BN196-BM196</f>
        <v>0</v>
      </c>
      <c r="BP196" s="408">
        <v>41258.5</v>
      </c>
      <c r="BQ196" s="458">
        <v>41259</v>
      </c>
      <c r="BR196" s="458">
        <f>BQ196-BP196</f>
        <v>0.5</v>
      </c>
      <c r="BS196" s="281"/>
      <c r="BT196" s="281"/>
      <c r="BU196" s="281"/>
      <c r="BV196" s="281"/>
      <c r="BW196" s="298" t="s">
        <v>713</v>
      </c>
      <c r="BX196" s="422">
        <v>10819.157407549999</v>
      </c>
      <c r="BY196" s="422">
        <v>-7.2785535599999998</v>
      </c>
      <c r="BZ196" s="422">
        <v>1056.1568189100001</v>
      </c>
      <c r="CA196" s="422">
        <v>1139.0642181400001</v>
      </c>
      <c r="CB196" s="422">
        <v>6.4250623999999998</v>
      </c>
      <c r="CC196" s="422">
        <v>6.5105466999999999</v>
      </c>
      <c r="CD196" s="422">
        <v>0.18012545999999999</v>
      </c>
      <c r="CE196" s="422">
        <v>6.2460891800000002</v>
      </c>
      <c r="CF196" s="422">
        <v>6.2348586099999999</v>
      </c>
      <c r="CG196" s="422">
        <v>-1.51300393</v>
      </c>
      <c r="CH196" s="422">
        <v>-1.31301253</v>
      </c>
      <c r="CI196" s="422">
        <v>0.34646691000000002</v>
      </c>
    </row>
    <row r="197" spans="1:87" ht="15" customHeight="1" x14ac:dyDescent="0.2">
      <c r="A197" s="297">
        <f t="shared" si="207"/>
        <v>62009041</v>
      </c>
      <c r="B197" s="297" t="s">
        <v>615</v>
      </c>
      <c r="C197" s="297" t="s">
        <v>628</v>
      </c>
      <c r="D197" s="326" t="s">
        <v>923</v>
      </c>
      <c r="E197" s="283" t="s">
        <v>948</v>
      </c>
      <c r="F197" s="310" t="s">
        <v>1167</v>
      </c>
      <c r="G197" s="298" t="s">
        <v>949</v>
      </c>
      <c r="H197" s="298" t="s">
        <v>775</v>
      </c>
      <c r="I197" s="306"/>
      <c r="J197" s="300">
        <f>AVERAGE(J195:J196)</f>
        <v>38.357382999999999</v>
      </c>
      <c r="K197" s="300">
        <f>AVERAGE(K195:K196)</f>
        <v>31.826711</v>
      </c>
      <c r="L197" s="300">
        <f>AVERAGE(L195:L196)</f>
        <v>29.380837</v>
      </c>
      <c r="M197" s="300">
        <f>AVERAGE(M195:M196)</f>
        <v>42.082719999999995</v>
      </c>
      <c r="N197" s="286"/>
      <c r="O197" s="284"/>
      <c r="P197" s="302"/>
      <c r="Q197" s="301"/>
      <c r="R197" s="287">
        <f>R196+R195</f>
        <v>8.0156182600000001</v>
      </c>
      <c r="S197" s="287">
        <f>S196</f>
        <v>8.0156182600000001</v>
      </c>
      <c r="T197" s="315">
        <f>T195</f>
        <v>90.052514000000002</v>
      </c>
      <c r="U197" s="315">
        <f>U196</f>
        <v>87.289108999999996</v>
      </c>
      <c r="V197" s="290">
        <f>V195</f>
        <v>39572</v>
      </c>
      <c r="W197" s="290">
        <f>W196</f>
        <v>41600</v>
      </c>
      <c r="X197" s="290">
        <f>SUM(X195:X196)</f>
        <v>2189</v>
      </c>
      <c r="Y197" s="290">
        <f>X197/$R197</f>
        <v>273.09184756510598</v>
      </c>
      <c r="Z197" s="290">
        <f>Z195</f>
        <v>1346.7</v>
      </c>
      <c r="AA197" s="290">
        <f>AA196</f>
        <v>1382.9</v>
      </c>
      <c r="AB197" s="290">
        <f>SUM(AB195:AB196)</f>
        <v>43.799999999999955</v>
      </c>
      <c r="AC197" s="290">
        <f>AB197/$R197</f>
        <v>5.4643320801058151</v>
      </c>
      <c r="AD197" s="290">
        <f>AD195</f>
        <v>1132.1341709999999</v>
      </c>
      <c r="AE197" s="290">
        <f>AE196</f>
        <v>1164.4739629999999</v>
      </c>
      <c r="AF197" s="290">
        <f>SUM(AF195:AF196)</f>
        <v>39.139764000000014</v>
      </c>
      <c r="AG197" s="290">
        <f>AF197/$R197</f>
        <v>4.8829376263235389</v>
      </c>
      <c r="AH197" s="290">
        <f>AH195</f>
        <v>-11.17</v>
      </c>
      <c r="AI197" s="290">
        <f>AI196</f>
        <v>-10.72</v>
      </c>
      <c r="AJ197" s="290">
        <f>SUM(AJ195:AJ196)</f>
        <v>0.53999999999999915</v>
      </c>
      <c r="AK197" s="288">
        <f>AJ197/$R197</f>
        <v>6.7368477699934676E-2</v>
      </c>
      <c r="AL197" s="290">
        <f>AL195</f>
        <v>2094</v>
      </c>
      <c r="AM197" s="290">
        <f>AM196</f>
        <v>2181.2395999999999</v>
      </c>
      <c r="AN197" s="290">
        <f>SUM(AN195:AN196)</f>
        <v>105.09999999999991</v>
      </c>
      <c r="AO197" s="288">
        <f>AN197/$R197</f>
        <v>13.111901863450257</v>
      </c>
      <c r="AP197" s="290">
        <f>AP195</f>
        <v>-88</v>
      </c>
      <c r="AQ197" s="290">
        <f>AQ196</f>
        <v>-91</v>
      </c>
      <c r="AR197" s="290">
        <f>SUM(AR195:AR196)</f>
        <v>-3.5999999999999943</v>
      </c>
      <c r="AS197" s="288">
        <f>AR197/$R197</f>
        <v>-0.44912318466623113</v>
      </c>
      <c r="AT197" s="290">
        <f>AT195</f>
        <v>73.900000000000006</v>
      </c>
      <c r="AU197" s="290">
        <f>AU196</f>
        <v>74.7</v>
      </c>
      <c r="AV197" s="290">
        <f>SUM(AV195:AV196)</f>
        <v>0.89999999999999147</v>
      </c>
      <c r="AW197" s="288">
        <f>AV197/$R197</f>
        <v>0.1122807961665569</v>
      </c>
      <c r="AX197" s="290">
        <f>AX195</f>
        <v>3380</v>
      </c>
      <c r="AY197" s="290">
        <f>AY196</f>
        <v>5408</v>
      </c>
      <c r="AZ197" s="290">
        <f>SUM(AZ195:AZ196)</f>
        <v>2190</v>
      </c>
      <c r="BA197" s="288">
        <f>AZ197/$R197</f>
        <v>273.21660400529106</v>
      </c>
      <c r="BB197" s="290">
        <f>BB195</f>
        <v>41258.300000000003</v>
      </c>
      <c r="BC197" s="290">
        <f>BC196</f>
        <v>41259</v>
      </c>
      <c r="BD197" s="290">
        <f>SUM(BD195:BD196)</f>
        <v>0.79999999999563443</v>
      </c>
      <c r="BE197" s="288">
        <f>BD197/$R197</f>
        <v>9.980515214750689E-2</v>
      </c>
      <c r="BF197" s="290">
        <f>BF195</f>
        <v>-41108.300000000003</v>
      </c>
      <c r="BG197" s="290">
        <f>BG196</f>
        <v>-41108.300000000003</v>
      </c>
      <c r="BH197" s="290">
        <f>SUM(BH195:BH196)</f>
        <v>0</v>
      </c>
      <c r="BI197" s="288">
        <f>BH197/$R197</f>
        <v>0</v>
      </c>
      <c r="BJ197" s="282"/>
      <c r="BK197" s="282"/>
      <c r="BL197" s="282">
        <f>SUM(BL195:BL196)</f>
        <v>-2.9861860000000036</v>
      </c>
      <c r="BM197" s="459">
        <f>BM195</f>
        <v>-41108.300000000003</v>
      </c>
      <c r="BN197" s="459">
        <f>BN196</f>
        <v>-41108.300000000003</v>
      </c>
      <c r="BO197" s="459">
        <f>SUM(BO195:BO196)</f>
        <v>0</v>
      </c>
      <c r="BP197" s="459">
        <f>BP195</f>
        <v>41258.300000000003</v>
      </c>
      <c r="BQ197" s="459">
        <f>BQ196</f>
        <v>41259</v>
      </c>
      <c r="BR197" s="459">
        <f>SUM(BR195:BR196)</f>
        <v>0.79999999999563443</v>
      </c>
      <c r="BS197" s="282"/>
      <c r="BT197" s="282"/>
      <c r="BU197" s="282"/>
      <c r="BV197" s="282"/>
      <c r="BW197" s="298" t="s">
        <v>713</v>
      </c>
    </row>
    <row r="198" spans="1:87" ht="15" customHeight="1" x14ac:dyDescent="0.2">
      <c r="A198" s="297">
        <f>A197+1</f>
        <v>62009042</v>
      </c>
      <c r="B198" s="297" t="s">
        <v>833</v>
      </c>
      <c r="C198" s="297" t="s">
        <v>626</v>
      </c>
      <c r="D198" s="326" t="s">
        <v>927</v>
      </c>
      <c r="E198" s="283" t="s">
        <v>928</v>
      </c>
      <c r="F198" s="310" t="str">
        <f t="shared" si="147"/>
        <v>09/23/20</v>
      </c>
      <c r="G198" s="298" t="s">
        <v>929</v>
      </c>
      <c r="H198" s="298" t="s">
        <v>775</v>
      </c>
      <c r="I198" s="306"/>
      <c r="J198" s="299">
        <v>123.382216</v>
      </c>
      <c r="K198" s="299">
        <v>99.268197999999998</v>
      </c>
      <c r="L198" s="299">
        <v>92.016605999999996</v>
      </c>
      <c r="M198" s="299">
        <v>139.69506899999999</v>
      </c>
      <c r="N198" s="284">
        <v>3875</v>
      </c>
      <c r="O198" s="284">
        <v>28.39</v>
      </c>
      <c r="P198" s="284">
        <v>0.20169999999999999</v>
      </c>
      <c r="Q198" s="284">
        <v>1.932E-2</v>
      </c>
      <c r="R198" s="285">
        <v>173.50225137999999</v>
      </c>
      <c r="S198" s="285">
        <f>R198+R197</f>
        <v>181.51786963999999</v>
      </c>
      <c r="T198" s="314">
        <v>87.048017000000002</v>
      </c>
      <c r="U198" s="314">
        <v>21.084886000000001</v>
      </c>
      <c r="V198" s="289">
        <v>41775</v>
      </c>
      <c r="W198" s="289">
        <v>86105</v>
      </c>
      <c r="X198" s="289">
        <f>W198-V198</f>
        <v>44330</v>
      </c>
      <c r="Y198" s="289">
        <f t="shared" si="197"/>
        <v>255.50100732070399</v>
      </c>
      <c r="Z198" s="308">
        <v>1396.1</v>
      </c>
      <c r="AA198" s="289">
        <v>2134.6999999999998</v>
      </c>
      <c r="AB198" s="289">
        <f>AA198-Z198</f>
        <v>738.59999999999991</v>
      </c>
      <c r="AC198" s="289">
        <f t="shared" si="198"/>
        <v>4.2570052787519046</v>
      </c>
      <c r="AD198" s="308">
        <v>1176.323793</v>
      </c>
      <c r="AE198" s="289">
        <v>1840.9598599999999</v>
      </c>
      <c r="AF198" s="289">
        <f>AE198-AD198</f>
        <v>664.63606699999991</v>
      </c>
      <c r="AG198" s="289">
        <f t="shared" si="199"/>
        <v>3.8307057211858986</v>
      </c>
      <c r="AH198" s="308">
        <v>-9.4937930000000001</v>
      </c>
      <c r="AI198" s="289">
        <v>-20.87</v>
      </c>
      <c r="AJ198" s="289">
        <f>AI198-AH198</f>
        <v>-11.376207000000001</v>
      </c>
      <c r="AK198" s="307">
        <f t="shared" si="200"/>
        <v>-6.5568065598665556E-2</v>
      </c>
      <c r="AL198" s="308">
        <v>2206.5379549999998</v>
      </c>
      <c r="AM198" s="289">
        <v>4058.6</v>
      </c>
      <c r="AN198" s="289">
        <f>AM198-AL198</f>
        <v>1852.0620450000001</v>
      </c>
      <c r="AO198" s="307">
        <f t="shared" si="201"/>
        <v>10.674570677147372</v>
      </c>
      <c r="AP198" s="308">
        <v>-91.7</v>
      </c>
      <c r="AQ198" s="289">
        <v>-143.9</v>
      </c>
      <c r="AR198" s="289">
        <f>AQ198-AP198</f>
        <v>-52.2</v>
      </c>
      <c r="AS198" s="307">
        <f t="shared" si="202"/>
        <v>-0.30086064927003719</v>
      </c>
      <c r="AT198" s="308">
        <v>74.900000000000006</v>
      </c>
      <c r="AU198" s="289">
        <v>88.1</v>
      </c>
      <c r="AV198" s="289">
        <f>AU198-AT198</f>
        <v>13.199999999999989</v>
      </c>
      <c r="AW198" s="307">
        <f t="shared" si="203"/>
        <v>7.6079704413112778E-2</v>
      </c>
      <c r="AX198" s="308">
        <v>5583</v>
      </c>
      <c r="AY198" s="289">
        <v>49912</v>
      </c>
      <c r="AZ198" s="289">
        <f>AY198-AX198</f>
        <v>44329</v>
      </c>
      <c r="BA198" s="307">
        <f t="shared" si="204"/>
        <v>255.49524370673331</v>
      </c>
      <c r="BB198" s="308">
        <v>41259.599999999999</v>
      </c>
      <c r="BC198" s="289">
        <v>41272.199999999997</v>
      </c>
      <c r="BD198" s="289">
        <f>BC198-BB198</f>
        <v>12.599999999998545</v>
      </c>
      <c r="BE198" s="307">
        <f t="shared" si="205"/>
        <v>7.2621536030690242E-2</v>
      </c>
      <c r="BF198" s="308">
        <v>-41108.300000000003</v>
      </c>
      <c r="BG198" s="289">
        <v>-41108.300000000003</v>
      </c>
      <c r="BH198" s="289">
        <f>BG198-BF198</f>
        <v>0</v>
      </c>
      <c r="BI198" s="307">
        <f t="shared" si="206"/>
        <v>0</v>
      </c>
      <c r="BJ198" s="281">
        <v>87.048017000000002</v>
      </c>
      <c r="BK198" s="281">
        <v>21.084886000000001</v>
      </c>
      <c r="BL198" s="281">
        <f>BK198-BJ198</f>
        <v>-65.963131000000004</v>
      </c>
      <c r="BM198" s="408">
        <v>-41108.300000000003</v>
      </c>
      <c r="BN198" s="458">
        <v>-41108.300000000003</v>
      </c>
      <c r="BO198" s="458">
        <f>BN198-BM198</f>
        <v>0</v>
      </c>
      <c r="BP198" s="408">
        <v>41259.599999999999</v>
      </c>
      <c r="BQ198" s="458">
        <v>41272.199999999997</v>
      </c>
      <c r="BR198" s="458">
        <f>BQ198-BP198</f>
        <v>12.599999999998545</v>
      </c>
      <c r="BS198" s="281"/>
      <c r="BT198" s="281"/>
      <c r="BU198" s="281"/>
      <c r="BV198" s="281"/>
      <c r="BW198" s="298" t="s">
        <v>713</v>
      </c>
      <c r="BX198" s="422">
        <v>12.76442014</v>
      </c>
      <c r="BY198" s="422">
        <v>49.619148670000001</v>
      </c>
      <c r="BZ198" s="422">
        <v>869.51467485000001</v>
      </c>
      <c r="CA198" s="422">
        <v>581.15200000000004</v>
      </c>
      <c r="CB198" s="422">
        <v>153.9052447</v>
      </c>
      <c r="CC198" s="422">
        <v>153.11727048</v>
      </c>
      <c r="CD198" s="422">
        <v>0.21304182999999999</v>
      </c>
      <c r="CE198" s="422">
        <v>173.50373336000001</v>
      </c>
      <c r="CF198" s="422">
        <v>173.13488362999999</v>
      </c>
      <c r="CG198" s="422">
        <v>0.30003550000000001</v>
      </c>
      <c r="CH198" s="422">
        <v>0.51462138000000002</v>
      </c>
      <c r="CI198" s="422">
        <v>4.9189899999999998E-3</v>
      </c>
    </row>
    <row r="199" spans="1:87" ht="15" customHeight="1" x14ac:dyDescent="0.2">
      <c r="A199" s="297">
        <f>A198+1</f>
        <v>62009043</v>
      </c>
      <c r="B199" s="297" t="s">
        <v>834</v>
      </c>
      <c r="C199" s="297" t="s">
        <v>835</v>
      </c>
      <c r="D199" s="326" t="s">
        <v>923</v>
      </c>
      <c r="E199" s="283" t="s">
        <v>930</v>
      </c>
      <c r="F199" s="310" t="str">
        <f t="shared" si="147"/>
        <v>09/23/20</v>
      </c>
      <c r="G199" s="298" t="s">
        <v>931</v>
      </c>
      <c r="H199" s="298" t="s">
        <v>775</v>
      </c>
      <c r="I199" s="306"/>
      <c r="J199" s="299">
        <v>37.144424000000001</v>
      </c>
      <c r="K199" s="299">
        <v>40.773657999999998</v>
      </c>
      <c r="L199" s="299">
        <v>29.327456000000002</v>
      </c>
      <c r="M199" s="299">
        <v>46.534565000000001</v>
      </c>
      <c r="N199" s="284">
        <v>3875</v>
      </c>
      <c r="O199" s="284">
        <v>28.39</v>
      </c>
      <c r="P199" s="284">
        <v>0.20169999999999999</v>
      </c>
      <c r="Q199" s="284">
        <v>1.932E-2</v>
      </c>
      <c r="R199" s="285">
        <v>1.76911581</v>
      </c>
      <c r="S199" s="285">
        <f>R199+R198</f>
        <v>175.27136718999998</v>
      </c>
      <c r="T199" s="314">
        <v>21.069627000000001</v>
      </c>
      <c r="U199" s="314">
        <v>17.511227999999999</v>
      </c>
      <c r="V199" s="289">
        <v>86114</v>
      </c>
      <c r="W199" s="289">
        <v>88336</v>
      </c>
      <c r="X199" s="289">
        <f>W199-V199-X200</f>
        <v>519</v>
      </c>
      <c r="Y199" s="289">
        <f t="shared" si="197"/>
        <v>293.36688817449436</v>
      </c>
      <c r="Z199" s="308">
        <v>2139.0064400000001</v>
      </c>
      <c r="AA199" s="289">
        <v>2190.6</v>
      </c>
      <c r="AB199" s="289">
        <f>AA199-Z199-AB200</f>
        <v>28.193559999999707</v>
      </c>
      <c r="AC199" s="289">
        <f t="shared" si="198"/>
        <v>15.936525941735667</v>
      </c>
      <c r="AD199" s="308">
        <v>1844.8606440000001</v>
      </c>
      <c r="AE199" s="289">
        <v>1891.5730679999999</v>
      </c>
      <c r="AF199" s="289">
        <f>AE199-AD199-AF200</f>
        <v>25.542938999999933</v>
      </c>
      <c r="AG199" s="289">
        <f t="shared" si="199"/>
        <v>14.438251501466111</v>
      </c>
      <c r="AH199" s="308">
        <v>-19.000644000000001</v>
      </c>
      <c r="AI199" s="289">
        <v>-22.47</v>
      </c>
      <c r="AJ199" s="289">
        <f>AI199-AH199-AJ200</f>
        <v>-8.4802579999999992</v>
      </c>
      <c r="AK199" s="307">
        <f t="shared" si="200"/>
        <v>-4.7935007714390387</v>
      </c>
      <c r="AL199" s="308">
        <v>4062.8</v>
      </c>
      <c r="AM199" s="289">
        <v>4207.3037480000003</v>
      </c>
      <c r="AN199" s="289">
        <f>AM199-AL199-AN200</f>
        <v>63.403747999999723</v>
      </c>
      <c r="AO199" s="307">
        <f t="shared" si="201"/>
        <v>35.839229767552482</v>
      </c>
      <c r="AP199" s="308">
        <v>-144</v>
      </c>
      <c r="AQ199" s="289">
        <v>-147.1</v>
      </c>
      <c r="AR199" s="289">
        <f>AQ199-AP199-AR200</f>
        <v>-1.2999999999999829</v>
      </c>
      <c r="AS199" s="307">
        <f t="shared" si="202"/>
        <v>-0.73483035573571809</v>
      </c>
      <c r="AT199" s="308">
        <v>88.2</v>
      </c>
      <c r="AU199" s="289">
        <v>89</v>
      </c>
      <c r="AV199" s="289">
        <f>AU199-AT199-AV200</f>
        <v>0.29999999999999716</v>
      </c>
      <c r="AW199" s="307">
        <f t="shared" si="203"/>
        <v>0.16957623593901247</v>
      </c>
      <c r="AX199" s="308">
        <v>49921</v>
      </c>
      <c r="AY199" s="289">
        <v>52143</v>
      </c>
      <c r="AZ199" s="289">
        <f>AY199-AX199-AZ200</f>
        <v>519</v>
      </c>
      <c r="BA199" s="307">
        <f t="shared" si="204"/>
        <v>293.36688817449436</v>
      </c>
      <c r="BB199" s="308">
        <v>41272.800000000003</v>
      </c>
      <c r="BC199" s="289">
        <v>41273.5</v>
      </c>
      <c r="BD199" s="289">
        <f>BC199-BB199-BD200</f>
        <v>0.19999999999708962</v>
      </c>
      <c r="BE199" s="307">
        <f t="shared" si="205"/>
        <v>0.11305082395769761</v>
      </c>
      <c r="BF199" s="308">
        <v>-41108.300000000003</v>
      </c>
      <c r="BG199" s="289">
        <v>-41108.300000000003</v>
      </c>
      <c r="BH199" s="289">
        <f>BG199-BF199-BH200</f>
        <v>0</v>
      </c>
      <c r="BI199" s="307">
        <f t="shared" si="206"/>
        <v>0</v>
      </c>
      <c r="BJ199" s="281">
        <v>21.069627000000001</v>
      </c>
      <c r="BK199" s="281">
        <v>17.511227999999999</v>
      </c>
      <c r="BL199" s="281">
        <f>BK199-BJ199-BL200</f>
        <v>-0.84077100000000371</v>
      </c>
      <c r="BM199" s="408">
        <v>-41108.300000000003</v>
      </c>
      <c r="BN199" s="458">
        <v>-41108.300000000003</v>
      </c>
      <c r="BO199" s="458">
        <f>BN199-BM199-BO200</f>
        <v>0</v>
      </c>
      <c r="BP199" s="408">
        <v>41272.800000000003</v>
      </c>
      <c r="BQ199" s="458">
        <v>41273.5</v>
      </c>
      <c r="BR199" s="458">
        <f>BQ199-BP199-BR200</f>
        <v>0.19999999999708962</v>
      </c>
      <c r="BS199" s="281"/>
      <c r="BT199" s="281"/>
      <c r="BU199" s="281"/>
      <c r="BV199" s="281"/>
      <c r="BW199" s="298" t="s">
        <v>713</v>
      </c>
      <c r="BX199" s="422">
        <v>5078.5354428999999</v>
      </c>
      <c r="BY199" s="422">
        <v>-2.3428090300000002</v>
      </c>
      <c r="BZ199" s="422">
        <v>2401.8633912700002</v>
      </c>
      <c r="CA199" s="422">
        <v>2459.4844141100002</v>
      </c>
      <c r="CB199" s="422">
        <v>2.8696399100000001</v>
      </c>
      <c r="CC199" s="422">
        <v>2.9254106599999998</v>
      </c>
      <c r="CD199" s="422">
        <v>-0.16870755000000001</v>
      </c>
      <c r="CE199" s="422">
        <v>1.76911559</v>
      </c>
      <c r="CF199" s="422">
        <v>1.77210527</v>
      </c>
      <c r="CG199" s="422">
        <v>-1.77148913</v>
      </c>
      <c r="CH199" s="422">
        <v>-1.9064245799999999</v>
      </c>
      <c r="CI199" s="422">
        <v>0.81465359999999998</v>
      </c>
    </row>
    <row r="200" spans="1:87" ht="15" customHeight="1" x14ac:dyDescent="0.2">
      <c r="A200" s="297">
        <f>A199</f>
        <v>62009043</v>
      </c>
      <c r="B200" s="297" t="s">
        <v>836</v>
      </c>
      <c r="C200" s="297" t="s">
        <v>627</v>
      </c>
      <c r="D200" s="326" t="s">
        <v>923</v>
      </c>
      <c r="E200" s="283" t="s">
        <v>930</v>
      </c>
      <c r="F200" s="310" t="str">
        <f t="shared" si="147"/>
        <v>09/23/20</v>
      </c>
      <c r="G200" s="298" t="s">
        <v>931</v>
      </c>
      <c r="H200" s="298" t="s">
        <v>775</v>
      </c>
      <c r="I200" s="306"/>
      <c r="J200" s="299">
        <v>39.436844999999998</v>
      </c>
      <c r="K200" s="299">
        <v>35.112397000000001</v>
      </c>
      <c r="L200" s="299">
        <v>29.346057999999999</v>
      </c>
      <c r="M200" s="299">
        <v>45.289270000000002</v>
      </c>
      <c r="N200" s="284">
        <v>3875</v>
      </c>
      <c r="O200" s="284">
        <v>28.39</v>
      </c>
      <c r="P200" s="284">
        <v>0.20169999999999999</v>
      </c>
      <c r="Q200" s="284">
        <v>1.932E-2</v>
      </c>
      <c r="R200" s="285">
        <v>6.2462446600000003</v>
      </c>
      <c r="S200" s="285">
        <f>R200+R199</f>
        <v>8.015360470000001</v>
      </c>
      <c r="T200" s="314">
        <v>20.498940999999999</v>
      </c>
      <c r="U200" s="314">
        <v>17.781313000000001</v>
      </c>
      <c r="V200" s="289">
        <v>86470</v>
      </c>
      <c r="W200" s="289">
        <v>88173</v>
      </c>
      <c r="X200" s="289">
        <f>W200-V200</f>
        <v>1703</v>
      </c>
      <c r="Y200" s="289">
        <f t="shared" si="197"/>
        <v>272.64381923842217</v>
      </c>
      <c r="Z200" s="308">
        <v>2159.6999999999998</v>
      </c>
      <c r="AA200" s="289">
        <v>2183.1</v>
      </c>
      <c r="AB200" s="289">
        <f>AA200-Z200</f>
        <v>23.400000000000091</v>
      </c>
      <c r="AC200" s="289">
        <f t="shared" si="198"/>
        <v>3.7462509513676476</v>
      </c>
      <c r="AD200" s="308">
        <v>1863.6609450000001</v>
      </c>
      <c r="AE200" s="289">
        <v>1884.83043</v>
      </c>
      <c r="AF200" s="289">
        <f>AE200-AD200</f>
        <v>21.169484999999895</v>
      </c>
      <c r="AG200" s="289">
        <f t="shared" si="199"/>
        <v>3.3891539880860022</v>
      </c>
      <c r="AH200" s="308">
        <v>-28.190472</v>
      </c>
      <c r="AI200" s="289">
        <v>-23.179569999999998</v>
      </c>
      <c r="AJ200" s="289">
        <f>AI200-AH200</f>
        <v>5.0109020000000015</v>
      </c>
      <c r="AK200" s="307">
        <f t="shared" si="200"/>
        <v>0.80222634122692227</v>
      </c>
      <c r="AL200" s="308">
        <v>4105.5</v>
      </c>
      <c r="AM200" s="289">
        <v>4186.6000000000004</v>
      </c>
      <c r="AN200" s="289">
        <f>AM200-AL200</f>
        <v>81.100000000000364</v>
      </c>
      <c r="AO200" s="307">
        <f t="shared" si="201"/>
        <v>12.983801374184463</v>
      </c>
      <c r="AP200" s="308">
        <v>-144.69999999999999</v>
      </c>
      <c r="AQ200" s="289">
        <v>-146.5</v>
      </c>
      <c r="AR200" s="289">
        <f>AQ200-AP200</f>
        <v>-1.8000000000000114</v>
      </c>
      <c r="AS200" s="307">
        <f t="shared" si="202"/>
        <v>-0.28817315010520439</v>
      </c>
      <c r="AT200" s="308">
        <v>88.4</v>
      </c>
      <c r="AU200" s="289">
        <v>88.9</v>
      </c>
      <c r="AV200" s="289">
        <f>AU200-AT200</f>
        <v>0.5</v>
      </c>
      <c r="AW200" s="307">
        <f t="shared" si="203"/>
        <v>8.0048097251445155E-2</v>
      </c>
      <c r="AX200" s="308">
        <v>50277</v>
      </c>
      <c r="AY200" s="289">
        <v>51980</v>
      </c>
      <c r="AZ200" s="289">
        <f>AY200-AX200</f>
        <v>1703</v>
      </c>
      <c r="BA200" s="307">
        <f t="shared" si="204"/>
        <v>272.64381923842217</v>
      </c>
      <c r="BB200" s="308">
        <v>41272.9</v>
      </c>
      <c r="BC200" s="289">
        <v>41273.4</v>
      </c>
      <c r="BD200" s="289">
        <f>BC200-BB200</f>
        <v>0.5</v>
      </c>
      <c r="BE200" s="307">
        <f t="shared" si="205"/>
        <v>8.0048097251445155E-2</v>
      </c>
      <c r="BF200" s="308">
        <v>-41108.300000000003</v>
      </c>
      <c r="BG200" s="289">
        <v>-41108.300000000003</v>
      </c>
      <c r="BH200" s="289">
        <f>BG200-BF200</f>
        <v>0</v>
      </c>
      <c r="BI200" s="307">
        <f t="shared" si="206"/>
        <v>0</v>
      </c>
      <c r="BJ200" s="281">
        <v>20.498940999999999</v>
      </c>
      <c r="BK200" s="281">
        <v>17.781313000000001</v>
      </c>
      <c r="BL200" s="281">
        <f>BK200-BJ200</f>
        <v>-2.7176279999999977</v>
      </c>
      <c r="BM200" s="408">
        <v>-41108.300000000003</v>
      </c>
      <c r="BN200" s="458">
        <v>-41108.300000000003</v>
      </c>
      <c r="BO200" s="458">
        <f>BN200-BM200</f>
        <v>0</v>
      </c>
      <c r="BP200" s="408">
        <v>41272.9</v>
      </c>
      <c r="BQ200" s="458">
        <v>41273.4</v>
      </c>
      <c r="BR200" s="458">
        <f>BQ200-BP200</f>
        <v>0.5</v>
      </c>
      <c r="BS200" s="281"/>
      <c r="BT200" s="281"/>
      <c r="BU200" s="281"/>
      <c r="BV200" s="281"/>
      <c r="BW200" s="298" t="s">
        <v>713</v>
      </c>
      <c r="BX200" s="422">
        <v>10814.11272693</v>
      </c>
      <c r="BY200" s="422">
        <v>-7.4188754000000001</v>
      </c>
      <c r="BZ200" s="422">
        <v>1054.4358504500001</v>
      </c>
      <c r="CA200" s="422">
        <v>1138.9317800700001</v>
      </c>
      <c r="CB200" s="422">
        <v>6.4236576400000001</v>
      </c>
      <c r="CC200" s="422">
        <v>6.5103768300000002</v>
      </c>
      <c r="CD200" s="422">
        <v>0.18330599</v>
      </c>
      <c r="CE200" s="422">
        <v>6.2462871399999997</v>
      </c>
      <c r="CF200" s="422">
        <v>6.2348582800000001</v>
      </c>
      <c r="CG200" s="422">
        <v>-1.53577772</v>
      </c>
      <c r="CH200" s="422">
        <v>-1.3320149400000001</v>
      </c>
      <c r="CI200" s="422">
        <v>0.34642236999999998</v>
      </c>
    </row>
    <row r="201" spans="1:87" ht="15" customHeight="1" x14ac:dyDescent="0.2">
      <c r="A201" s="297">
        <f t="shared" ref="A201:A208" si="208">A200</f>
        <v>62009043</v>
      </c>
      <c r="B201" s="297" t="s">
        <v>837</v>
      </c>
      <c r="C201" s="297" t="s">
        <v>628</v>
      </c>
      <c r="D201" s="326" t="s">
        <v>923</v>
      </c>
      <c r="E201" s="283" t="s">
        <v>930</v>
      </c>
      <c r="F201" s="310" t="str">
        <f t="shared" si="147"/>
        <v>09/23/20</v>
      </c>
      <c r="G201" s="298" t="s">
        <v>931</v>
      </c>
      <c r="H201" s="298" t="s">
        <v>775</v>
      </c>
      <c r="I201" s="306"/>
      <c r="J201" s="300">
        <f>AVERAGE(J199:J200)</f>
        <v>38.290634499999996</v>
      </c>
      <c r="K201" s="300">
        <f>AVERAGE(K199:K200)</f>
        <v>37.943027499999999</v>
      </c>
      <c r="L201" s="300">
        <f>AVERAGE(L199:L200)</f>
        <v>29.336756999999999</v>
      </c>
      <c r="M201" s="300">
        <f>AVERAGE(M199:M200)</f>
        <v>45.911917500000001</v>
      </c>
      <c r="N201" s="286"/>
      <c r="O201" s="284"/>
      <c r="P201" s="302"/>
      <c r="Q201" s="301"/>
      <c r="R201" s="287">
        <f>R200+R199</f>
        <v>8.015360470000001</v>
      </c>
      <c r="S201" s="287">
        <f>S200</f>
        <v>8.015360470000001</v>
      </c>
      <c r="T201" s="315">
        <f>T199</f>
        <v>21.069627000000001</v>
      </c>
      <c r="U201" s="315">
        <f>U200</f>
        <v>17.781313000000001</v>
      </c>
      <c r="V201" s="290">
        <f>V199</f>
        <v>86114</v>
      </c>
      <c r="W201" s="290">
        <f>W200</f>
        <v>88173</v>
      </c>
      <c r="X201" s="290">
        <f>SUM(X199:X200)</f>
        <v>2222</v>
      </c>
      <c r="Y201" s="290">
        <f t="shared" si="197"/>
        <v>277.21772568015268</v>
      </c>
      <c r="Z201" s="290">
        <f>Z199</f>
        <v>2139.0064400000001</v>
      </c>
      <c r="AA201" s="290">
        <f>AA200</f>
        <v>2183.1</v>
      </c>
      <c r="AB201" s="290">
        <f>SUM(AB199:AB200)</f>
        <v>51.593559999999798</v>
      </c>
      <c r="AC201" s="290">
        <f t="shared" si="198"/>
        <v>6.4368358969137907</v>
      </c>
      <c r="AD201" s="290">
        <f>AD199</f>
        <v>1844.8606440000001</v>
      </c>
      <c r="AE201" s="290">
        <f>AE200</f>
        <v>1884.83043</v>
      </c>
      <c r="AF201" s="290">
        <f>SUM(AF199:AF200)</f>
        <v>46.712423999999828</v>
      </c>
      <c r="AG201" s="290">
        <f t="shared" si="199"/>
        <v>5.8278631603451547</v>
      </c>
      <c r="AH201" s="290">
        <f>AH199</f>
        <v>-19.000644000000001</v>
      </c>
      <c r="AI201" s="290">
        <f>AI200</f>
        <v>-23.179569999999998</v>
      </c>
      <c r="AJ201" s="290">
        <f>SUM(AJ199:AJ200)</f>
        <v>-3.4693559999999977</v>
      </c>
      <c r="AK201" s="288">
        <f t="shared" si="200"/>
        <v>-0.43283842479513551</v>
      </c>
      <c r="AL201" s="290">
        <f>AL199</f>
        <v>4062.8</v>
      </c>
      <c r="AM201" s="290">
        <f>AM200</f>
        <v>4186.6000000000004</v>
      </c>
      <c r="AN201" s="290">
        <f>SUM(AN199:AN200)</f>
        <v>144.50374800000009</v>
      </c>
      <c r="AO201" s="288">
        <f t="shared" si="201"/>
        <v>18.028353003068379</v>
      </c>
      <c r="AP201" s="290">
        <f>AP199</f>
        <v>-144</v>
      </c>
      <c r="AQ201" s="290">
        <f>AQ200</f>
        <v>-146.5</v>
      </c>
      <c r="AR201" s="290">
        <f>SUM(AR199:AR200)</f>
        <v>-3.0999999999999943</v>
      </c>
      <c r="AS201" s="288">
        <f t="shared" si="202"/>
        <v>-0.38675740306411871</v>
      </c>
      <c r="AT201" s="290">
        <f>AT199</f>
        <v>88.2</v>
      </c>
      <c r="AU201" s="290">
        <f>AU200</f>
        <v>88.9</v>
      </c>
      <c r="AV201" s="290">
        <f>SUM(AV199:AV200)</f>
        <v>0.79999999999999716</v>
      </c>
      <c r="AW201" s="288">
        <f t="shared" si="203"/>
        <v>9.9808362081062724E-2</v>
      </c>
      <c r="AX201" s="290">
        <f>AX199</f>
        <v>49921</v>
      </c>
      <c r="AY201" s="290">
        <f>AY200</f>
        <v>51980</v>
      </c>
      <c r="AZ201" s="290">
        <f>SUM(AZ199:AZ200)</f>
        <v>2222</v>
      </c>
      <c r="BA201" s="288">
        <f t="shared" si="204"/>
        <v>277.21772568015268</v>
      </c>
      <c r="BB201" s="290">
        <f>BB199</f>
        <v>41272.800000000003</v>
      </c>
      <c r="BC201" s="290">
        <f>BC200</f>
        <v>41273.4</v>
      </c>
      <c r="BD201" s="290">
        <f>SUM(BD199:BD200)</f>
        <v>0.69999999999708962</v>
      </c>
      <c r="BE201" s="288">
        <f t="shared" si="205"/>
        <v>8.7332316820567094E-2</v>
      </c>
      <c r="BF201" s="290">
        <f>BF199</f>
        <v>-41108.300000000003</v>
      </c>
      <c r="BG201" s="290">
        <f>BG200</f>
        <v>-41108.300000000003</v>
      </c>
      <c r="BH201" s="290">
        <f>SUM(BH199:BH200)</f>
        <v>0</v>
      </c>
      <c r="BI201" s="288">
        <f t="shared" si="206"/>
        <v>0</v>
      </c>
      <c r="BJ201" s="282"/>
      <c r="BK201" s="282"/>
      <c r="BL201" s="282">
        <f>SUM(BL199:BL200)</f>
        <v>-3.5583990000000014</v>
      </c>
      <c r="BM201" s="459">
        <f>BM199</f>
        <v>-41108.300000000003</v>
      </c>
      <c r="BN201" s="459">
        <f>BN200</f>
        <v>-41108.300000000003</v>
      </c>
      <c r="BO201" s="459">
        <f>SUM(BO199:BO200)</f>
        <v>0</v>
      </c>
      <c r="BP201" s="459">
        <f>BP199</f>
        <v>41272.800000000003</v>
      </c>
      <c r="BQ201" s="459">
        <f>BQ200</f>
        <v>41273.4</v>
      </c>
      <c r="BR201" s="459">
        <f>SUM(BR199:BR200)</f>
        <v>0.69999999999708962</v>
      </c>
      <c r="BS201" s="282"/>
      <c r="BT201" s="282"/>
      <c r="BU201" s="282"/>
      <c r="BV201" s="282"/>
      <c r="BW201" s="298" t="s">
        <v>713</v>
      </c>
    </row>
    <row r="202" spans="1:87" ht="15" customHeight="1" x14ac:dyDescent="0.2">
      <c r="A202" s="297">
        <v>62009044</v>
      </c>
      <c r="B202" s="297" t="s">
        <v>924</v>
      </c>
      <c r="C202" s="297" t="s">
        <v>626</v>
      </c>
      <c r="D202" s="326" t="s">
        <v>932</v>
      </c>
      <c r="E202" s="283" t="s">
        <v>933</v>
      </c>
      <c r="F202" s="310" t="str">
        <f t="shared" si="147"/>
        <v>09/23/20</v>
      </c>
      <c r="G202" s="298" t="s">
        <v>934</v>
      </c>
      <c r="H202" s="298" t="s">
        <v>935</v>
      </c>
      <c r="I202" s="306"/>
      <c r="J202" s="299">
        <v>36.503815000000003</v>
      </c>
      <c r="K202" s="299">
        <v>40.623406000000003</v>
      </c>
      <c r="L202" s="299">
        <v>29.326830000000001</v>
      </c>
      <c r="M202" s="299">
        <v>45.350088</v>
      </c>
      <c r="N202" s="284">
        <v>3875</v>
      </c>
      <c r="O202" s="284">
        <v>28.39</v>
      </c>
      <c r="P202" s="284">
        <v>0.20169999999999999</v>
      </c>
      <c r="Q202" s="284">
        <v>1.932E-2</v>
      </c>
      <c r="R202" s="285">
        <v>3.5778244300000002</v>
      </c>
      <c r="S202" s="285">
        <f t="shared" ref="S202:S207" si="209">R202+R201</f>
        <v>11.593184900000001</v>
      </c>
      <c r="T202" s="314">
        <v>17.502072999999999</v>
      </c>
      <c r="U202" s="314">
        <v>16.374433</v>
      </c>
      <c r="V202" s="289">
        <v>88342</v>
      </c>
      <c r="W202" s="289">
        <v>89048</v>
      </c>
      <c r="X202" s="289">
        <f t="shared" ref="X202:X207" si="210">W202-V202</f>
        <v>706</v>
      </c>
      <c r="Y202" s="289">
        <f t="shared" si="197"/>
        <v>197.32661951777214</v>
      </c>
      <c r="Z202" s="308">
        <v>2195.5</v>
      </c>
      <c r="AA202" s="289">
        <v>2245.3000000000002</v>
      </c>
      <c r="AB202" s="289">
        <f t="shared" ref="AB202:AB207" si="211">AA202-Z202</f>
        <v>49.800000000000182</v>
      </c>
      <c r="AC202" s="289">
        <f t="shared" si="198"/>
        <v>13.919073161451966</v>
      </c>
      <c r="AD202" s="308">
        <v>1896.000378</v>
      </c>
      <c r="AE202" s="289">
        <v>1941.120136</v>
      </c>
      <c r="AF202" s="289">
        <f t="shared" ref="AF202:AF207" si="212">AE202-AD202</f>
        <v>45.119758000000047</v>
      </c>
      <c r="AG202" s="289">
        <f t="shared" si="199"/>
        <v>12.610948044759157</v>
      </c>
      <c r="AH202" s="308">
        <v>-21.530377999999999</v>
      </c>
      <c r="AI202" s="289">
        <v>-24.32</v>
      </c>
      <c r="AJ202" s="289">
        <f t="shared" ref="AJ202:AJ207" si="213">AI202-AH202</f>
        <v>-2.7896220000000014</v>
      </c>
      <c r="AK202" s="307">
        <f t="shared" si="200"/>
        <v>-0.7796978455983099</v>
      </c>
      <c r="AL202" s="308">
        <v>4208.2</v>
      </c>
      <c r="AM202" s="289">
        <v>4342.7</v>
      </c>
      <c r="AN202" s="289">
        <f t="shared" ref="AN202:AN207" si="214">AM202-AL202</f>
        <v>134.5</v>
      </c>
      <c r="AO202" s="307">
        <f t="shared" si="201"/>
        <v>37.592677514363103</v>
      </c>
      <c r="AP202" s="308">
        <v>-147.19999999999999</v>
      </c>
      <c r="AQ202" s="289">
        <v>-150.19999999999999</v>
      </c>
      <c r="AR202" s="289">
        <f t="shared" ref="AR202:AR207" si="215">AQ202-AP202</f>
        <v>-3</v>
      </c>
      <c r="AS202" s="307">
        <f t="shared" si="202"/>
        <v>-0.83849838321999492</v>
      </c>
      <c r="AT202" s="308">
        <v>89.1</v>
      </c>
      <c r="AU202" s="289">
        <v>89.8</v>
      </c>
      <c r="AV202" s="289">
        <f t="shared" ref="AV202:AV207" si="216">AU202-AT202</f>
        <v>0.70000000000000284</v>
      </c>
      <c r="AW202" s="307">
        <f t="shared" si="203"/>
        <v>0.19564962275133294</v>
      </c>
      <c r="AX202" s="308">
        <v>52149</v>
      </c>
      <c r="AY202" s="289">
        <v>52853</v>
      </c>
      <c r="AZ202" s="289">
        <f t="shared" ref="AZ202:AZ207" si="217">AY202-AX202</f>
        <v>704</v>
      </c>
      <c r="BA202" s="307">
        <f t="shared" si="204"/>
        <v>196.76762059562546</v>
      </c>
      <c r="BB202" s="308">
        <v>41273.800000000003</v>
      </c>
      <c r="BC202" s="289">
        <v>41274.6</v>
      </c>
      <c r="BD202" s="289">
        <f t="shared" ref="BD202:BD207" si="218">BC202-BB202</f>
        <v>0.79999999999563443</v>
      </c>
      <c r="BE202" s="307">
        <f t="shared" si="205"/>
        <v>0.22359956885744514</v>
      </c>
      <c r="BF202" s="308">
        <v>-41108.300000000003</v>
      </c>
      <c r="BG202" s="289">
        <v>-41108.300000000003</v>
      </c>
      <c r="BH202" s="289">
        <f t="shared" ref="BH202:BH207" si="219">BG202-BF202</f>
        <v>0</v>
      </c>
      <c r="BI202" s="307">
        <f t="shared" si="206"/>
        <v>0</v>
      </c>
      <c r="BJ202" s="281">
        <v>17.502072999999999</v>
      </c>
      <c r="BK202" s="281">
        <v>16.374433</v>
      </c>
      <c r="BL202" s="281">
        <f t="shared" ref="BL202:BL207" si="220">BK202-BJ202</f>
        <v>-1.1276399999999995</v>
      </c>
      <c r="BM202" s="408">
        <v>-41108.300000000003</v>
      </c>
      <c r="BN202" s="458">
        <v>-41108.300000000003</v>
      </c>
      <c r="BO202" s="458">
        <f t="shared" ref="BO202:BO207" si="221">BN202-BM202</f>
        <v>0</v>
      </c>
      <c r="BP202" s="408">
        <v>41273.800000000003</v>
      </c>
      <c r="BQ202" s="458">
        <v>41274.6</v>
      </c>
      <c r="BR202" s="458">
        <f t="shared" ref="BR202:BR207" si="222">BQ202-BP202</f>
        <v>0.79999999999563443</v>
      </c>
      <c r="BS202" s="281"/>
      <c r="BT202" s="281"/>
      <c r="BU202" s="281"/>
      <c r="BV202" s="281"/>
      <c r="BW202" s="298" t="s">
        <v>713</v>
      </c>
      <c r="BX202" s="422">
        <v>2149.7134982500002</v>
      </c>
      <c r="BY202" s="422">
        <v>-2.2139790600000002</v>
      </c>
      <c r="BZ202" s="422">
        <v>2475.4617198300002</v>
      </c>
      <c r="CA202" s="422">
        <v>2531.5087944299999</v>
      </c>
      <c r="CB202" s="422">
        <v>2.9810931799999998</v>
      </c>
      <c r="CC202" s="422">
        <v>3.0201157200000002</v>
      </c>
      <c r="CD202" s="422">
        <v>-4.5849910000000001E-2</v>
      </c>
      <c r="CE202" s="422">
        <v>3.5778335700000001</v>
      </c>
      <c r="CF202" s="422">
        <v>3.5794747500000001</v>
      </c>
      <c r="CG202" s="422">
        <v>-1.26255074</v>
      </c>
      <c r="CH202" s="422">
        <v>-1.2920873900000001</v>
      </c>
      <c r="CI202" s="422">
        <v>0.69247201999999997</v>
      </c>
    </row>
    <row r="203" spans="1:87" ht="15" customHeight="1" x14ac:dyDescent="0.2">
      <c r="A203" s="297">
        <v>62009045</v>
      </c>
      <c r="B203" s="297" t="s">
        <v>925</v>
      </c>
      <c r="C203" s="297" t="s">
        <v>626</v>
      </c>
      <c r="D203" s="326" t="s">
        <v>932</v>
      </c>
      <c r="E203" s="283" t="s">
        <v>936</v>
      </c>
      <c r="F203" s="310" t="str">
        <f t="shared" si="147"/>
        <v>09/23/20</v>
      </c>
      <c r="G203" s="298" t="s">
        <v>934</v>
      </c>
      <c r="H203" s="298" t="s">
        <v>775</v>
      </c>
      <c r="I203" s="306"/>
      <c r="J203" s="299">
        <v>36.781086000000002</v>
      </c>
      <c r="K203" s="299">
        <v>37.491895999999997</v>
      </c>
      <c r="L203" s="299">
        <v>29.321159000000002</v>
      </c>
      <c r="M203" s="299">
        <v>43.889862999999998</v>
      </c>
      <c r="N203" s="284">
        <v>3875</v>
      </c>
      <c r="O203" s="284">
        <v>28.39</v>
      </c>
      <c r="P203" s="284">
        <v>0.20169999999999999</v>
      </c>
      <c r="Q203" s="284">
        <v>1.932E-2</v>
      </c>
      <c r="R203" s="285">
        <v>3.5779132800000002</v>
      </c>
      <c r="S203" s="285">
        <f t="shared" si="209"/>
        <v>7.1557377100000004</v>
      </c>
      <c r="T203" s="314">
        <v>16.369855000000001</v>
      </c>
      <c r="U203" s="314">
        <v>15.185757000000001</v>
      </c>
      <c r="V203" s="289">
        <v>89051</v>
      </c>
      <c r="W203" s="289">
        <v>89789</v>
      </c>
      <c r="X203" s="289">
        <f t="shared" si="210"/>
        <v>738</v>
      </c>
      <c r="Y203" s="289">
        <f t="shared" si="197"/>
        <v>206.26547997272868</v>
      </c>
      <c r="Z203" s="308">
        <v>2247.6994</v>
      </c>
      <c r="AA203" s="289">
        <v>2299.9</v>
      </c>
      <c r="AB203" s="289">
        <f t="shared" si="211"/>
        <v>52.200600000000122</v>
      </c>
      <c r="AC203" s="289">
        <f t="shared" si="198"/>
        <v>14.58967725455887</v>
      </c>
      <c r="AD203" s="308">
        <v>1943.2799399999999</v>
      </c>
      <c r="AE203" s="289">
        <v>1990.649613</v>
      </c>
      <c r="AF203" s="289">
        <f t="shared" si="212"/>
        <v>47.369673000000148</v>
      </c>
      <c r="AG203" s="289">
        <f t="shared" si="199"/>
        <v>13.239469292000321</v>
      </c>
      <c r="AH203" s="308">
        <v>-22.21</v>
      </c>
      <c r="AI203" s="289">
        <v>-26.4</v>
      </c>
      <c r="AJ203" s="289">
        <f t="shared" si="213"/>
        <v>-4.1899999999999977</v>
      </c>
      <c r="AK203" s="307">
        <f t="shared" si="200"/>
        <v>-1.1710736600077678</v>
      </c>
      <c r="AL203" s="308">
        <v>4342.8</v>
      </c>
      <c r="AM203" s="289">
        <v>4503.6960660000004</v>
      </c>
      <c r="AN203" s="289">
        <f t="shared" si="214"/>
        <v>160.89606600000025</v>
      </c>
      <c r="AO203" s="307">
        <f t="shared" si="201"/>
        <v>44.96924699080472</v>
      </c>
      <c r="AP203" s="308">
        <v>-150.19999999999999</v>
      </c>
      <c r="AQ203" s="289">
        <v>-153.1</v>
      </c>
      <c r="AR203" s="289">
        <f t="shared" si="215"/>
        <v>-2.9000000000000057</v>
      </c>
      <c r="AS203" s="307">
        <f t="shared" si="202"/>
        <v>-0.8105283088359273</v>
      </c>
      <c r="AT203" s="308">
        <v>89.9</v>
      </c>
      <c r="AU203" s="289">
        <v>90.7</v>
      </c>
      <c r="AV203" s="289">
        <f t="shared" si="216"/>
        <v>0.79999999999999716</v>
      </c>
      <c r="AW203" s="307">
        <f t="shared" si="203"/>
        <v>0.22359401623059941</v>
      </c>
      <c r="AX203" s="308">
        <v>52856</v>
      </c>
      <c r="AY203" s="289">
        <v>53593</v>
      </c>
      <c r="AZ203" s="289">
        <f t="shared" si="217"/>
        <v>737</v>
      </c>
      <c r="BA203" s="307">
        <f t="shared" si="204"/>
        <v>205.98598745244041</v>
      </c>
      <c r="BB203" s="308">
        <v>41275.5</v>
      </c>
      <c r="BC203" s="289">
        <v>41276.199999999997</v>
      </c>
      <c r="BD203" s="289">
        <f t="shared" si="218"/>
        <v>0.69999999999708962</v>
      </c>
      <c r="BE203" s="307">
        <f t="shared" si="205"/>
        <v>0.19564476420096175</v>
      </c>
      <c r="BF203" s="308">
        <v>-41108.300000000003</v>
      </c>
      <c r="BG203" s="289">
        <v>-41108.300000000003</v>
      </c>
      <c r="BH203" s="289">
        <f t="shared" si="219"/>
        <v>0</v>
      </c>
      <c r="BI203" s="307">
        <f t="shared" si="206"/>
        <v>0</v>
      </c>
      <c r="BJ203" s="281">
        <v>16.369855000000001</v>
      </c>
      <c r="BK203" s="281">
        <v>15.185757000000001</v>
      </c>
      <c r="BL203" s="281">
        <f t="shared" si="220"/>
        <v>-1.1840980000000005</v>
      </c>
      <c r="BM203" s="408">
        <v>-41108.300000000003</v>
      </c>
      <c r="BN203" s="458">
        <v>-41108.300000000003</v>
      </c>
      <c r="BO203" s="458">
        <f t="shared" si="221"/>
        <v>0</v>
      </c>
      <c r="BP203" s="408">
        <v>41275.5</v>
      </c>
      <c r="BQ203" s="458">
        <v>41276.199999999997</v>
      </c>
      <c r="BR203" s="458">
        <f t="shared" si="222"/>
        <v>0.69999999999708962</v>
      </c>
      <c r="BS203" s="281"/>
      <c r="BT203" s="281"/>
      <c r="BU203" s="281"/>
      <c r="BV203" s="281"/>
      <c r="BW203" s="298" t="s">
        <v>713</v>
      </c>
      <c r="BX203" s="422">
        <v>2149.3609873099999</v>
      </c>
      <c r="BY203" s="422">
        <v>-2.1733673800000002</v>
      </c>
      <c r="BZ203" s="422">
        <v>2476.5076041000002</v>
      </c>
      <c r="CA203" s="422">
        <v>2531.5269859300001</v>
      </c>
      <c r="CB203" s="422">
        <v>2.98443718</v>
      </c>
      <c r="CC203" s="422">
        <v>3.0201412400000001</v>
      </c>
      <c r="CD203" s="422">
        <v>-4.3946949999999999E-2</v>
      </c>
      <c r="CE203" s="422">
        <v>3.5779016299999999</v>
      </c>
      <c r="CF203" s="422">
        <v>3.5794747</v>
      </c>
      <c r="CG203" s="422">
        <v>-1.1518688399999999</v>
      </c>
      <c r="CH203" s="422">
        <v>-1.18219842</v>
      </c>
      <c r="CI203" s="422">
        <v>0.69246969999999997</v>
      </c>
    </row>
    <row r="204" spans="1:87" ht="15" customHeight="1" x14ac:dyDescent="0.2">
      <c r="A204" s="297">
        <v>62009045</v>
      </c>
      <c r="B204" s="297" t="s">
        <v>926</v>
      </c>
      <c r="C204" s="297" t="s">
        <v>627</v>
      </c>
      <c r="D204" s="326" t="s">
        <v>932</v>
      </c>
      <c r="E204" s="283" t="s">
        <v>936</v>
      </c>
      <c r="F204" s="310" t="str">
        <f t="shared" ref="F204:F248" si="223">LEFT(E204,8)</f>
        <v>09/23/20</v>
      </c>
      <c r="G204" s="298" t="s">
        <v>934</v>
      </c>
      <c r="H204" s="298" t="s">
        <v>775</v>
      </c>
      <c r="I204" s="306"/>
      <c r="J204" s="299">
        <v>36.782952999999999</v>
      </c>
      <c r="K204" s="299">
        <v>36.743194000000003</v>
      </c>
      <c r="L204" s="299">
        <v>29.315241</v>
      </c>
      <c r="M204" s="299">
        <v>43.666806999999999</v>
      </c>
      <c r="N204" s="284">
        <v>3875</v>
      </c>
      <c r="O204" s="284">
        <v>28.39</v>
      </c>
      <c r="P204" s="284">
        <v>0.20169999999999999</v>
      </c>
      <c r="Q204" s="284">
        <v>1.932E-2</v>
      </c>
      <c r="R204" s="285">
        <v>3.57819156</v>
      </c>
      <c r="S204" s="285">
        <f t="shared" si="209"/>
        <v>7.1561048400000002</v>
      </c>
      <c r="T204" s="314">
        <v>15.179653</v>
      </c>
      <c r="U204" s="314">
        <v>13.986399</v>
      </c>
      <c r="V204" s="289">
        <v>89794</v>
      </c>
      <c r="W204" s="289">
        <v>90533</v>
      </c>
      <c r="X204" s="289">
        <f t="shared" si="210"/>
        <v>739</v>
      </c>
      <c r="Y204" s="289">
        <f t="shared" si="197"/>
        <v>206.52890925716676</v>
      </c>
      <c r="Z204" s="308">
        <v>2302.6</v>
      </c>
      <c r="AA204" s="289">
        <v>2354.4303810000001</v>
      </c>
      <c r="AB204" s="289">
        <f t="shared" si="211"/>
        <v>51.830381000000216</v>
      </c>
      <c r="AC204" s="289">
        <f t="shared" si="198"/>
        <v>14.485077204754296</v>
      </c>
      <c r="AD204" s="308">
        <v>1993.06</v>
      </c>
      <c r="AE204" s="289">
        <v>2039.9560759999999</v>
      </c>
      <c r="AF204" s="289">
        <f t="shared" si="212"/>
        <v>46.896075999999994</v>
      </c>
      <c r="AG204" s="289">
        <f t="shared" si="199"/>
        <v>13.106083118702564</v>
      </c>
      <c r="AH204" s="308">
        <v>-24.249331999999999</v>
      </c>
      <c r="AI204" s="289">
        <v>-27.99</v>
      </c>
      <c r="AJ204" s="289">
        <f t="shared" si="213"/>
        <v>-3.7406679999999994</v>
      </c>
      <c r="AK204" s="307">
        <f t="shared" si="200"/>
        <v>-1.0454074180422022</v>
      </c>
      <c r="AL204" s="308">
        <v>4504.6000000000004</v>
      </c>
      <c r="AM204" s="289">
        <v>4667.3999999999996</v>
      </c>
      <c r="AN204" s="289">
        <f t="shared" si="214"/>
        <v>162.79999999999927</v>
      </c>
      <c r="AO204" s="307">
        <f t="shared" si="201"/>
        <v>45.49784360902111</v>
      </c>
      <c r="AP204" s="308">
        <v>-153.1</v>
      </c>
      <c r="AQ204" s="289">
        <v>-155.9</v>
      </c>
      <c r="AR204" s="289">
        <f t="shared" si="215"/>
        <v>-2.8000000000000114</v>
      </c>
      <c r="AS204" s="307">
        <f t="shared" si="202"/>
        <v>-0.78251819474975548</v>
      </c>
      <c r="AT204" s="308">
        <v>90.7</v>
      </c>
      <c r="AU204" s="289">
        <v>91.6</v>
      </c>
      <c r="AV204" s="289">
        <f t="shared" si="216"/>
        <v>0.89999999999999147</v>
      </c>
      <c r="AW204" s="307">
        <f t="shared" si="203"/>
        <v>0.25152370545527514</v>
      </c>
      <c r="AX204" s="308">
        <v>53597</v>
      </c>
      <c r="AY204" s="289">
        <v>54335</v>
      </c>
      <c r="AZ204" s="289">
        <f t="shared" si="217"/>
        <v>738</v>
      </c>
      <c r="BA204" s="307">
        <f t="shared" si="204"/>
        <v>206.24943847332756</v>
      </c>
      <c r="BB204" s="308">
        <v>41277</v>
      </c>
      <c r="BC204" s="289">
        <v>41277.800000000003</v>
      </c>
      <c r="BD204" s="289">
        <f t="shared" si="218"/>
        <v>0.80000000000291038</v>
      </c>
      <c r="BE204" s="307">
        <f t="shared" si="205"/>
        <v>0.22357662707217116</v>
      </c>
      <c r="BF204" s="308">
        <v>-41108.300000000003</v>
      </c>
      <c r="BG204" s="289">
        <v>-41108.300000000003</v>
      </c>
      <c r="BH204" s="289">
        <f t="shared" si="219"/>
        <v>0</v>
      </c>
      <c r="BI204" s="307">
        <f t="shared" si="206"/>
        <v>0</v>
      </c>
      <c r="BJ204" s="281">
        <v>15.179653</v>
      </c>
      <c r="BK204" s="281">
        <v>13.986399</v>
      </c>
      <c r="BL204" s="281">
        <f t="shared" si="220"/>
        <v>-1.1932539999999996</v>
      </c>
      <c r="BM204" s="408">
        <v>-41108.300000000003</v>
      </c>
      <c r="BN204" s="458">
        <v>-41108.300000000003</v>
      </c>
      <c r="BO204" s="458">
        <f t="shared" si="221"/>
        <v>0</v>
      </c>
      <c r="BP204" s="408">
        <v>41277</v>
      </c>
      <c r="BQ204" s="458">
        <v>41277.800000000003</v>
      </c>
      <c r="BR204" s="458">
        <f t="shared" si="222"/>
        <v>0.80000000000291038</v>
      </c>
      <c r="BS204" s="281"/>
      <c r="BT204" s="281"/>
      <c r="BU204" s="281"/>
      <c r="BV204" s="281"/>
      <c r="BW204" s="298" t="s">
        <v>713</v>
      </c>
      <c r="BX204" s="422">
        <v>2142.8433858200001</v>
      </c>
      <c r="BY204" s="422">
        <v>-2.2012088599999999</v>
      </c>
      <c r="BZ204" s="422">
        <v>2475.54421022</v>
      </c>
      <c r="CA204" s="422">
        <v>2531.2625865099999</v>
      </c>
      <c r="CB204" s="422">
        <v>2.9813617400000001</v>
      </c>
      <c r="CC204" s="422">
        <v>3.01991538</v>
      </c>
      <c r="CD204" s="422">
        <v>-3.5407470000000003E-2</v>
      </c>
      <c r="CE204" s="422">
        <v>3.5782066100000001</v>
      </c>
      <c r="CF204" s="422">
        <v>3.5794740100000002</v>
      </c>
      <c r="CG204" s="422">
        <v>-1.2572900199999999</v>
      </c>
      <c r="CH204" s="422">
        <v>-1.27664635</v>
      </c>
      <c r="CI204" s="422">
        <v>0.69244600999999995</v>
      </c>
    </row>
    <row r="205" spans="1:87" ht="15" customHeight="1" x14ac:dyDescent="0.2">
      <c r="A205" s="297">
        <v>62009046</v>
      </c>
      <c r="B205" s="297" t="s">
        <v>55</v>
      </c>
      <c r="C205" s="297" t="s">
        <v>626</v>
      </c>
      <c r="D205" s="326" t="s">
        <v>937</v>
      </c>
      <c r="E205" s="283" t="s">
        <v>938</v>
      </c>
      <c r="F205" s="310" t="str">
        <f t="shared" si="223"/>
        <v>09/23/20</v>
      </c>
      <c r="G205" s="298" t="s">
        <v>939</v>
      </c>
      <c r="H205" s="298" t="s">
        <v>775</v>
      </c>
      <c r="I205" s="306"/>
      <c r="J205" s="299">
        <v>38.596882000000001</v>
      </c>
      <c r="K205" s="299">
        <v>34.224839000000003</v>
      </c>
      <c r="L205" s="299">
        <v>29.319866999999999</v>
      </c>
      <c r="M205" s="299">
        <v>44.040832999999999</v>
      </c>
      <c r="N205" s="284">
        <v>3875</v>
      </c>
      <c r="O205" s="284">
        <v>28.39</v>
      </c>
      <c r="P205" s="284">
        <v>0.20169999999999999</v>
      </c>
      <c r="Q205" s="284">
        <v>1.932E-2</v>
      </c>
      <c r="R205" s="285">
        <v>10.275823259999999</v>
      </c>
      <c r="S205" s="285">
        <f t="shared" si="209"/>
        <v>13.85401482</v>
      </c>
      <c r="T205" s="314">
        <v>13.980295999999999</v>
      </c>
      <c r="U205" s="314">
        <v>10.579065</v>
      </c>
      <c r="V205" s="289">
        <v>90537</v>
      </c>
      <c r="W205" s="289">
        <v>92641</v>
      </c>
      <c r="X205" s="289">
        <f t="shared" si="210"/>
        <v>2104</v>
      </c>
      <c r="Y205" s="289">
        <f t="shared" si="197"/>
        <v>204.75245114326734</v>
      </c>
      <c r="Z205" s="308">
        <v>2356.6</v>
      </c>
      <c r="AA205" s="289">
        <v>2425</v>
      </c>
      <c r="AB205" s="289">
        <f t="shared" si="211"/>
        <v>68.400000000000091</v>
      </c>
      <c r="AC205" s="289">
        <f t="shared" si="198"/>
        <v>6.6564009782317042</v>
      </c>
      <c r="AD205" s="308">
        <v>2041.869146</v>
      </c>
      <c r="AE205" s="289">
        <v>2103.8888080000002</v>
      </c>
      <c r="AF205" s="289">
        <f t="shared" si="212"/>
        <v>62.019662000000153</v>
      </c>
      <c r="AG205" s="289">
        <f t="shared" si="199"/>
        <v>6.0354932574035098</v>
      </c>
      <c r="AH205" s="308">
        <v>-25.739146000000002</v>
      </c>
      <c r="AI205" s="289">
        <v>-34.06</v>
      </c>
      <c r="AJ205" s="289">
        <f t="shared" si="213"/>
        <v>-8.3208540000000006</v>
      </c>
      <c r="AK205" s="307">
        <f t="shared" si="200"/>
        <v>-0.80975059510706315</v>
      </c>
      <c r="AL205" s="308">
        <v>4668.7</v>
      </c>
      <c r="AM205" s="289">
        <v>4848.5</v>
      </c>
      <c r="AN205" s="289">
        <f t="shared" si="214"/>
        <v>179.80000000000018</v>
      </c>
      <c r="AO205" s="307">
        <f t="shared" si="201"/>
        <v>17.497381518802047</v>
      </c>
      <c r="AP205" s="308">
        <v>-155.9</v>
      </c>
      <c r="AQ205" s="289">
        <v>-159.4</v>
      </c>
      <c r="AR205" s="289">
        <f t="shared" si="215"/>
        <v>-3.5</v>
      </c>
      <c r="AS205" s="307">
        <f t="shared" si="202"/>
        <v>-0.34060531321361015</v>
      </c>
      <c r="AT205" s="308">
        <v>91.6</v>
      </c>
      <c r="AU205" s="289">
        <v>92.7</v>
      </c>
      <c r="AV205" s="289">
        <f t="shared" si="216"/>
        <v>1.1000000000000085</v>
      </c>
      <c r="AW205" s="307">
        <f t="shared" si="203"/>
        <v>0.10704738415284973</v>
      </c>
      <c r="AX205" s="308">
        <v>54339</v>
      </c>
      <c r="AY205" s="289">
        <v>56442</v>
      </c>
      <c r="AZ205" s="289">
        <f t="shared" si="217"/>
        <v>2103</v>
      </c>
      <c r="BA205" s="307">
        <f t="shared" si="204"/>
        <v>204.65513533949203</v>
      </c>
      <c r="BB205" s="308">
        <v>41278.1</v>
      </c>
      <c r="BC205" s="289">
        <v>41279.1</v>
      </c>
      <c r="BD205" s="289">
        <f t="shared" si="218"/>
        <v>1</v>
      </c>
      <c r="BE205" s="307">
        <f t="shared" si="205"/>
        <v>9.7315803775317178E-2</v>
      </c>
      <c r="BF205" s="308">
        <v>-41108.300000000003</v>
      </c>
      <c r="BG205" s="289">
        <v>-41108.300000000003</v>
      </c>
      <c r="BH205" s="289">
        <f t="shared" si="219"/>
        <v>0</v>
      </c>
      <c r="BI205" s="307">
        <f t="shared" si="206"/>
        <v>0</v>
      </c>
      <c r="BJ205" s="281">
        <v>13.980295999999999</v>
      </c>
      <c r="BK205" s="281">
        <v>10.579065</v>
      </c>
      <c r="BL205" s="281">
        <f t="shared" si="220"/>
        <v>-3.4012309999999992</v>
      </c>
      <c r="BM205" s="408">
        <v>-41108.300000000003</v>
      </c>
      <c r="BN205" s="458">
        <v>-41108.300000000003</v>
      </c>
      <c r="BO205" s="458">
        <f t="shared" si="221"/>
        <v>0</v>
      </c>
      <c r="BP205" s="408">
        <v>41278.1</v>
      </c>
      <c r="BQ205" s="458">
        <v>41279.1</v>
      </c>
      <c r="BR205" s="458">
        <f t="shared" si="222"/>
        <v>1</v>
      </c>
      <c r="BS205" s="281"/>
      <c r="BT205" s="281"/>
      <c r="BU205" s="281"/>
      <c r="BV205" s="281"/>
      <c r="BW205" s="298" t="s">
        <v>713</v>
      </c>
      <c r="BX205" s="422">
        <v>1773.4876021499999</v>
      </c>
      <c r="BY205" s="422">
        <v>1.87164548</v>
      </c>
      <c r="BZ205" s="422">
        <v>1331.2374890000001</v>
      </c>
      <c r="CA205" s="422">
        <v>1306.7792149500001</v>
      </c>
      <c r="CB205" s="422">
        <v>7.3475945300000003</v>
      </c>
      <c r="CC205" s="422">
        <v>7.3155232200000002</v>
      </c>
      <c r="CD205" s="422">
        <v>0.18755222999999999</v>
      </c>
      <c r="CE205" s="422">
        <v>10.27591703</v>
      </c>
      <c r="CF205" s="422">
        <v>10.25668039</v>
      </c>
      <c r="CG205" s="422">
        <v>0.24975369</v>
      </c>
      <c r="CH205" s="422">
        <v>0.43840085000000001</v>
      </c>
      <c r="CI205" s="422">
        <v>0.28265982000000001</v>
      </c>
    </row>
    <row r="206" spans="1:87" ht="15" customHeight="1" x14ac:dyDescent="0.2">
      <c r="A206" s="297">
        <v>62009047</v>
      </c>
      <c r="B206" s="297" t="s">
        <v>838</v>
      </c>
      <c r="C206" s="297" t="s">
        <v>629</v>
      </c>
      <c r="D206" s="326" t="s">
        <v>940</v>
      </c>
      <c r="E206" s="283" t="s">
        <v>941</v>
      </c>
      <c r="F206" s="310" t="str">
        <f t="shared" si="223"/>
        <v>09/23/20</v>
      </c>
      <c r="G206" s="298" t="s">
        <v>942</v>
      </c>
      <c r="H206" s="298" t="s">
        <v>775</v>
      </c>
      <c r="I206" s="306"/>
      <c r="J206" s="299" t="s">
        <v>777</v>
      </c>
      <c r="K206" s="299" t="s">
        <v>777</v>
      </c>
      <c r="L206" s="299" t="s">
        <v>777</v>
      </c>
      <c r="M206" s="299" t="s">
        <v>777</v>
      </c>
      <c r="N206" s="284">
        <v>3875</v>
      </c>
      <c r="O206" s="284">
        <v>28.39</v>
      </c>
      <c r="P206" s="284">
        <v>0.20169999999999999</v>
      </c>
      <c r="Q206" s="284">
        <v>1.932E-2</v>
      </c>
      <c r="R206" s="285" t="s">
        <v>1009</v>
      </c>
      <c r="S206" s="285" t="e">
        <f t="shared" si="209"/>
        <v>#VALUE!</v>
      </c>
      <c r="T206" s="314">
        <v>8.1971349999999994</v>
      </c>
      <c r="U206" s="314">
        <v>0</v>
      </c>
      <c r="V206" s="289">
        <v>94105</v>
      </c>
      <c r="W206" s="289">
        <v>92643</v>
      </c>
      <c r="X206" s="289">
        <f t="shared" si="210"/>
        <v>-1462</v>
      </c>
      <c r="Y206" s="289" t="e">
        <f t="shared" si="197"/>
        <v>#VALUE!</v>
      </c>
      <c r="Z206" s="308">
        <v>2532.1999999999998</v>
      </c>
      <c r="AA206" s="289">
        <v>2425.5</v>
      </c>
      <c r="AB206" s="289">
        <f t="shared" si="211"/>
        <v>-106.69999999999982</v>
      </c>
      <c r="AC206" s="289" t="e">
        <f t="shared" si="198"/>
        <v>#VALUE!</v>
      </c>
      <c r="AD206" s="308">
        <v>2200.5</v>
      </c>
      <c r="AE206" s="289">
        <v>2104.29</v>
      </c>
      <c r="AF206" s="289">
        <f t="shared" si="212"/>
        <v>-96.210000000000036</v>
      </c>
      <c r="AG206" s="289" t="e">
        <f t="shared" si="199"/>
        <v>#VALUE!</v>
      </c>
      <c r="AH206" s="308">
        <v>-31.281818999999999</v>
      </c>
      <c r="AI206" s="289">
        <v>-30.73</v>
      </c>
      <c r="AJ206" s="289">
        <f t="shared" si="213"/>
        <v>0.55181899999999828</v>
      </c>
      <c r="AK206" s="307" t="e">
        <f t="shared" si="200"/>
        <v>#VALUE!</v>
      </c>
      <c r="AL206" s="308">
        <v>5164.2</v>
      </c>
      <c r="AM206" s="289">
        <v>4849.8</v>
      </c>
      <c r="AN206" s="289">
        <f t="shared" si="214"/>
        <v>-314.39999999999964</v>
      </c>
      <c r="AO206" s="307" t="e">
        <f t="shared" si="201"/>
        <v>#VALUE!</v>
      </c>
      <c r="AP206" s="308">
        <v>-165.6</v>
      </c>
      <c r="AQ206" s="289">
        <v>-159.4</v>
      </c>
      <c r="AR206" s="289">
        <f t="shared" si="215"/>
        <v>6.1999999999999886</v>
      </c>
      <c r="AS206" s="307" t="e">
        <f t="shared" si="202"/>
        <v>#VALUE!</v>
      </c>
      <c r="AT206" s="308">
        <v>94.7</v>
      </c>
      <c r="AU206" s="289">
        <v>92.7</v>
      </c>
      <c r="AV206" s="289">
        <f t="shared" si="216"/>
        <v>-2</v>
      </c>
      <c r="AW206" s="307" t="e">
        <f t="shared" si="203"/>
        <v>#VALUE!</v>
      </c>
      <c r="AX206" s="308">
        <v>57901</v>
      </c>
      <c r="AY206" s="289">
        <v>56444</v>
      </c>
      <c r="AZ206" s="289">
        <f t="shared" si="217"/>
        <v>-1457</v>
      </c>
      <c r="BA206" s="307" t="e">
        <f t="shared" si="204"/>
        <v>#VALUE!</v>
      </c>
      <c r="BB206" s="308">
        <v>41281.599999999999</v>
      </c>
      <c r="BC206" s="289">
        <v>41279.800000000003</v>
      </c>
      <c r="BD206" s="289">
        <f t="shared" si="218"/>
        <v>-1.7999999999956344</v>
      </c>
      <c r="BE206" s="307" t="e">
        <f t="shared" si="205"/>
        <v>#VALUE!</v>
      </c>
      <c r="BF206" s="308">
        <v>-41108.300000000003</v>
      </c>
      <c r="BG206" s="289">
        <v>-41108.300000000003</v>
      </c>
      <c r="BH206" s="289">
        <f t="shared" si="219"/>
        <v>0</v>
      </c>
      <c r="BI206" s="307" t="e">
        <f t="shared" si="206"/>
        <v>#VALUE!</v>
      </c>
      <c r="BJ206" s="281">
        <v>8.1971349999999994</v>
      </c>
      <c r="BK206" s="281">
        <v>0</v>
      </c>
      <c r="BL206" s="281">
        <f t="shared" si="220"/>
        <v>-8.1971349999999994</v>
      </c>
      <c r="BM206" s="408">
        <v>-41108.300000000003</v>
      </c>
      <c r="BN206" s="458">
        <v>-41108.300000000003</v>
      </c>
      <c r="BO206" s="458">
        <f t="shared" si="221"/>
        <v>0</v>
      </c>
      <c r="BP206" s="408">
        <v>41281.599999999999</v>
      </c>
      <c r="BQ206" s="458">
        <v>41279.800000000003</v>
      </c>
      <c r="BR206" s="458">
        <f t="shared" si="222"/>
        <v>-1.7999999999956344</v>
      </c>
      <c r="BS206" s="281"/>
      <c r="BT206" s="281"/>
      <c r="BU206" s="281"/>
      <c r="BV206" s="281"/>
      <c r="BW206" s="298" t="s">
        <v>713</v>
      </c>
    </row>
    <row r="207" spans="1:87" ht="15" customHeight="1" x14ac:dyDescent="0.2">
      <c r="A207" s="297">
        <f t="shared" si="208"/>
        <v>62009047</v>
      </c>
      <c r="B207" s="297" t="s">
        <v>219</v>
      </c>
      <c r="C207" s="297" t="s">
        <v>630</v>
      </c>
      <c r="D207" s="326" t="s">
        <v>940</v>
      </c>
      <c r="E207" s="283" t="s">
        <v>941</v>
      </c>
      <c r="F207" s="310" t="str">
        <f t="shared" si="223"/>
        <v>09/23/20</v>
      </c>
      <c r="G207" s="298" t="s">
        <v>942</v>
      </c>
      <c r="H207" s="298" t="s">
        <v>775</v>
      </c>
      <c r="I207" s="306"/>
      <c r="J207" s="299" t="s">
        <v>777</v>
      </c>
      <c r="K207" s="299" t="s">
        <v>777</v>
      </c>
      <c r="L207" s="299" t="s">
        <v>777</v>
      </c>
      <c r="M207" s="299" t="s">
        <v>777</v>
      </c>
      <c r="N207" s="284">
        <v>3875</v>
      </c>
      <c r="O207" s="284">
        <v>28.39</v>
      </c>
      <c r="P207" s="284">
        <v>0.20169999999999999</v>
      </c>
      <c r="Q207" s="284">
        <v>1.932E-2</v>
      </c>
      <c r="R207" s="285" t="s">
        <v>1010</v>
      </c>
      <c r="S207" s="285" t="e">
        <f t="shared" si="209"/>
        <v>#VALUE!</v>
      </c>
      <c r="T207" s="314">
        <v>8.1971349999999994</v>
      </c>
      <c r="U207" s="314">
        <v>0</v>
      </c>
      <c r="V207" s="289">
        <v>94105</v>
      </c>
      <c r="W207" s="289">
        <v>92643</v>
      </c>
      <c r="X207" s="289">
        <f t="shared" si="210"/>
        <v>-1462</v>
      </c>
      <c r="Y207" s="289" t="e">
        <f t="shared" si="197"/>
        <v>#VALUE!</v>
      </c>
      <c r="Z207" s="308">
        <v>2532.1999999999998</v>
      </c>
      <c r="AA207" s="289">
        <v>2425.5</v>
      </c>
      <c r="AB207" s="289">
        <f t="shared" si="211"/>
        <v>-106.69999999999982</v>
      </c>
      <c r="AC207" s="289" t="e">
        <f t="shared" si="198"/>
        <v>#VALUE!</v>
      </c>
      <c r="AD207" s="308">
        <v>2200.5</v>
      </c>
      <c r="AE207" s="289">
        <v>2104.29</v>
      </c>
      <c r="AF207" s="289">
        <f t="shared" si="212"/>
        <v>-96.210000000000036</v>
      </c>
      <c r="AG207" s="289" t="e">
        <f t="shared" si="199"/>
        <v>#VALUE!</v>
      </c>
      <c r="AH207" s="308">
        <v>-31.281818999999999</v>
      </c>
      <c r="AI207" s="289">
        <v>-30.73</v>
      </c>
      <c r="AJ207" s="289">
        <f t="shared" si="213"/>
        <v>0.55181899999999828</v>
      </c>
      <c r="AK207" s="307" t="e">
        <f t="shared" si="200"/>
        <v>#VALUE!</v>
      </c>
      <c r="AL207" s="308">
        <v>5164.2</v>
      </c>
      <c r="AM207" s="289">
        <v>4849.8</v>
      </c>
      <c r="AN207" s="289">
        <f t="shared" si="214"/>
        <v>-314.39999999999964</v>
      </c>
      <c r="AO207" s="307" t="e">
        <f t="shared" si="201"/>
        <v>#VALUE!</v>
      </c>
      <c r="AP207" s="308">
        <v>-165.6</v>
      </c>
      <c r="AQ207" s="289">
        <v>-159.4</v>
      </c>
      <c r="AR207" s="289">
        <f t="shared" si="215"/>
        <v>6.1999999999999886</v>
      </c>
      <c r="AS207" s="307" t="e">
        <f t="shared" si="202"/>
        <v>#VALUE!</v>
      </c>
      <c r="AT207" s="308">
        <v>94.7</v>
      </c>
      <c r="AU207" s="289">
        <v>92.7</v>
      </c>
      <c r="AV207" s="289">
        <f t="shared" si="216"/>
        <v>-2</v>
      </c>
      <c r="AW207" s="307" t="e">
        <f t="shared" si="203"/>
        <v>#VALUE!</v>
      </c>
      <c r="AX207" s="308">
        <v>57901</v>
      </c>
      <c r="AY207" s="289">
        <v>56444</v>
      </c>
      <c r="AZ207" s="289">
        <f t="shared" si="217"/>
        <v>-1457</v>
      </c>
      <c r="BA207" s="307" t="e">
        <f t="shared" si="204"/>
        <v>#VALUE!</v>
      </c>
      <c r="BB207" s="308">
        <v>41281.599999999999</v>
      </c>
      <c r="BC207" s="289">
        <v>41279.800000000003</v>
      </c>
      <c r="BD207" s="289">
        <f t="shared" si="218"/>
        <v>-1.7999999999956344</v>
      </c>
      <c r="BE207" s="307" t="e">
        <f t="shared" si="205"/>
        <v>#VALUE!</v>
      </c>
      <c r="BF207" s="308">
        <v>-41108.300000000003</v>
      </c>
      <c r="BG207" s="289">
        <v>-41108.300000000003</v>
      </c>
      <c r="BH207" s="289">
        <f t="shared" si="219"/>
        <v>0</v>
      </c>
      <c r="BI207" s="307" t="e">
        <f t="shared" si="206"/>
        <v>#VALUE!</v>
      </c>
      <c r="BJ207" s="281">
        <v>8.1971349999999994</v>
      </c>
      <c r="BK207" s="281">
        <v>0</v>
      </c>
      <c r="BL207" s="281">
        <f t="shared" si="220"/>
        <v>-8.1971349999999994</v>
      </c>
      <c r="BM207" s="408">
        <v>-41108.300000000003</v>
      </c>
      <c r="BN207" s="458">
        <v>-41108.300000000003</v>
      </c>
      <c r="BO207" s="458">
        <f t="shared" si="221"/>
        <v>0</v>
      </c>
      <c r="BP207" s="408">
        <v>41281.599999999999</v>
      </c>
      <c r="BQ207" s="458">
        <v>41279.800000000003</v>
      </c>
      <c r="BR207" s="458">
        <f t="shared" si="222"/>
        <v>-1.7999999999956344</v>
      </c>
      <c r="BS207" s="281"/>
      <c r="BT207" s="281"/>
      <c r="BU207" s="281"/>
      <c r="BV207" s="281"/>
      <c r="BW207" s="298" t="s">
        <v>713</v>
      </c>
    </row>
    <row r="208" spans="1:87" ht="15" customHeight="1" x14ac:dyDescent="0.2">
      <c r="A208" s="297">
        <f t="shared" si="208"/>
        <v>62009047</v>
      </c>
      <c r="B208" s="297" t="s">
        <v>839</v>
      </c>
      <c r="C208" s="297" t="s">
        <v>840</v>
      </c>
      <c r="D208" s="326" t="s">
        <v>940</v>
      </c>
      <c r="E208" s="283" t="s">
        <v>941</v>
      </c>
      <c r="F208" s="310" t="str">
        <f t="shared" si="223"/>
        <v>09/23/20</v>
      </c>
      <c r="G208" s="298" t="s">
        <v>942</v>
      </c>
      <c r="H208" s="298" t="s">
        <v>775</v>
      </c>
      <c r="I208" s="306"/>
      <c r="J208" s="300" t="e">
        <f>AVERAGE(J206:J207)</f>
        <v>#DIV/0!</v>
      </c>
      <c r="K208" s="300" t="e">
        <f>AVERAGE(K206:K207)</f>
        <v>#DIV/0!</v>
      </c>
      <c r="L208" s="300" t="e">
        <f>AVERAGE(L206:L207)</f>
        <v>#DIV/0!</v>
      </c>
      <c r="M208" s="300" t="e">
        <f>AVERAGE(M206:M207)</f>
        <v>#DIV/0!</v>
      </c>
      <c r="N208" s="286"/>
      <c r="O208" s="284"/>
      <c r="P208" s="302"/>
      <c r="Q208" s="301"/>
      <c r="R208" s="287" t="e">
        <f>R207+R206</f>
        <v>#VALUE!</v>
      </c>
      <c r="S208" s="287" t="e">
        <f>S207</f>
        <v>#VALUE!</v>
      </c>
      <c r="T208" s="315">
        <f>T206</f>
        <v>8.1971349999999994</v>
      </c>
      <c r="U208" s="315">
        <f>U207</f>
        <v>0</v>
      </c>
      <c r="V208" s="290">
        <f>V206</f>
        <v>94105</v>
      </c>
      <c r="W208" s="290">
        <f>W207</f>
        <v>92643</v>
      </c>
      <c r="X208" s="290">
        <f>SUM(X206:X207)</f>
        <v>-2924</v>
      </c>
      <c r="Y208" s="290" t="e">
        <f t="shared" si="197"/>
        <v>#VALUE!</v>
      </c>
      <c r="Z208" s="290">
        <f>Z206</f>
        <v>2532.1999999999998</v>
      </c>
      <c r="AA208" s="290">
        <f>AA207</f>
        <v>2425.5</v>
      </c>
      <c r="AB208" s="290">
        <f>SUM(AB206:AB207)</f>
        <v>-213.39999999999964</v>
      </c>
      <c r="AC208" s="290" t="e">
        <f t="shared" si="198"/>
        <v>#VALUE!</v>
      </c>
      <c r="AD208" s="290">
        <f>AD206</f>
        <v>2200.5</v>
      </c>
      <c r="AE208" s="290">
        <f>AE207</f>
        <v>2104.29</v>
      </c>
      <c r="AF208" s="290">
        <f>SUM(AF206:AF207)</f>
        <v>-192.42000000000007</v>
      </c>
      <c r="AG208" s="290" t="e">
        <f t="shared" si="199"/>
        <v>#VALUE!</v>
      </c>
      <c r="AH208" s="290">
        <f>AH206</f>
        <v>-31.281818999999999</v>
      </c>
      <c r="AI208" s="290">
        <f>AI207</f>
        <v>-30.73</v>
      </c>
      <c r="AJ208" s="290">
        <f>SUM(AJ206:AJ207)</f>
        <v>1.1036379999999966</v>
      </c>
      <c r="AK208" s="288" t="e">
        <f t="shared" si="200"/>
        <v>#VALUE!</v>
      </c>
      <c r="AL208" s="290">
        <f>AL206</f>
        <v>5164.2</v>
      </c>
      <c r="AM208" s="290">
        <f>AM207</f>
        <v>4849.8</v>
      </c>
      <c r="AN208" s="290">
        <f>SUM(AN206:AN207)</f>
        <v>-628.79999999999927</v>
      </c>
      <c r="AO208" s="288" t="e">
        <f t="shared" si="201"/>
        <v>#VALUE!</v>
      </c>
      <c r="AP208" s="290">
        <f>AP206</f>
        <v>-165.6</v>
      </c>
      <c r="AQ208" s="290">
        <f>AQ207</f>
        <v>-159.4</v>
      </c>
      <c r="AR208" s="290">
        <f>SUM(AR206:AR207)</f>
        <v>12.399999999999977</v>
      </c>
      <c r="AS208" s="288" t="e">
        <f t="shared" si="202"/>
        <v>#VALUE!</v>
      </c>
      <c r="AT208" s="290">
        <f>AT206</f>
        <v>94.7</v>
      </c>
      <c r="AU208" s="290">
        <f>AU207</f>
        <v>92.7</v>
      </c>
      <c r="AV208" s="290">
        <f>SUM(AV206:AV207)</f>
        <v>-4</v>
      </c>
      <c r="AW208" s="288" t="e">
        <f t="shared" si="203"/>
        <v>#VALUE!</v>
      </c>
      <c r="AX208" s="290">
        <f>AX206</f>
        <v>57901</v>
      </c>
      <c r="AY208" s="290">
        <f>AY207</f>
        <v>56444</v>
      </c>
      <c r="AZ208" s="290">
        <f>SUM(AZ206:AZ207)</f>
        <v>-2914</v>
      </c>
      <c r="BA208" s="288" t="e">
        <f t="shared" si="204"/>
        <v>#VALUE!</v>
      </c>
      <c r="BB208" s="290">
        <f>BB206</f>
        <v>41281.599999999999</v>
      </c>
      <c r="BC208" s="290">
        <f>BC207</f>
        <v>41279.800000000003</v>
      </c>
      <c r="BD208" s="290">
        <f>SUM(BD206:BD207)</f>
        <v>-3.5999999999912689</v>
      </c>
      <c r="BE208" s="288" t="e">
        <f t="shared" si="205"/>
        <v>#VALUE!</v>
      </c>
      <c r="BF208" s="290">
        <f>BF206</f>
        <v>-41108.300000000003</v>
      </c>
      <c r="BG208" s="290">
        <f>BG207</f>
        <v>-41108.300000000003</v>
      </c>
      <c r="BH208" s="290">
        <f>SUM(BH206:BH207)</f>
        <v>0</v>
      </c>
      <c r="BI208" s="288" t="e">
        <f t="shared" si="206"/>
        <v>#VALUE!</v>
      </c>
      <c r="BJ208" s="282"/>
      <c r="BK208" s="282"/>
      <c r="BL208" s="282">
        <f>SUM(BL206:BL207)</f>
        <v>-16.394269999999999</v>
      </c>
      <c r="BM208" s="459">
        <f>BM206</f>
        <v>-41108.300000000003</v>
      </c>
      <c r="BN208" s="459">
        <f>BN207</f>
        <v>-41108.300000000003</v>
      </c>
      <c r="BO208" s="459">
        <f>SUM(BO206:BO207)</f>
        <v>0</v>
      </c>
      <c r="BP208" s="459">
        <f>BP206</f>
        <v>41281.599999999999</v>
      </c>
      <c r="BQ208" s="459">
        <f>BQ207</f>
        <v>41279.800000000003</v>
      </c>
      <c r="BR208" s="459">
        <f>SUM(BR206:BR207)</f>
        <v>-3.5999999999912689</v>
      </c>
      <c r="BS208" s="282"/>
      <c r="BT208" s="282"/>
      <c r="BU208" s="282"/>
      <c r="BV208" s="282"/>
      <c r="BW208" s="298" t="s">
        <v>713</v>
      </c>
    </row>
    <row r="209" spans="1:87" ht="15" customHeight="1" x14ac:dyDescent="0.2">
      <c r="A209" s="297">
        <v>62009048</v>
      </c>
      <c r="B209" s="297" t="s">
        <v>833</v>
      </c>
      <c r="C209" s="297" t="s">
        <v>626</v>
      </c>
      <c r="D209" s="326" t="s">
        <v>943</v>
      </c>
      <c r="E209" s="283" t="s">
        <v>944</v>
      </c>
      <c r="F209" s="310" t="str">
        <f t="shared" si="223"/>
        <v>09/23/20</v>
      </c>
      <c r="G209" s="298" t="s">
        <v>945</v>
      </c>
      <c r="H209" s="298" t="s">
        <v>775</v>
      </c>
      <c r="I209" s="306"/>
      <c r="J209" s="299">
        <v>39.742769000000003</v>
      </c>
      <c r="K209" s="299">
        <v>29.430475999999999</v>
      </c>
      <c r="L209" s="299">
        <v>29.31221</v>
      </c>
      <c r="M209" s="299">
        <v>45.260950999999999</v>
      </c>
      <c r="N209" s="284">
        <v>3875</v>
      </c>
      <c r="O209" s="284">
        <v>28.39</v>
      </c>
      <c r="P209" s="284">
        <v>0.20169999999999999</v>
      </c>
      <c r="Q209" s="284">
        <v>1.932E-2</v>
      </c>
      <c r="R209" s="285">
        <v>16.236982959999999</v>
      </c>
      <c r="S209" s="285" t="e">
        <f>R209+R208</f>
        <v>#VALUE!</v>
      </c>
      <c r="T209" s="314">
        <v>8.1925570000000008</v>
      </c>
      <c r="U209" s="314">
        <v>0.64698199999999995</v>
      </c>
      <c r="V209" s="289">
        <v>94108</v>
      </c>
      <c r="W209" s="289">
        <v>98477</v>
      </c>
      <c r="X209" s="289">
        <f>W209-V209</f>
        <v>4369</v>
      </c>
      <c r="Y209" s="289">
        <f t="shared" si="197"/>
        <v>269.07708228573517</v>
      </c>
      <c r="Z209" s="308">
        <v>2534.1999999999998</v>
      </c>
      <c r="AA209" s="289">
        <v>2611.6</v>
      </c>
      <c r="AB209" s="289">
        <f>AA209-Z209</f>
        <v>77.400000000000091</v>
      </c>
      <c r="AC209" s="289">
        <f t="shared" si="198"/>
        <v>4.7668954380672757</v>
      </c>
      <c r="AD209" s="308">
        <v>2202.2764299999999</v>
      </c>
      <c r="AE209" s="289">
        <v>2272.5100000000002</v>
      </c>
      <c r="AF209" s="289">
        <f>AE209-AD209</f>
        <v>70.233570000000327</v>
      </c>
      <c r="AG209" s="289">
        <f t="shared" si="199"/>
        <v>4.3255308066173113</v>
      </c>
      <c r="AH209" s="308">
        <v>-29.74</v>
      </c>
      <c r="AI209" s="289">
        <v>-33.270000000000003</v>
      </c>
      <c r="AJ209" s="289">
        <f>AI209-AH209</f>
        <v>-3.5300000000000047</v>
      </c>
      <c r="AK209" s="307">
        <f t="shared" si="200"/>
        <v>-0.21740492114182799</v>
      </c>
      <c r="AL209" s="308">
        <v>5164.2</v>
      </c>
      <c r="AM209" s="289">
        <v>5417.6</v>
      </c>
      <c r="AN209" s="289">
        <f>AM209-AL209</f>
        <v>253.40000000000055</v>
      </c>
      <c r="AO209" s="307">
        <f t="shared" si="201"/>
        <v>15.60634759697996</v>
      </c>
      <c r="AP209" s="308">
        <v>-165.5</v>
      </c>
      <c r="AQ209" s="289">
        <v>-169.5</v>
      </c>
      <c r="AR209" s="289">
        <f>AQ209-AP209</f>
        <v>-4</v>
      </c>
      <c r="AS209" s="307">
        <f t="shared" si="202"/>
        <v>-0.24635118542983309</v>
      </c>
      <c r="AT209" s="308">
        <v>94.8</v>
      </c>
      <c r="AU209" s="289">
        <v>96</v>
      </c>
      <c r="AV209" s="289">
        <f>AU209-AT209</f>
        <v>1.2000000000000028</v>
      </c>
      <c r="AW209" s="307">
        <f t="shared" si="203"/>
        <v>7.3905355628950106E-2</v>
      </c>
      <c r="AX209" s="308">
        <v>57903</v>
      </c>
      <c r="AY209" s="289">
        <v>62272</v>
      </c>
      <c r="AZ209" s="289">
        <f>AY209-AX209</f>
        <v>4369</v>
      </c>
      <c r="BA209" s="307">
        <f t="shared" si="204"/>
        <v>269.07708228573517</v>
      </c>
      <c r="BB209" s="308">
        <v>41281.800000000003</v>
      </c>
      <c r="BC209" s="289">
        <v>41283</v>
      </c>
      <c r="BD209" s="289">
        <f>BC209-BB209</f>
        <v>1.1999999999970896</v>
      </c>
      <c r="BE209" s="307">
        <f t="shared" si="205"/>
        <v>7.390535562877068E-2</v>
      </c>
      <c r="BF209" s="308">
        <v>-41108.300000000003</v>
      </c>
      <c r="BG209" s="289">
        <v>-41108.300000000003</v>
      </c>
      <c r="BH209" s="289">
        <f>BG209-BF209</f>
        <v>0</v>
      </c>
      <c r="BI209" s="307">
        <f t="shared" si="206"/>
        <v>0</v>
      </c>
      <c r="BJ209" s="281">
        <v>8.1925570000000008</v>
      </c>
      <c r="BK209" s="281">
        <v>0.64698199999999995</v>
      </c>
      <c r="BL209" s="281">
        <f>BK209-BJ209</f>
        <v>-7.5455750000000013</v>
      </c>
      <c r="BM209" s="408">
        <v>-41108.300000000003</v>
      </c>
      <c r="BN209" s="458">
        <v>-41108.300000000003</v>
      </c>
      <c r="BO209" s="458">
        <f>BN209-BM209</f>
        <v>0</v>
      </c>
      <c r="BP209" s="408">
        <v>41281.800000000003</v>
      </c>
      <c r="BQ209" s="458">
        <v>41283</v>
      </c>
      <c r="BR209" s="458">
        <f>BQ209-BP209</f>
        <v>1.1999999999970896</v>
      </c>
      <c r="BS209" s="281"/>
      <c r="BT209" s="281"/>
      <c r="BU209" s="281"/>
      <c r="BV209" s="281"/>
      <c r="BW209" s="298" t="s">
        <v>713</v>
      </c>
      <c r="BX209" s="422">
        <v>128.8734705</v>
      </c>
      <c r="BY209" s="422">
        <v>23.560185669999999</v>
      </c>
      <c r="BZ209" s="422">
        <v>718.07249020999996</v>
      </c>
      <c r="CA209" s="422">
        <v>581.15200000000004</v>
      </c>
      <c r="CB209" s="422">
        <v>14.62768964</v>
      </c>
      <c r="CC209" s="422">
        <v>15.49924816</v>
      </c>
      <c r="CD209" s="422">
        <v>-3.5980096499999998</v>
      </c>
      <c r="CE209" s="422">
        <v>16.237105759999999</v>
      </c>
      <c r="CF209" s="422">
        <v>16.843122950000001</v>
      </c>
      <c r="CG209" s="422">
        <v>-2.1458896200000002</v>
      </c>
      <c r="CH209" s="422">
        <v>-5.62323094</v>
      </c>
      <c r="CI209" s="422">
        <v>4.8594779999999997E-2</v>
      </c>
    </row>
    <row r="210" spans="1:87" ht="15" customHeight="1" x14ac:dyDescent="0.2">
      <c r="A210" s="297">
        <f>A209+1</f>
        <v>62009049</v>
      </c>
      <c r="B210" s="339" t="s">
        <v>616</v>
      </c>
      <c r="C210" s="339" t="s">
        <v>626</v>
      </c>
      <c r="D210" s="326" t="s">
        <v>858</v>
      </c>
      <c r="E210" s="283" t="s">
        <v>946</v>
      </c>
      <c r="F210" s="310" t="str">
        <f t="shared" si="223"/>
        <v>09/23/20</v>
      </c>
      <c r="G210" s="298" t="s">
        <v>947</v>
      </c>
      <c r="H210" s="298" t="s">
        <v>775</v>
      </c>
      <c r="I210" s="306"/>
      <c r="J210" s="299">
        <v>1762.133799</v>
      </c>
      <c r="K210" s="299">
        <v>2211.8158790000002</v>
      </c>
      <c r="L210" s="299">
        <v>1483.0382159999999</v>
      </c>
      <c r="M210" s="299">
        <v>1833.539573</v>
      </c>
      <c r="N210" s="284">
        <v>3875</v>
      </c>
      <c r="O210" s="284">
        <v>28.39</v>
      </c>
      <c r="P210" s="284">
        <v>0.20169999999999999</v>
      </c>
      <c r="Q210" s="284">
        <v>1.932E-2</v>
      </c>
      <c r="R210" s="285">
        <v>1.7518490000000001E-2</v>
      </c>
      <c r="S210" s="285">
        <f>R210+R209</f>
        <v>16.254501449999999</v>
      </c>
      <c r="T210" s="314" t="s">
        <v>1168</v>
      </c>
      <c r="U210" s="314" t="s">
        <v>1169</v>
      </c>
      <c r="V210" s="289">
        <v>98492</v>
      </c>
      <c r="W210" s="289">
        <v>95210</v>
      </c>
      <c r="X210" s="289">
        <f>W210-V210</f>
        <v>-3282</v>
      </c>
      <c r="Y210" s="289">
        <f t="shared" si="197"/>
        <v>-187344.91385958492</v>
      </c>
      <c r="Z210" s="308">
        <v>2613.5</v>
      </c>
      <c r="AA210" s="289">
        <v>3501.2</v>
      </c>
      <c r="AB210" s="289">
        <f>AA210-Z210</f>
        <v>887.69999999999982</v>
      </c>
      <c r="AC210" s="289">
        <f t="shared" si="198"/>
        <v>50672.175512843845</v>
      </c>
      <c r="AD210" s="308">
        <v>2274.2199999999998</v>
      </c>
      <c r="AE210" s="289">
        <v>2985.53</v>
      </c>
      <c r="AF210" s="289">
        <f>AE210-AD210</f>
        <v>711.3100000000004</v>
      </c>
      <c r="AG210" s="289">
        <f t="shared" si="199"/>
        <v>40603.385337434927</v>
      </c>
      <c r="AH210" s="308">
        <v>-29.15</v>
      </c>
      <c r="AI210" s="289">
        <v>-104.15</v>
      </c>
      <c r="AJ210" s="289">
        <f>AI210-AH210</f>
        <v>-75</v>
      </c>
      <c r="AK210" s="307">
        <f t="shared" si="200"/>
        <v>-4281.1909017272601</v>
      </c>
      <c r="AL210" s="308">
        <v>5431</v>
      </c>
      <c r="AM210" s="289">
        <v>7991.3</v>
      </c>
      <c r="AN210" s="289">
        <f>AM210-AL210</f>
        <v>2560.3000000000002</v>
      </c>
      <c r="AO210" s="307">
        <f t="shared" si="201"/>
        <v>146148.44087589742</v>
      </c>
      <c r="AP210" s="308">
        <v>-169.6</v>
      </c>
      <c r="AQ210" s="289">
        <v>-199</v>
      </c>
      <c r="AR210" s="289">
        <f>AQ210-AP210</f>
        <v>-29.400000000000006</v>
      </c>
      <c r="AS210" s="307">
        <f t="shared" si="202"/>
        <v>-1678.2268334770865</v>
      </c>
      <c r="AT210" s="308">
        <v>96</v>
      </c>
      <c r="AU210" s="289">
        <v>193.7</v>
      </c>
      <c r="AV210" s="289">
        <f>AU210-AT210</f>
        <v>97.699999999999989</v>
      </c>
      <c r="AW210" s="307">
        <f t="shared" si="203"/>
        <v>5576.964681316711</v>
      </c>
      <c r="AX210" s="308">
        <v>62288</v>
      </c>
      <c r="AY210" s="289">
        <v>-3773</v>
      </c>
      <c r="AZ210" s="289">
        <f>AY210-AX210</f>
        <v>-66061</v>
      </c>
      <c r="BA210" s="307">
        <f t="shared" si="204"/>
        <v>-3770930.0287867272</v>
      </c>
      <c r="BB210" s="308">
        <v>41283.4</v>
      </c>
      <c r="BC210" s="289">
        <v>115579</v>
      </c>
      <c r="BD210" s="289">
        <f>BC210-BB210</f>
        <v>74295.600000000006</v>
      </c>
      <c r="BE210" s="307">
        <f t="shared" si="205"/>
        <v>4240981.9567782385</v>
      </c>
      <c r="BF210" s="308">
        <v>-41108.300000000003</v>
      </c>
      <c r="BG210" s="289">
        <v>-115292</v>
      </c>
      <c r="BH210" s="289">
        <f>BG210-BF210</f>
        <v>-74183.7</v>
      </c>
      <c r="BI210" s="307">
        <f t="shared" si="206"/>
        <v>-4234594.419952861</v>
      </c>
      <c r="BJ210" s="281" t="s">
        <v>1168</v>
      </c>
      <c r="BK210" s="281" t="s">
        <v>995</v>
      </c>
      <c r="BL210" s="281" t="e">
        <f>BK210-BJ210</f>
        <v>#VALUE!</v>
      </c>
      <c r="BM210" s="408">
        <v>-41108.300000000003</v>
      </c>
      <c r="BN210" s="458">
        <v>-115292</v>
      </c>
      <c r="BO210" s="458">
        <f>BN210-BM210</f>
        <v>-74183.7</v>
      </c>
      <c r="BP210" s="408">
        <v>41283.4</v>
      </c>
      <c r="BQ210" s="458">
        <v>115579</v>
      </c>
      <c r="BR210" s="458">
        <f>BQ210-BP210</f>
        <v>74295.600000000006</v>
      </c>
      <c r="BS210" s="281"/>
      <c r="BT210" s="281"/>
      <c r="BU210" s="281"/>
      <c r="BV210" s="281"/>
      <c r="BW210" s="298" t="s">
        <v>825</v>
      </c>
      <c r="BX210" s="422">
        <v>0</v>
      </c>
      <c r="BY210" s="422" t="s">
        <v>777</v>
      </c>
      <c r="BZ210" s="422">
        <v>0</v>
      </c>
      <c r="CA210" s="422">
        <v>0</v>
      </c>
      <c r="CB210" s="422">
        <v>0</v>
      </c>
      <c r="CC210" s="422">
        <v>0</v>
      </c>
      <c r="CD210" s="422" t="s">
        <v>777</v>
      </c>
      <c r="CE210" s="422">
        <v>0</v>
      </c>
      <c r="CF210" s="422">
        <v>0</v>
      </c>
      <c r="CG210" s="422" t="s">
        <v>777</v>
      </c>
      <c r="CH210" s="422" t="s">
        <v>777</v>
      </c>
      <c r="CI210" s="422" t="s">
        <v>777</v>
      </c>
    </row>
    <row r="211" spans="1:87" ht="15" customHeight="1" x14ac:dyDescent="0.2">
      <c r="A211" s="457" t="s">
        <v>950</v>
      </c>
      <c r="B211" s="334"/>
      <c r="C211" s="334"/>
      <c r="D211" s="335"/>
      <c r="E211" s="334"/>
      <c r="F211" s="334"/>
      <c r="G211" s="335"/>
      <c r="H211" s="335"/>
      <c r="I211" s="335"/>
      <c r="J211" s="335"/>
      <c r="K211" s="335"/>
      <c r="L211" s="335"/>
      <c r="M211" s="335"/>
      <c r="N211" s="335"/>
      <c r="O211" s="335"/>
      <c r="P211" s="336"/>
      <c r="Q211" s="337"/>
      <c r="R211" s="334"/>
      <c r="S211" s="334"/>
      <c r="T211" s="334"/>
      <c r="U211" s="334"/>
      <c r="V211" s="341"/>
      <c r="W211" s="341"/>
      <c r="X211" s="334"/>
      <c r="Y211" s="334"/>
      <c r="Z211" s="341"/>
      <c r="AA211" s="341"/>
      <c r="AB211" s="334"/>
      <c r="AC211" s="334"/>
      <c r="AD211" s="341"/>
      <c r="AE211" s="341"/>
      <c r="AF211" s="334"/>
      <c r="AG211" s="334"/>
      <c r="AH211" s="334"/>
      <c r="AI211" s="334"/>
      <c r="AJ211" s="334"/>
      <c r="AK211" s="334"/>
      <c r="AL211" s="341"/>
      <c r="AM211" s="341"/>
      <c r="AN211" s="334"/>
      <c r="AO211" s="334"/>
      <c r="AP211" s="334"/>
      <c r="AQ211" s="334"/>
      <c r="AR211" s="334"/>
      <c r="AS211" s="334"/>
      <c r="AT211" s="334"/>
      <c r="AU211" s="334"/>
      <c r="AV211" s="334"/>
      <c r="AW211" s="334"/>
      <c r="AX211" s="334"/>
      <c r="AY211" s="334"/>
      <c r="AZ211" s="334"/>
      <c r="BA211" s="334"/>
      <c r="BB211" s="334"/>
      <c r="BC211" s="334"/>
      <c r="BD211" s="334"/>
      <c r="BE211" s="334"/>
      <c r="BF211" s="334"/>
      <c r="BG211" s="334"/>
      <c r="BH211" s="334"/>
      <c r="BI211" s="334"/>
      <c r="BJ211" s="334"/>
      <c r="BK211" s="334"/>
      <c r="BL211" s="338"/>
    </row>
    <row r="212" spans="1:87" ht="15" customHeight="1" x14ac:dyDescent="0.2">
      <c r="A212" s="297">
        <v>62009050</v>
      </c>
      <c r="B212" s="297" t="s">
        <v>607</v>
      </c>
      <c r="C212" s="297" t="s">
        <v>626</v>
      </c>
      <c r="D212" s="326" t="s">
        <v>778</v>
      </c>
      <c r="E212" s="283" t="s">
        <v>952</v>
      </c>
      <c r="F212" s="310" t="str">
        <f t="shared" si="223"/>
        <v>09/24/20</v>
      </c>
      <c r="G212" s="298" t="s">
        <v>953</v>
      </c>
      <c r="H212" s="298" t="s">
        <v>954</v>
      </c>
      <c r="I212" s="306"/>
      <c r="J212" s="299">
        <v>36.071311999999999</v>
      </c>
      <c r="K212" s="299">
        <v>37.374994999999998</v>
      </c>
      <c r="L212" s="299">
        <v>29.273173</v>
      </c>
      <c r="M212" s="299">
        <v>38.007707000000003</v>
      </c>
      <c r="N212" s="284">
        <v>3875</v>
      </c>
      <c r="O212" s="284">
        <v>28.39</v>
      </c>
      <c r="P212" s="284">
        <v>0.20169999999999999</v>
      </c>
      <c r="Q212" s="284">
        <v>1.932E-2</v>
      </c>
      <c r="R212" s="285">
        <v>3.5907219600000002</v>
      </c>
      <c r="S212" s="285">
        <f>R212+R211</f>
        <v>3.5907219600000002</v>
      </c>
      <c r="T212" s="314">
        <v>97.157105000000001</v>
      </c>
      <c r="U212" s="314">
        <v>95.976057999999995</v>
      </c>
      <c r="V212" s="289">
        <v>95214</v>
      </c>
      <c r="W212" s="289">
        <v>96101</v>
      </c>
      <c r="X212" s="289">
        <f>W212-V212</f>
        <v>887</v>
      </c>
      <c r="Y212" s="289">
        <f t="shared" ref="Y212:Y221" si="224">X212/$R212</f>
        <v>247.02553132239734</v>
      </c>
      <c r="Z212" s="308">
        <v>3587.3</v>
      </c>
      <c r="AA212" s="289">
        <v>3650.1</v>
      </c>
      <c r="AB212" s="289">
        <f>AA212-Z212</f>
        <v>62.799999999999727</v>
      </c>
      <c r="AC212" s="289">
        <f t="shared" ref="AC212:AC221" si="225">AB212/$R212</f>
        <v>17.489519015835945</v>
      </c>
      <c r="AD212" s="308">
        <v>3061.5975279999998</v>
      </c>
      <c r="AE212" s="289">
        <v>3118.2472039999998</v>
      </c>
      <c r="AF212" s="289">
        <f>AE212-AD212</f>
        <v>56.649675999999999</v>
      </c>
      <c r="AG212" s="289">
        <f t="shared" ref="AG212:AG221" si="226">AF212/$R212</f>
        <v>15.776681300046969</v>
      </c>
      <c r="AH212" s="308">
        <v>-108.89</v>
      </c>
      <c r="AI212" s="289">
        <v>-115.5</v>
      </c>
      <c r="AJ212" s="289">
        <f>AI212-AH212</f>
        <v>-6.6099999999999994</v>
      </c>
      <c r="AK212" s="307">
        <f t="shared" ref="AK212:AK221" si="227">AJ212/$R212</f>
        <v>-1.8408554250744602</v>
      </c>
      <c r="AL212" s="308">
        <v>8626</v>
      </c>
      <c r="AM212" s="289">
        <v>8792.1</v>
      </c>
      <c r="AN212" s="289">
        <f>AM212-AL212</f>
        <v>166.10000000000036</v>
      </c>
      <c r="AO212" s="307">
        <f t="shared" ref="AO212:AO221" si="228">AN212/$R212</f>
        <v>46.258106823732007</v>
      </c>
      <c r="AP212" s="308">
        <v>-206.4</v>
      </c>
      <c r="AQ212" s="289">
        <v>-209.3</v>
      </c>
      <c r="AR212" s="289">
        <f>AQ212-AP212</f>
        <v>-2.9000000000000057</v>
      </c>
      <c r="AS212" s="307">
        <f t="shared" ref="AS212:AS221" si="229">AR212/$R212</f>
        <v>-0.80763702461663323</v>
      </c>
      <c r="AT212" s="308">
        <v>196</v>
      </c>
      <c r="AU212" s="289">
        <v>196.9</v>
      </c>
      <c r="AV212" s="289">
        <f>AU212-AT212</f>
        <v>0.90000000000000568</v>
      </c>
      <c r="AW212" s="307">
        <f t="shared" ref="AW212:AW221" si="230">AV212/$R212</f>
        <v>0.25064597315688725</v>
      </c>
      <c r="AX212" s="308">
        <v>-3773</v>
      </c>
      <c r="AY212" s="289">
        <v>-2888</v>
      </c>
      <c r="AZ212" s="289">
        <f>AY212-AX212</f>
        <v>885</v>
      </c>
      <c r="BA212" s="307">
        <f t="shared" ref="BA212:BA221" si="231">AZ212/$R212</f>
        <v>246.46854027093758</v>
      </c>
      <c r="BB212" s="308">
        <v>116370</v>
      </c>
      <c r="BC212" s="289">
        <v>116371</v>
      </c>
      <c r="BD212" s="289">
        <f>BC212-BB212</f>
        <v>1</v>
      </c>
      <c r="BE212" s="307">
        <f t="shared" ref="BE212:BE221" si="232">BD212/$R212</f>
        <v>0.27849552572987296</v>
      </c>
      <c r="BF212" s="308">
        <v>-116063</v>
      </c>
      <c r="BG212" s="289">
        <v>-116063</v>
      </c>
      <c r="BH212" s="289">
        <f>BG212-BF212</f>
        <v>0</v>
      </c>
      <c r="BI212" s="307">
        <f t="shared" ref="BI212:BI221" si="233">BH212/$R212</f>
        <v>0</v>
      </c>
      <c r="BJ212" s="281">
        <v>97.157105000000001</v>
      </c>
      <c r="BK212" s="281">
        <v>95.976057999999995</v>
      </c>
      <c r="BL212" s="281">
        <f>BK212-BJ212</f>
        <v>-1.1810470000000066</v>
      </c>
      <c r="BM212" s="408">
        <v>-116063</v>
      </c>
      <c r="BN212" s="458">
        <v>-116063</v>
      </c>
      <c r="BO212" s="458">
        <f>BN212-BM212</f>
        <v>0</v>
      </c>
      <c r="BP212" s="408">
        <v>116370</v>
      </c>
      <c r="BQ212" s="458">
        <v>116371</v>
      </c>
      <c r="BR212" s="458">
        <f>BQ212-BP212</f>
        <v>1</v>
      </c>
      <c r="BS212" s="281"/>
      <c r="BT212" s="281"/>
      <c r="BU212" s="281"/>
      <c r="BV212" s="281"/>
      <c r="BW212" s="298" t="s">
        <v>713</v>
      </c>
      <c r="BX212" s="422">
        <v>2204.7401767000001</v>
      </c>
      <c r="BY212" s="422">
        <v>-1.13469127</v>
      </c>
      <c r="BZ212" s="422">
        <v>2025.6067065100001</v>
      </c>
      <c r="CA212" s="422">
        <v>2048.8548840200001</v>
      </c>
      <c r="CB212" s="422">
        <v>2.9407572599999998</v>
      </c>
      <c r="CC212" s="422">
        <v>2.9659189000000001</v>
      </c>
      <c r="CD212" s="422">
        <v>-9.3839300000000004E-3</v>
      </c>
      <c r="CE212" s="422">
        <v>3.5906436099999999</v>
      </c>
      <c r="CF212" s="422">
        <v>3.5909805800000001</v>
      </c>
      <c r="CG212" s="422">
        <v>-0.84615344000000003</v>
      </c>
      <c r="CH212" s="422">
        <v>-0.84835894999999995</v>
      </c>
      <c r="CI212" s="422">
        <v>0.59141714999999995</v>
      </c>
    </row>
    <row r="213" spans="1:87" ht="15" customHeight="1" x14ac:dyDescent="0.2">
      <c r="A213" s="297">
        <f>A212</f>
        <v>62009050</v>
      </c>
      <c r="B213" s="297" t="s">
        <v>608</v>
      </c>
      <c r="C213" s="297" t="s">
        <v>627</v>
      </c>
      <c r="D213" s="326" t="s">
        <v>778</v>
      </c>
      <c r="E213" s="283" t="s">
        <v>952</v>
      </c>
      <c r="F213" s="310" t="str">
        <f t="shared" si="223"/>
        <v>09/24/20</v>
      </c>
      <c r="G213" s="298" t="s">
        <v>953</v>
      </c>
      <c r="H213" s="298" t="s">
        <v>954</v>
      </c>
      <c r="I213" s="306"/>
      <c r="J213" s="299">
        <v>33.944369000000002</v>
      </c>
      <c r="K213" s="299">
        <v>48.256273999999998</v>
      </c>
      <c r="L213" s="299">
        <v>29.270980999999999</v>
      </c>
      <c r="M213" s="299">
        <v>39.007781999999999</v>
      </c>
      <c r="N213" s="284">
        <v>3875</v>
      </c>
      <c r="O213" s="284">
        <v>28.39</v>
      </c>
      <c r="P213" s="284">
        <v>0.20169999999999999</v>
      </c>
      <c r="Q213" s="284">
        <v>1.932E-2</v>
      </c>
      <c r="R213" s="285">
        <v>3.8532526599999999</v>
      </c>
      <c r="S213" s="285">
        <f>R213+R212</f>
        <v>7.4439746200000005</v>
      </c>
      <c r="T213" s="314">
        <v>95.976057999999995</v>
      </c>
      <c r="U213" s="314">
        <v>95.013215000000002</v>
      </c>
      <c r="V213" s="289">
        <v>96101</v>
      </c>
      <c r="W213" s="289">
        <v>96825</v>
      </c>
      <c r="X213" s="289">
        <f>W213-V213</f>
        <v>724</v>
      </c>
      <c r="Y213" s="289">
        <f t="shared" si="224"/>
        <v>187.89320708598436</v>
      </c>
      <c r="Z213" s="308">
        <v>3650.2</v>
      </c>
      <c r="AA213" s="289">
        <v>3740.6</v>
      </c>
      <c r="AB213" s="289">
        <f>AA213-Z213</f>
        <v>90.400000000000091</v>
      </c>
      <c r="AC213" s="289">
        <f t="shared" si="225"/>
        <v>23.460698785321824</v>
      </c>
      <c r="AD213" s="308">
        <v>3118.267159</v>
      </c>
      <c r="AE213" s="289">
        <v>3199.8368059999998</v>
      </c>
      <c r="AF213" s="289">
        <f>AE213-AD213</f>
        <v>81.569646999999804</v>
      </c>
      <c r="AG213" s="289">
        <f t="shared" si="226"/>
        <v>21.169036706770171</v>
      </c>
      <c r="AH213" s="308">
        <v>-115.5</v>
      </c>
      <c r="AI213" s="289">
        <v>-119.71</v>
      </c>
      <c r="AJ213" s="289">
        <f>AI213-AH213</f>
        <v>-4.2099999999999937</v>
      </c>
      <c r="AK213" s="307">
        <f t="shared" si="227"/>
        <v>-1.0925834279447415</v>
      </c>
      <c r="AL213" s="308">
        <v>8792.1</v>
      </c>
      <c r="AM213" s="289">
        <v>8900.2999999999993</v>
      </c>
      <c r="AN213" s="289">
        <f>AM213-AL213</f>
        <v>108.19999999999891</v>
      </c>
      <c r="AO213" s="307">
        <f t="shared" si="228"/>
        <v>28.080172661192403</v>
      </c>
      <c r="AP213" s="308">
        <v>-209.3</v>
      </c>
      <c r="AQ213" s="289">
        <v>-214.3</v>
      </c>
      <c r="AR213" s="289">
        <f>AQ213-AP213</f>
        <v>-5</v>
      </c>
      <c r="AS213" s="307">
        <f t="shared" si="229"/>
        <v>-1.2976050213120465</v>
      </c>
      <c r="AT213" s="308">
        <v>196.9</v>
      </c>
      <c r="AU213" s="289">
        <v>198.4</v>
      </c>
      <c r="AV213" s="289">
        <f>AU213-AT213</f>
        <v>1.5</v>
      </c>
      <c r="AW213" s="307">
        <f t="shared" si="230"/>
        <v>0.38928150639361397</v>
      </c>
      <c r="AX213" s="308">
        <v>-2888</v>
      </c>
      <c r="AY213" s="289">
        <v>-2167</v>
      </c>
      <c r="AZ213" s="289">
        <f>AY213-AX213</f>
        <v>721</v>
      </c>
      <c r="BA213" s="307">
        <f t="shared" si="231"/>
        <v>187.11464407319713</v>
      </c>
      <c r="BB213" s="308">
        <v>116371</v>
      </c>
      <c r="BC213" s="289">
        <v>116372</v>
      </c>
      <c r="BD213" s="289">
        <f>BC213-BB213</f>
        <v>1</v>
      </c>
      <c r="BE213" s="307">
        <f t="shared" si="232"/>
        <v>0.25952100426240932</v>
      </c>
      <c r="BF213" s="308">
        <v>-116063</v>
      </c>
      <c r="BG213" s="289">
        <v>-116063</v>
      </c>
      <c r="BH213" s="289">
        <f>BG213-BF213</f>
        <v>0</v>
      </c>
      <c r="BI213" s="307">
        <f t="shared" si="233"/>
        <v>0</v>
      </c>
      <c r="BJ213" s="281">
        <v>95.976057999999995</v>
      </c>
      <c r="BK213" s="281">
        <v>95.013215000000002</v>
      </c>
      <c r="BL213" s="281">
        <f>BK213-BJ213</f>
        <v>-0.96284299999999234</v>
      </c>
      <c r="BM213" s="408">
        <v>-116063</v>
      </c>
      <c r="BN213" s="458">
        <v>-116063</v>
      </c>
      <c r="BO213" s="458">
        <f>BN213-BM213</f>
        <v>0</v>
      </c>
      <c r="BP213" s="408">
        <v>116371</v>
      </c>
      <c r="BQ213" s="458">
        <v>116372</v>
      </c>
      <c r="BR213" s="458">
        <f>BQ213-BP213</f>
        <v>1</v>
      </c>
      <c r="BS213" s="281"/>
      <c r="BT213" s="281"/>
      <c r="BU213" s="281"/>
      <c r="BV213" s="281"/>
      <c r="BW213" s="298" t="s">
        <v>713</v>
      </c>
      <c r="BX213" s="422">
        <v>1349.2200102500001</v>
      </c>
      <c r="BY213" s="422">
        <v>-1.3050164399999999</v>
      </c>
      <c r="BZ213" s="422">
        <v>3371.5874816800001</v>
      </c>
      <c r="CA213" s="422">
        <v>3416.1690495500002</v>
      </c>
      <c r="CB213" s="422">
        <v>2.7081075600000002</v>
      </c>
      <c r="CC213" s="422">
        <v>2.7417196000000001</v>
      </c>
      <c r="CD213" s="422">
        <v>-0.17436479999999999</v>
      </c>
      <c r="CE213" s="422">
        <v>3.8531000199999998</v>
      </c>
      <c r="CF213" s="422">
        <v>3.8598302000000002</v>
      </c>
      <c r="CG213" s="422">
        <v>-1.0646344400000001</v>
      </c>
      <c r="CH213" s="422">
        <v>-1.22594738</v>
      </c>
      <c r="CI213" s="422">
        <v>0.71726791000000001</v>
      </c>
    </row>
    <row r="214" spans="1:87" ht="15" customHeight="1" x14ac:dyDescent="0.2">
      <c r="A214" s="297">
        <f>A213</f>
        <v>62009050</v>
      </c>
      <c r="B214" s="297" t="s">
        <v>609</v>
      </c>
      <c r="C214" s="297" t="s">
        <v>628</v>
      </c>
      <c r="D214" s="326" t="s">
        <v>778</v>
      </c>
      <c r="E214" s="283" t="s">
        <v>952</v>
      </c>
      <c r="F214" s="310" t="str">
        <f t="shared" si="223"/>
        <v>09/24/20</v>
      </c>
      <c r="G214" s="298" t="s">
        <v>953</v>
      </c>
      <c r="H214" s="298" t="s">
        <v>954</v>
      </c>
      <c r="I214" s="306"/>
      <c r="J214" s="300">
        <f>AVERAGE(J212:J213)</f>
        <v>35.0078405</v>
      </c>
      <c r="K214" s="300">
        <f>AVERAGE(K212:K213)</f>
        <v>42.815634500000002</v>
      </c>
      <c r="L214" s="300">
        <f>AVERAGE(L212:L213)</f>
        <v>29.272076999999999</v>
      </c>
      <c r="M214" s="300">
        <f>AVERAGE(M212:M213)</f>
        <v>38.507744500000001</v>
      </c>
      <c r="N214" s="286"/>
      <c r="O214" s="284"/>
      <c r="P214" s="302"/>
      <c r="Q214" s="301"/>
      <c r="R214" s="287">
        <f>R213+R212</f>
        <v>7.4439746200000005</v>
      </c>
      <c r="S214" s="287">
        <f>S213</f>
        <v>7.4439746200000005</v>
      </c>
      <c r="T214" s="315">
        <f>T212</f>
        <v>97.157105000000001</v>
      </c>
      <c r="U214" s="315">
        <f>U213</f>
        <v>95.013215000000002</v>
      </c>
      <c r="V214" s="290">
        <f>V212</f>
        <v>95214</v>
      </c>
      <c r="W214" s="290">
        <f>W213</f>
        <v>96825</v>
      </c>
      <c r="X214" s="290">
        <f>SUM(X212:X213)</f>
        <v>1611</v>
      </c>
      <c r="Y214" s="290">
        <f t="shared" si="224"/>
        <v>216.41664329048987</v>
      </c>
      <c r="Z214" s="290">
        <f>Z212</f>
        <v>3587.3</v>
      </c>
      <c r="AA214" s="290">
        <f>AA213</f>
        <v>3740.6</v>
      </c>
      <c r="AB214" s="290">
        <f>SUM(AB212:AB213)</f>
        <v>153.19999999999982</v>
      </c>
      <c r="AC214" s="290">
        <f t="shared" si="225"/>
        <v>20.58040332222409</v>
      </c>
      <c r="AD214" s="290">
        <f>AD212</f>
        <v>3061.5975279999998</v>
      </c>
      <c r="AE214" s="290">
        <f>AE213</f>
        <v>3199.8368059999998</v>
      </c>
      <c r="AF214" s="290">
        <f>SUM(AF212:AF213)</f>
        <v>138.2193229999998</v>
      </c>
      <c r="AG214" s="290">
        <f t="shared" si="226"/>
        <v>18.567946568307857</v>
      </c>
      <c r="AH214" s="290">
        <f>AH212</f>
        <v>-108.89</v>
      </c>
      <c r="AI214" s="290">
        <f>AI213</f>
        <v>-119.71</v>
      </c>
      <c r="AJ214" s="290">
        <f>SUM(AJ212:AJ213)</f>
        <v>-10.819999999999993</v>
      </c>
      <c r="AK214" s="288">
        <f t="shared" si="227"/>
        <v>-1.453524568841154</v>
      </c>
      <c r="AL214" s="290">
        <f>AL212</f>
        <v>8626</v>
      </c>
      <c r="AM214" s="290">
        <f>AM213</f>
        <v>8900.2999999999993</v>
      </c>
      <c r="AN214" s="290">
        <f>SUM(AN212:AN213)</f>
        <v>274.29999999999927</v>
      </c>
      <c r="AO214" s="288">
        <f t="shared" si="228"/>
        <v>36.848594198995166</v>
      </c>
      <c r="AP214" s="290">
        <f>AP212</f>
        <v>-206.4</v>
      </c>
      <c r="AQ214" s="290">
        <f>AQ213</f>
        <v>-214.3</v>
      </c>
      <c r="AR214" s="290">
        <f>SUM(AR212:AR213)</f>
        <v>-7.9000000000000057</v>
      </c>
      <c r="AS214" s="288">
        <f t="shared" si="229"/>
        <v>-1.0612610068248736</v>
      </c>
      <c r="AT214" s="290">
        <f>AT212</f>
        <v>196</v>
      </c>
      <c r="AU214" s="290">
        <f>AU213</f>
        <v>198.4</v>
      </c>
      <c r="AV214" s="290">
        <f>SUM(AV212:AV213)</f>
        <v>2.4000000000000057</v>
      </c>
      <c r="AW214" s="288">
        <f t="shared" si="230"/>
        <v>0.32240840713667096</v>
      </c>
      <c r="AX214" s="290">
        <f>AX212</f>
        <v>-3773</v>
      </c>
      <c r="AY214" s="290">
        <f>AY213</f>
        <v>-2167</v>
      </c>
      <c r="AZ214" s="290">
        <f>SUM(AZ212:AZ213)</f>
        <v>1606</v>
      </c>
      <c r="BA214" s="288">
        <f t="shared" si="231"/>
        <v>215.74495910895513</v>
      </c>
      <c r="BB214" s="290">
        <f>BB212</f>
        <v>116370</v>
      </c>
      <c r="BC214" s="290">
        <f>BC213</f>
        <v>116372</v>
      </c>
      <c r="BD214" s="290">
        <f>SUM(BD212:BD213)</f>
        <v>2</v>
      </c>
      <c r="BE214" s="288">
        <f t="shared" si="232"/>
        <v>0.26867367261389186</v>
      </c>
      <c r="BF214" s="290">
        <f>BF212</f>
        <v>-116063</v>
      </c>
      <c r="BG214" s="290">
        <f>BG213</f>
        <v>-116063</v>
      </c>
      <c r="BH214" s="290">
        <f>SUM(BH212:BH213)</f>
        <v>0</v>
      </c>
      <c r="BI214" s="288">
        <f t="shared" si="233"/>
        <v>0</v>
      </c>
      <c r="BJ214" s="282"/>
      <c r="BK214" s="282"/>
      <c r="BL214" s="282">
        <f>SUM(BL212:BL213)</f>
        <v>-2.143889999999999</v>
      </c>
      <c r="BM214" s="459">
        <f>BM212</f>
        <v>-116063</v>
      </c>
      <c r="BN214" s="459">
        <f>BN213</f>
        <v>-116063</v>
      </c>
      <c r="BO214" s="459">
        <f>SUM(BO212:BO213)</f>
        <v>0</v>
      </c>
      <c r="BP214" s="459">
        <f>BP212</f>
        <v>116370</v>
      </c>
      <c r="BQ214" s="459">
        <f>BQ213</f>
        <v>116372</v>
      </c>
      <c r="BR214" s="459">
        <f>SUM(BR212:BR213)</f>
        <v>2</v>
      </c>
      <c r="BS214" s="282"/>
      <c r="BT214" s="282"/>
      <c r="BU214" s="282"/>
      <c r="BV214" s="282"/>
      <c r="BW214" s="298" t="s">
        <v>713</v>
      </c>
    </row>
    <row r="215" spans="1:87" ht="15" customHeight="1" x14ac:dyDescent="0.2">
      <c r="A215" s="297">
        <f t="shared" ref="A215:A221" si="234">A214</f>
        <v>62009050</v>
      </c>
      <c r="B215" s="297" t="s">
        <v>610</v>
      </c>
      <c r="C215" s="297" t="s">
        <v>629</v>
      </c>
      <c r="D215" s="326" t="s">
        <v>778</v>
      </c>
      <c r="E215" s="283" t="s">
        <v>952</v>
      </c>
      <c r="F215" s="310" t="str">
        <f t="shared" si="223"/>
        <v>09/24/20</v>
      </c>
      <c r="G215" s="298" t="s">
        <v>953</v>
      </c>
      <c r="H215" s="298" t="s">
        <v>954</v>
      </c>
      <c r="I215" s="306"/>
      <c r="J215" s="299">
        <v>37.541108999999999</v>
      </c>
      <c r="K215" s="299">
        <v>35.432837999999997</v>
      </c>
      <c r="L215" s="299">
        <v>29.273101</v>
      </c>
      <c r="M215" s="299">
        <v>40.516548</v>
      </c>
      <c r="N215" s="284">
        <v>3875</v>
      </c>
      <c r="O215" s="284">
        <v>28.39</v>
      </c>
      <c r="P215" s="284">
        <v>0.20169999999999999</v>
      </c>
      <c r="Q215" s="284">
        <v>1.932E-2</v>
      </c>
      <c r="R215" s="285">
        <v>10.27690467</v>
      </c>
      <c r="S215" s="285">
        <f>R215+R214</f>
        <v>17.720879289999999</v>
      </c>
      <c r="T215" s="314">
        <v>95.008638000000005</v>
      </c>
      <c r="U215" s="314">
        <v>91.938526999999993</v>
      </c>
      <c r="V215" s="289">
        <v>96829</v>
      </c>
      <c r="W215" s="289">
        <v>99024</v>
      </c>
      <c r="X215" s="289">
        <f>W215-V215</f>
        <v>2195</v>
      </c>
      <c r="Y215" s="289">
        <f t="shared" si="224"/>
        <v>213.58571189315117</v>
      </c>
      <c r="Z215" s="308">
        <v>3742.3</v>
      </c>
      <c r="AA215" s="289">
        <v>3821.9</v>
      </c>
      <c r="AB215" s="289">
        <f>AA215-Z215</f>
        <v>79.599999999999909</v>
      </c>
      <c r="AC215" s="289">
        <f t="shared" si="225"/>
        <v>7.7455228549862483</v>
      </c>
      <c r="AD215" s="308">
        <v>3201.3667569999998</v>
      </c>
      <c r="AE215" s="289">
        <v>3273.176465</v>
      </c>
      <c r="AF215" s="289">
        <f>AE215-AD215</f>
        <v>71.809708000000228</v>
      </c>
      <c r="AG215" s="289">
        <f t="shared" si="226"/>
        <v>6.9874841020589349</v>
      </c>
      <c r="AH215" s="308">
        <v>-119.75</v>
      </c>
      <c r="AI215" s="289">
        <v>-120.95</v>
      </c>
      <c r="AJ215" s="289">
        <f>AI215-AH215</f>
        <v>-1.2000000000000028</v>
      </c>
      <c r="AK215" s="307">
        <f t="shared" si="227"/>
        <v>-0.11676667620582325</v>
      </c>
      <c r="AL215" s="308">
        <v>8902.6</v>
      </c>
      <c r="AM215" s="289">
        <v>9000.2999999999993</v>
      </c>
      <c r="AN215" s="289">
        <f>AM215-AL215</f>
        <v>97.699999999998909</v>
      </c>
      <c r="AO215" s="307">
        <f t="shared" si="228"/>
        <v>9.5067535544239803</v>
      </c>
      <c r="AP215" s="308">
        <v>-214.4</v>
      </c>
      <c r="AQ215" s="289">
        <v>-189.9</v>
      </c>
      <c r="AR215" s="289">
        <f>AQ215-AP215</f>
        <v>24.5</v>
      </c>
      <c r="AS215" s="307">
        <f t="shared" si="229"/>
        <v>2.3839863058688855</v>
      </c>
      <c r="AT215" s="308">
        <v>198.4</v>
      </c>
      <c r="AU215" s="289">
        <v>199.7</v>
      </c>
      <c r="AV215" s="289">
        <f>AU215-AT215</f>
        <v>1.2999999999999829</v>
      </c>
      <c r="AW215" s="307">
        <f t="shared" si="230"/>
        <v>0.12649723255630654</v>
      </c>
      <c r="AX215" s="308">
        <v>-2163</v>
      </c>
      <c r="AY215" s="289">
        <v>30</v>
      </c>
      <c r="AZ215" s="289">
        <f>AY215-AX215</f>
        <v>2193</v>
      </c>
      <c r="BA215" s="307">
        <f t="shared" si="231"/>
        <v>213.39110076614148</v>
      </c>
      <c r="BB215" s="308">
        <v>116372</v>
      </c>
      <c r="BC215" s="289">
        <v>116373</v>
      </c>
      <c r="BD215" s="289">
        <f>BC215-BB215</f>
        <v>1</v>
      </c>
      <c r="BE215" s="307">
        <f t="shared" si="232"/>
        <v>9.7305563504852477E-2</v>
      </c>
      <c r="BF215" s="308">
        <v>-116063</v>
      </c>
      <c r="BG215" s="289">
        <v>-116063</v>
      </c>
      <c r="BH215" s="289">
        <f>BG215-BF215</f>
        <v>0</v>
      </c>
      <c r="BI215" s="307">
        <f t="shared" si="233"/>
        <v>0</v>
      </c>
      <c r="BJ215" s="281">
        <v>95.008638000000005</v>
      </c>
      <c r="BK215" s="281">
        <v>91.938526999999993</v>
      </c>
      <c r="BL215" s="281">
        <f>BK215-BJ215</f>
        <v>-3.0701110000000114</v>
      </c>
      <c r="BM215" s="408">
        <v>-116063</v>
      </c>
      <c r="BN215" s="458">
        <v>-116063</v>
      </c>
      <c r="BO215" s="458">
        <f>BN215-BM215</f>
        <v>0</v>
      </c>
      <c r="BP215" s="408">
        <v>116372</v>
      </c>
      <c r="BQ215" s="458">
        <v>116373</v>
      </c>
      <c r="BR215" s="458">
        <f>BQ215-BP215</f>
        <v>1</v>
      </c>
      <c r="BS215" s="281"/>
      <c r="BT215" s="281"/>
      <c r="BU215" s="281"/>
      <c r="BV215" s="281"/>
      <c r="BW215" s="298" t="s">
        <v>713</v>
      </c>
      <c r="BX215" s="422">
        <v>1773.3131909700001</v>
      </c>
      <c r="BY215" s="422">
        <v>1.46307184</v>
      </c>
      <c r="BZ215" s="422">
        <v>1325.8446625399999</v>
      </c>
      <c r="CA215" s="422">
        <v>1306.72631774</v>
      </c>
      <c r="CB215" s="422">
        <v>7.3427480999999997</v>
      </c>
      <c r="CC215" s="422">
        <v>7.3154123799999997</v>
      </c>
      <c r="CD215" s="422">
        <v>0.19786829</v>
      </c>
      <c r="CE215" s="422">
        <v>10.27697493</v>
      </c>
      <c r="CF215" s="422">
        <v>10.25668022</v>
      </c>
      <c r="CG215" s="422">
        <v>0.17515015</v>
      </c>
      <c r="CH215" s="422">
        <v>0.37367293000000001</v>
      </c>
      <c r="CI215" s="422">
        <v>0.28265098999999999</v>
      </c>
    </row>
    <row r="216" spans="1:87" ht="15" customHeight="1" x14ac:dyDescent="0.2">
      <c r="A216" s="297">
        <f t="shared" si="234"/>
        <v>62009050</v>
      </c>
      <c r="B216" s="297" t="s">
        <v>611</v>
      </c>
      <c r="C216" s="297" t="s">
        <v>630</v>
      </c>
      <c r="D216" s="326" t="s">
        <v>778</v>
      </c>
      <c r="E216" s="283" t="s">
        <v>952</v>
      </c>
      <c r="F216" s="310" t="str">
        <f t="shared" si="223"/>
        <v>09/24/20</v>
      </c>
      <c r="G216" s="298" t="s">
        <v>953</v>
      </c>
      <c r="H216" s="298" t="s">
        <v>954</v>
      </c>
      <c r="I216" s="306"/>
      <c r="J216" s="299">
        <v>34.244633999999998</v>
      </c>
      <c r="K216" s="299">
        <v>49.267401999999997</v>
      </c>
      <c r="L216" s="299">
        <v>29.266290999999999</v>
      </c>
      <c r="M216" s="299">
        <v>40.498598000000001</v>
      </c>
      <c r="N216" s="284">
        <v>3875</v>
      </c>
      <c r="O216" s="284">
        <v>28.39</v>
      </c>
      <c r="P216" s="284">
        <v>0.20169999999999999</v>
      </c>
      <c r="Q216" s="284">
        <v>1.932E-2</v>
      </c>
      <c r="R216" s="285">
        <v>3.5919584800000002</v>
      </c>
      <c r="S216" s="285">
        <f>R216+R215</f>
        <v>13.868863150000001</v>
      </c>
      <c r="T216" s="314">
        <v>91.938526999999993</v>
      </c>
      <c r="U216" s="314">
        <v>91.938526999999993</v>
      </c>
      <c r="V216" s="289">
        <v>99036.606450000007</v>
      </c>
      <c r="W216" s="289">
        <v>99786</v>
      </c>
      <c r="X216" s="289">
        <f>W216-V216</f>
        <v>749.39354999999341</v>
      </c>
      <c r="Y216" s="289">
        <f t="shared" si="224"/>
        <v>208.63090544409448</v>
      </c>
      <c r="Z216" s="308">
        <v>3825.7</v>
      </c>
      <c r="AA216" s="289">
        <v>3849.8</v>
      </c>
      <c r="AB216" s="289">
        <f>AA216-Z216</f>
        <v>24.100000000000364</v>
      </c>
      <c r="AC216" s="289">
        <f t="shared" si="225"/>
        <v>6.7094316747225768</v>
      </c>
      <c r="AD216" s="308">
        <v>3276.506065</v>
      </c>
      <c r="AE216" s="289">
        <v>3297.65</v>
      </c>
      <c r="AF216" s="289">
        <f>AE216-AD216</f>
        <v>21.143935000000056</v>
      </c>
      <c r="AG216" s="289">
        <f t="shared" si="226"/>
        <v>5.886464199886869</v>
      </c>
      <c r="AH216" s="308">
        <v>-118.50606500000001</v>
      </c>
      <c r="AI216" s="289">
        <v>-110.08</v>
      </c>
      <c r="AJ216" s="289">
        <f>AI216-AH216</f>
        <v>8.4260650000000084</v>
      </c>
      <c r="AK216" s="307">
        <f t="shared" si="227"/>
        <v>2.3458135852394397</v>
      </c>
      <c r="AL216" s="308">
        <v>9007.7620970000007</v>
      </c>
      <c r="AM216" s="289">
        <v>9081.2999999999993</v>
      </c>
      <c r="AN216" s="289">
        <f>AM216-AL216</f>
        <v>73.537902999998551</v>
      </c>
      <c r="AO216" s="307">
        <f t="shared" si="228"/>
        <v>20.472926791736899</v>
      </c>
      <c r="AP216" s="308">
        <v>-190</v>
      </c>
      <c r="AQ216" s="289">
        <v>-161.80000000000001</v>
      </c>
      <c r="AR216" s="289">
        <f>AQ216-AP216</f>
        <v>28.199999999999989</v>
      </c>
      <c r="AS216" s="307">
        <f t="shared" si="229"/>
        <v>7.8508702583889516</v>
      </c>
      <c r="AT216" s="308">
        <v>199.8</v>
      </c>
      <c r="AU216" s="289">
        <v>200.6</v>
      </c>
      <c r="AV216" s="289">
        <f>AU216-AT216</f>
        <v>0.79999999999998295</v>
      </c>
      <c r="AW216" s="307">
        <f t="shared" si="230"/>
        <v>0.22271972364223511</v>
      </c>
      <c r="AX216" s="308">
        <v>42</v>
      </c>
      <c r="AY216" s="289">
        <v>790</v>
      </c>
      <c r="AZ216" s="289">
        <f>AY216-AX216</f>
        <v>748</v>
      </c>
      <c r="BA216" s="307">
        <f t="shared" si="231"/>
        <v>208.24294160549428</v>
      </c>
      <c r="BB216" s="308">
        <v>116374</v>
      </c>
      <c r="BC216" s="289">
        <v>116374</v>
      </c>
      <c r="BD216" s="289">
        <f>BC216-BB216</f>
        <v>0</v>
      </c>
      <c r="BE216" s="307">
        <f t="shared" si="232"/>
        <v>0</v>
      </c>
      <c r="BF216" s="308">
        <v>-116063</v>
      </c>
      <c r="BG216" s="289">
        <v>-116063</v>
      </c>
      <c r="BH216" s="289">
        <f>BG216-BF216</f>
        <v>0</v>
      </c>
      <c r="BI216" s="307">
        <f t="shared" si="233"/>
        <v>0</v>
      </c>
      <c r="BJ216" s="281">
        <v>91.938526999999993</v>
      </c>
      <c r="BK216" s="281">
        <v>91.938526999999993</v>
      </c>
      <c r="BL216" s="281">
        <f>BK216-BJ216</f>
        <v>0</v>
      </c>
      <c r="BM216" s="408">
        <v>-116063</v>
      </c>
      <c r="BN216" s="458">
        <v>-116063</v>
      </c>
      <c r="BO216" s="458">
        <f>BN216-BM216</f>
        <v>0</v>
      </c>
      <c r="BP216" s="408">
        <v>116374</v>
      </c>
      <c r="BQ216" s="458">
        <v>116374</v>
      </c>
      <c r="BR216" s="458">
        <f>BQ216-BP216</f>
        <v>0</v>
      </c>
      <c r="BS216" s="281"/>
      <c r="BT216" s="281"/>
      <c r="BU216" s="281"/>
      <c r="BV216" s="281"/>
      <c r="BW216" s="298" t="s">
        <v>713</v>
      </c>
      <c r="BX216" s="422">
        <v>2196.1443822299998</v>
      </c>
      <c r="BY216" s="422">
        <v>-1.1634910599999999</v>
      </c>
      <c r="BZ216" s="422">
        <v>2024.81484615</v>
      </c>
      <c r="CA216" s="422">
        <v>2048.6507140200001</v>
      </c>
      <c r="CB216" s="422">
        <v>2.9426115199999998</v>
      </c>
      <c r="CC216" s="422">
        <v>2.96566018</v>
      </c>
      <c r="CD216" s="422">
        <v>2.5663180000000001E-2</v>
      </c>
      <c r="CE216" s="422">
        <v>3.5919010600000001</v>
      </c>
      <c r="CF216" s="422">
        <v>3.5909795</v>
      </c>
      <c r="CG216" s="422">
        <v>-0.80913639000000004</v>
      </c>
      <c r="CH216" s="422">
        <v>-0.77718472000000005</v>
      </c>
      <c r="CI216" s="422">
        <v>0.59138146999999996</v>
      </c>
    </row>
    <row r="217" spans="1:87" ht="15" customHeight="1" x14ac:dyDescent="0.2">
      <c r="A217" s="297">
        <f t="shared" si="234"/>
        <v>62009050</v>
      </c>
      <c r="B217" s="297" t="s">
        <v>224</v>
      </c>
      <c r="C217" s="297" t="s">
        <v>631</v>
      </c>
      <c r="D217" s="326" t="s">
        <v>778</v>
      </c>
      <c r="E217" s="283" t="s">
        <v>952</v>
      </c>
      <c r="F217" s="310" t="str">
        <f t="shared" si="223"/>
        <v>09/24/20</v>
      </c>
      <c r="G217" s="298" t="s">
        <v>953</v>
      </c>
      <c r="H217" s="298" t="s">
        <v>954</v>
      </c>
      <c r="I217" s="306"/>
      <c r="J217" s="299">
        <v>32.721286999999997</v>
      </c>
      <c r="K217" s="299">
        <v>51.629927000000002</v>
      </c>
      <c r="L217" s="299">
        <v>29.267499999999998</v>
      </c>
      <c r="M217" s="299">
        <v>39.882632000000001</v>
      </c>
      <c r="N217" s="284">
        <v>3875</v>
      </c>
      <c r="O217" s="284">
        <v>28.39</v>
      </c>
      <c r="P217" s="284">
        <v>0.20169999999999999</v>
      </c>
      <c r="Q217" s="284">
        <v>1.932E-2</v>
      </c>
      <c r="R217" s="285">
        <v>3.8531461199999999</v>
      </c>
      <c r="S217" s="285">
        <f>R217+R216</f>
        <v>7.4451046000000005</v>
      </c>
      <c r="T217" s="314">
        <v>91.938526999999993</v>
      </c>
      <c r="U217" s="314">
        <v>91.938526999999993</v>
      </c>
      <c r="V217" s="289">
        <v>99786</v>
      </c>
      <c r="W217" s="289">
        <v>100536</v>
      </c>
      <c r="X217" s="289">
        <f>W217-V217</f>
        <v>750</v>
      </c>
      <c r="Y217" s="289">
        <f t="shared" si="224"/>
        <v>194.6461350393844</v>
      </c>
      <c r="Z217" s="308">
        <v>3849.9</v>
      </c>
      <c r="AA217" s="289">
        <v>3896.4</v>
      </c>
      <c r="AB217" s="289">
        <f>AA217-Z217</f>
        <v>46.5</v>
      </c>
      <c r="AC217" s="289">
        <f t="shared" si="225"/>
        <v>12.068060372441833</v>
      </c>
      <c r="AD217" s="308">
        <v>3297.66</v>
      </c>
      <c r="AE217" s="289">
        <v>3338.5156299999999</v>
      </c>
      <c r="AF217" s="289">
        <f>AE217-AD217</f>
        <v>40.855630000000019</v>
      </c>
      <c r="AG217" s="289">
        <f t="shared" si="226"/>
        <v>10.603187298798836</v>
      </c>
      <c r="AH217" s="308">
        <v>-110.07</v>
      </c>
      <c r="AI217" s="289">
        <v>-103</v>
      </c>
      <c r="AJ217" s="289">
        <f>AI217-AH217</f>
        <v>7.0699999999999932</v>
      </c>
      <c r="AK217" s="307">
        <f t="shared" si="227"/>
        <v>1.8348642329712617</v>
      </c>
      <c r="AL217" s="308">
        <v>9081.2999999999993</v>
      </c>
      <c r="AM217" s="289">
        <v>9177.7000000000007</v>
      </c>
      <c r="AN217" s="289">
        <f>AM217-AL217</f>
        <v>96.400000000001455</v>
      </c>
      <c r="AO217" s="307">
        <f t="shared" si="228"/>
        <v>25.018516557062586</v>
      </c>
      <c r="AP217" s="308">
        <v>-161.80000000000001</v>
      </c>
      <c r="AQ217" s="289">
        <v>-77.599999999999994</v>
      </c>
      <c r="AR217" s="289">
        <f>AQ217-AP217</f>
        <v>84.200000000000017</v>
      </c>
      <c r="AS217" s="307">
        <f t="shared" si="229"/>
        <v>21.85227276042156</v>
      </c>
      <c r="AT217" s="308">
        <v>200.6</v>
      </c>
      <c r="AU217" s="289">
        <v>202</v>
      </c>
      <c r="AV217" s="289">
        <f>AU217-AT217</f>
        <v>1.4000000000000057</v>
      </c>
      <c r="AW217" s="307">
        <f t="shared" si="230"/>
        <v>0.36333945207351903</v>
      </c>
      <c r="AX217" s="308">
        <v>790</v>
      </c>
      <c r="AY217" s="289">
        <v>1537</v>
      </c>
      <c r="AZ217" s="289">
        <f>AY217-AX217</f>
        <v>747</v>
      </c>
      <c r="BA217" s="307">
        <f t="shared" si="231"/>
        <v>193.86755049922687</v>
      </c>
      <c r="BB217" s="308">
        <v>116374</v>
      </c>
      <c r="BC217" s="289">
        <v>116375</v>
      </c>
      <c r="BD217" s="289">
        <f>BC217-BB217</f>
        <v>1</v>
      </c>
      <c r="BE217" s="307">
        <f t="shared" si="232"/>
        <v>0.25952818005251255</v>
      </c>
      <c r="BF217" s="308">
        <v>-116063</v>
      </c>
      <c r="BG217" s="289">
        <v>-116063</v>
      </c>
      <c r="BH217" s="289">
        <f>BG217-BF217</f>
        <v>0</v>
      </c>
      <c r="BI217" s="307">
        <f t="shared" si="233"/>
        <v>0</v>
      </c>
      <c r="BJ217" s="281">
        <v>91.938526999999993</v>
      </c>
      <c r="BK217" s="281">
        <v>91.938526999999993</v>
      </c>
      <c r="BL217" s="281">
        <f>BK217-BJ217</f>
        <v>0</v>
      </c>
      <c r="BM217" s="408">
        <v>-116063</v>
      </c>
      <c r="BN217" s="458">
        <v>-116063</v>
      </c>
      <c r="BO217" s="458">
        <f>BN217-BM217</f>
        <v>0</v>
      </c>
      <c r="BP217" s="408">
        <v>116374</v>
      </c>
      <c r="BQ217" s="458">
        <v>116375</v>
      </c>
      <c r="BR217" s="458">
        <f>BQ217-BP217</f>
        <v>1</v>
      </c>
      <c r="BS217" s="281"/>
      <c r="BT217" s="281"/>
      <c r="BU217" s="281"/>
      <c r="BV217" s="281"/>
      <c r="BW217" s="298" t="s">
        <v>713</v>
      </c>
      <c r="BX217" s="422">
        <v>1348.1741207499999</v>
      </c>
      <c r="BY217" s="422">
        <v>-1.2401882500000001</v>
      </c>
      <c r="BZ217" s="422">
        <v>3373.6274927200002</v>
      </c>
      <c r="CA217" s="422">
        <v>3415.9922268</v>
      </c>
      <c r="CB217" s="422">
        <v>2.7069713000000002</v>
      </c>
      <c r="CC217" s="422">
        <v>2.7414809600000001</v>
      </c>
      <c r="CD217" s="422">
        <v>-0.17625713000000001</v>
      </c>
      <c r="CE217" s="422">
        <v>3.8530262500000001</v>
      </c>
      <c r="CF217" s="422">
        <v>3.8598294700000002</v>
      </c>
      <c r="CG217" s="422">
        <v>-1.0963400400000001</v>
      </c>
      <c r="CH217" s="422">
        <v>-1.25879648</v>
      </c>
      <c r="CI217" s="422">
        <v>0.71728179999999997</v>
      </c>
    </row>
    <row r="218" spans="1:87" ht="15" customHeight="1" x14ac:dyDescent="0.2">
      <c r="A218" s="297">
        <f t="shared" si="234"/>
        <v>62009050</v>
      </c>
      <c r="B218" s="297" t="s">
        <v>612</v>
      </c>
      <c r="C218" s="297" t="s">
        <v>632</v>
      </c>
      <c r="D218" s="326" t="s">
        <v>778</v>
      </c>
      <c r="E218" s="283" t="s">
        <v>952</v>
      </c>
      <c r="F218" s="310" t="str">
        <f t="shared" si="223"/>
        <v>09/24/20</v>
      </c>
      <c r="G218" s="298" t="s">
        <v>953</v>
      </c>
      <c r="H218" s="298" t="s">
        <v>954</v>
      </c>
      <c r="I218" s="306"/>
      <c r="J218" s="300">
        <f>AVERAGE(J216:J217)</f>
        <v>33.482960499999997</v>
      </c>
      <c r="K218" s="300">
        <f>AVERAGE(K216:K217)</f>
        <v>50.4486645</v>
      </c>
      <c r="L218" s="300">
        <f>AVERAGE(L216:L217)</f>
        <v>29.266895499999997</v>
      </c>
      <c r="M218" s="300">
        <f>AVERAGE(M216:M217)</f>
        <v>40.190615000000001</v>
      </c>
      <c r="N218" s="286"/>
      <c r="O218" s="284"/>
      <c r="P218" s="302"/>
      <c r="Q218" s="301"/>
      <c r="R218" s="287">
        <f>R217+R216</f>
        <v>7.4451046000000005</v>
      </c>
      <c r="S218" s="287">
        <f>S217</f>
        <v>7.4451046000000005</v>
      </c>
      <c r="T218" s="315">
        <f>T216</f>
        <v>91.938526999999993</v>
      </c>
      <c r="U218" s="315">
        <f>U217</f>
        <v>91.938526999999993</v>
      </c>
      <c r="V218" s="290">
        <f>V216</f>
        <v>99036.606450000007</v>
      </c>
      <c r="W218" s="290">
        <f>W217</f>
        <v>100536</v>
      </c>
      <c r="X218" s="290">
        <f>SUM(X216:X217)</f>
        <v>1499.3935499999934</v>
      </c>
      <c r="Y218" s="290">
        <f t="shared" si="224"/>
        <v>201.39321481124568</v>
      </c>
      <c r="Z218" s="290">
        <f>Z216</f>
        <v>3825.7</v>
      </c>
      <c r="AA218" s="290">
        <f>AA217</f>
        <v>3896.4</v>
      </c>
      <c r="AB218" s="290">
        <f>SUM(AB216:AB217)</f>
        <v>70.600000000000364</v>
      </c>
      <c r="AC218" s="290">
        <f t="shared" si="225"/>
        <v>9.4827411827095567</v>
      </c>
      <c r="AD218" s="290">
        <f>AD216</f>
        <v>3276.506065</v>
      </c>
      <c r="AE218" s="290">
        <f>AE217</f>
        <v>3338.5156299999999</v>
      </c>
      <c r="AF218" s="290">
        <f>SUM(AF216:AF217)</f>
        <v>61.999565000000075</v>
      </c>
      <c r="AG218" s="290">
        <f t="shared" si="226"/>
        <v>8.3275613078693436</v>
      </c>
      <c r="AH218" s="290">
        <f>AH216</f>
        <v>-118.50606500000001</v>
      </c>
      <c r="AI218" s="290">
        <f>AI217</f>
        <v>-103</v>
      </c>
      <c r="AJ218" s="290">
        <f>SUM(AJ216:AJ217)</f>
        <v>15.496065000000002</v>
      </c>
      <c r="AK218" s="288">
        <f t="shared" si="227"/>
        <v>2.0813763986606717</v>
      </c>
      <c r="AL218" s="290">
        <f>AL216</f>
        <v>9007.7620970000007</v>
      </c>
      <c r="AM218" s="290">
        <f>AM217</f>
        <v>9177.7000000000007</v>
      </c>
      <c r="AN218" s="290">
        <f>SUM(AN216:AN217)</f>
        <v>169.93790300000001</v>
      </c>
      <c r="AO218" s="288">
        <f t="shared" si="228"/>
        <v>22.825455400586311</v>
      </c>
      <c r="AP218" s="290">
        <f>AP216</f>
        <v>-190</v>
      </c>
      <c r="AQ218" s="290">
        <f>AQ217</f>
        <v>-77.599999999999994</v>
      </c>
      <c r="AR218" s="290">
        <f>SUM(AR216:AR217)</f>
        <v>112.4</v>
      </c>
      <c r="AS218" s="288">
        <f t="shared" si="229"/>
        <v>15.097168681820802</v>
      </c>
      <c r="AT218" s="290">
        <f>AT216</f>
        <v>199.8</v>
      </c>
      <c r="AU218" s="290">
        <f>AU217</f>
        <v>202</v>
      </c>
      <c r="AV218" s="290">
        <f>SUM(AV216:AV217)</f>
        <v>2.1999999999999886</v>
      </c>
      <c r="AW218" s="288">
        <f t="shared" si="230"/>
        <v>0.29549618416375084</v>
      </c>
      <c r="AX218" s="290">
        <f>AX216</f>
        <v>42</v>
      </c>
      <c r="AY218" s="290">
        <f>AY217</f>
        <v>1537</v>
      </c>
      <c r="AZ218" s="290">
        <f>SUM(AZ216:AZ217)</f>
        <v>1495</v>
      </c>
      <c r="BA218" s="288">
        <f t="shared" si="231"/>
        <v>200.80308878400444</v>
      </c>
      <c r="BB218" s="290">
        <f>BB216</f>
        <v>116374</v>
      </c>
      <c r="BC218" s="290">
        <f>BC217</f>
        <v>116375</v>
      </c>
      <c r="BD218" s="290">
        <f>SUM(BD216:BD217)</f>
        <v>1</v>
      </c>
      <c r="BE218" s="288">
        <f t="shared" si="232"/>
        <v>0.13431644734716017</v>
      </c>
      <c r="BF218" s="290">
        <f>BF216</f>
        <v>-116063</v>
      </c>
      <c r="BG218" s="290">
        <f>BG217</f>
        <v>-116063</v>
      </c>
      <c r="BH218" s="290">
        <f>SUM(BH216:BH217)</f>
        <v>0</v>
      </c>
      <c r="BI218" s="288">
        <f t="shared" si="233"/>
        <v>0</v>
      </c>
      <c r="BJ218" s="282"/>
      <c r="BK218" s="282"/>
      <c r="BL218" s="282">
        <f>SUM(BL216:BL217)</f>
        <v>0</v>
      </c>
      <c r="BM218" s="459">
        <f>BM216</f>
        <v>-116063</v>
      </c>
      <c r="BN218" s="459">
        <f>BN217</f>
        <v>-116063</v>
      </c>
      <c r="BO218" s="459">
        <f>SUM(BO216:BO217)</f>
        <v>0</v>
      </c>
      <c r="BP218" s="459">
        <f>BP216</f>
        <v>116374</v>
      </c>
      <c r="BQ218" s="459">
        <f>BQ217</f>
        <v>116375</v>
      </c>
      <c r="BR218" s="459">
        <f>SUM(BR216:BR217)</f>
        <v>1</v>
      </c>
      <c r="BS218" s="282"/>
      <c r="BT218" s="282"/>
      <c r="BU218" s="282"/>
      <c r="BV218" s="282"/>
      <c r="BW218" s="298" t="s">
        <v>713</v>
      </c>
    </row>
    <row r="219" spans="1:87" ht="15" customHeight="1" x14ac:dyDescent="0.2">
      <c r="A219" s="297">
        <f t="shared" si="234"/>
        <v>62009050</v>
      </c>
      <c r="B219" s="297" t="s">
        <v>613</v>
      </c>
      <c r="C219" s="297" t="s">
        <v>633</v>
      </c>
      <c r="D219" s="326" t="s">
        <v>778</v>
      </c>
      <c r="E219" s="283" t="s">
        <v>952</v>
      </c>
      <c r="F219" s="310" t="str">
        <f t="shared" si="223"/>
        <v>09/24/20</v>
      </c>
      <c r="G219" s="298" t="s">
        <v>953</v>
      </c>
      <c r="H219" s="298" t="s">
        <v>954</v>
      </c>
      <c r="I219" s="306"/>
      <c r="J219" s="299">
        <v>35.628028</v>
      </c>
      <c r="K219" s="299">
        <v>37.991070000000001</v>
      </c>
      <c r="L219" s="299">
        <v>29.270641999999999</v>
      </c>
      <c r="M219" s="299">
        <v>41.814597999999997</v>
      </c>
      <c r="N219" s="284">
        <v>3875</v>
      </c>
      <c r="O219" s="284">
        <v>28.39</v>
      </c>
      <c r="P219" s="284">
        <v>0.20169999999999999</v>
      </c>
      <c r="Q219" s="284">
        <v>1.932E-2</v>
      </c>
      <c r="R219" s="285">
        <v>1.76929388</v>
      </c>
      <c r="S219" s="285">
        <f>R219+R218</f>
        <v>9.2143984799999998</v>
      </c>
      <c r="T219" s="314">
        <v>91.938526999999993</v>
      </c>
      <c r="U219" s="314">
        <v>91.938526999999993</v>
      </c>
      <c r="V219" s="289">
        <v>100566</v>
      </c>
      <c r="W219" s="289">
        <v>102828</v>
      </c>
      <c r="X219" s="289">
        <f>W219-V219-X220</f>
        <v>514</v>
      </c>
      <c r="Y219" s="289">
        <f t="shared" si="224"/>
        <v>290.51137621071746</v>
      </c>
      <c r="Z219" s="308">
        <v>3901.6</v>
      </c>
      <c r="AA219" s="289">
        <v>3936.3</v>
      </c>
      <c r="AB219" s="289">
        <f>AA219-Z219-AB220</f>
        <v>13.500000000000455</v>
      </c>
      <c r="AC219" s="289">
        <f t="shared" si="225"/>
        <v>7.630162604756455</v>
      </c>
      <c r="AD219" s="308">
        <v>3343.1318550000001</v>
      </c>
      <c r="AE219" s="289">
        <v>3373.74</v>
      </c>
      <c r="AF219" s="289">
        <f>AE219-AD219-AF220</f>
        <v>11.913584999999784</v>
      </c>
      <c r="AG219" s="289">
        <f t="shared" si="226"/>
        <v>6.7335252411542763</v>
      </c>
      <c r="AH219" s="308">
        <v>-102.31</v>
      </c>
      <c r="AI219" s="289">
        <v>-98.19</v>
      </c>
      <c r="AJ219" s="289">
        <f>AI219-AH219-AJ220</f>
        <v>1.6200000000000045</v>
      </c>
      <c r="AK219" s="307">
        <f t="shared" si="227"/>
        <v>0.91561951257074636</v>
      </c>
      <c r="AL219" s="308">
        <v>9188.6</v>
      </c>
      <c r="AM219" s="289">
        <v>9259.4</v>
      </c>
      <c r="AN219" s="289">
        <f>AM219-AL219-AN220</f>
        <v>27.949108999999225</v>
      </c>
      <c r="AO219" s="307">
        <f t="shared" si="228"/>
        <v>15.796758987262889</v>
      </c>
      <c r="AP219" s="308">
        <v>-65.099999999999994</v>
      </c>
      <c r="AQ219" s="289">
        <v>-8.8826169999999998</v>
      </c>
      <c r="AR219" s="289">
        <f>AQ219-AP219-AR220</f>
        <v>25.063717999999998</v>
      </c>
      <c r="AS219" s="307">
        <f t="shared" si="229"/>
        <v>14.165943986648504</v>
      </c>
      <c r="AT219" s="308">
        <v>202.2</v>
      </c>
      <c r="AU219" s="289">
        <v>203.2</v>
      </c>
      <c r="AV219" s="289">
        <f>AU219-AT219-AV220</f>
        <v>0.40000000000000568</v>
      </c>
      <c r="AW219" s="307">
        <f t="shared" si="230"/>
        <v>0.22607889199277945</v>
      </c>
      <c r="AX219" s="308">
        <v>1566</v>
      </c>
      <c r="AY219" s="289">
        <v>3828.1738319999999</v>
      </c>
      <c r="AZ219" s="289">
        <f>AY219-AX219-AZ220</f>
        <v>513.17383199999995</v>
      </c>
      <c r="BA219" s="307">
        <f t="shared" si="231"/>
        <v>290.04442834561769</v>
      </c>
      <c r="BB219" s="308">
        <v>116376</v>
      </c>
      <c r="BC219" s="289">
        <v>116376</v>
      </c>
      <c r="BD219" s="289">
        <f>BC219-BB219-BD220</f>
        <v>0</v>
      </c>
      <c r="BE219" s="307">
        <f t="shared" si="232"/>
        <v>0</v>
      </c>
      <c r="BF219" s="308">
        <v>-116063</v>
      </c>
      <c r="BG219" s="289">
        <v>-116063</v>
      </c>
      <c r="BH219" s="289">
        <f>BG219-BF219-BH220</f>
        <v>0</v>
      </c>
      <c r="BI219" s="307">
        <f t="shared" si="233"/>
        <v>0</v>
      </c>
      <c r="BJ219" s="281">
        <v>91.938526999999993</v>
      </c>
      <c r="BK219" s="281">
        <v>91.938526999999993</v>
      </c>
      <c r="BL219" s="281">
        <f>BK219-BJ219-BL220</f>
        <v>0</v>
      </c>
      <c r="BM219" s="408">
        <v>-116063</v>
      </c>
      <c r="BN219" s="458">
        <v>-116063</v>
      </c>
      <c r="BO219" s="458">
        <f>BN219-BM219-BO220</f>
        <v>0</v>
      </c>
      <c r="BP219" s="408">
        <v>116376</v>
      </c>
      <c r="BQ219" s="458">
        <v>116376</v>
      </c>
      <c r="BR219" s="458">
        <f>BQ219-BP219-BR220</f>
        <v>0</v>
      </c>
      <c r="BS219" s="281"/>
      <c r="BT219" s="281"/>
      <c r="BU219" s="281"/>
      <c r="BV219" s="281"/>
      <c r="BW219" s="298" t="s">
        <v>713</v>
      </c>
      <c r="BX219" s="422">
        <v>5068.4999410999999</v>
      </c>
      <c r="BY219" s="422">
        <v>-2.4690120699999998</v>
      </c>
      <c r="BZ219" s="422">
        <v>2398.5484975700001</v>
      </c>
      <c r="CA219" s="422">
        <v>2459.2681244599999</v>
      </c>
      <c r="CB219" s="422">
        <v>2.86963708</v>
      </c>
      <c r="CC219" s="422">
        <v>2.92519646</v>
      </c>
      <c r="CD219" s="422">
        <v>-0.16052683000000001</v>
      </c>
      <c r="CE219" s="422">
        <v>1.76925975</v>
      </c>
      <c r="CF219" s="422">
        <v>1.7721044500000001</v>
      </c>
      <c r="CG219" s="422">
        <v>-1.7724769499999999</v>
      </c>
      <c r="CH219" s="422">
        <v>-1.89933844</v>
      </c>
      <c r="CI219" s="422">
        <v>0.81463507000000002</v>
      </c>
    </row>
    <row r="220" spans="1:87" ht="15" customHeight="1" x14ac:dyDescent="0.2">
      <c r="A220" s="297">
        <f t="shared" si="234"/>
        <v>62009050</v>
      </c>
      <c r="B220" s="297" t="s">
        <v>614</v>
      </c>
      <c r="C220" s="297" t="s">
        <v>634</v>
      </c>
      <c r="D220" s="326" t="s">
        <v>778</v>
      </c>
      <c r="E220" s="283" t="s">
        <v>952</v>
      </c>
      <c r="F220" s="310" t="str">
        <f t="shared" si="223"/>
        <v>09/24/20</v>
      </c>
      <c r="G220" s="298" t="s">
        <v>953</v>
      </c>
      <c r="H220" s="298" t="s">
        <v>954</v>
      </c>
      <c r="I220" s="306"/>
      <c r="J220" s="299">
        <v>39.019559999999998</v>
      </c>
      <c r="K220" s="299">
        <v>30.729402</v>
      </c>
      <c r="L220" s="299">
        <v>29.290057999999998</v>
      </c>
      <c r="M220" s="299">
        <v>41.813631999999998</v>
      </c>
      <c r="N220" s="284">
        <v>3875</v>
      </c>
      <c r="O220" s="284">
        <v>28.39</v>
      </c>
      <c r="P220" s="284">
        <v>0.20169999999999999</v>
      </c>
      <c r="Q220" s="284">
        <v>1.932E-2</v>
      </c>
      <c r="R220" s="285">
        <v>6.2471106699999996</v>
      </c>
      <c r="S220" s="285">
        <f>R220+R219</f>
        <v>8.016404549999999</v>
      </c>
      <c r="T220" s="314">
        <v>91.938526999999993</v>
      </c>
      <c r="U220" s="314">
        <v>91.938526999999993</v>
      </c>
      <c r="V220" s="289">
        <v>100913</v>
      </c>
      <c r="W220" s="289">
        <v>102661</v>
      </c>
      <c r="X220" s="289">
        <f>W220-V220</f>
        <v>1748</v>
      </c>
      <c r="Y220" s="289">
        <f t="shared" si="224"/>
        <v>279.80935384965738</v>
      </c>
      <c r="Z220" s="308">
        <v>3909</v>
      </c>
      <c r="AA220" s="289">
        <v>3930.2</v>
      </c>
      <c r="AB220" s="289">
        <f>AA220-Z220</f>
        <v>21.199999999999818</v>
      </c>
      <c r="AC220" s="289">
        <f t="shared" si="225"/>
        <v>3.3935688224328864</v>
      </c>
      <c r="AD220" s="308">
        <v>3349.61544</v>
      </c>
      <c r="AE220" s="289">
        <v>3368.31</v>
      </c>
      <c r="AF220" s="289">
        <f>AE220-AD220</f>
        <v>18.69455999999991</v>
      </c>
      <c r="AG220" s="289">
        <f t="shared" si="226"/>
        <v>2.9925130172217536</v>
      </c>
      <c r="AH220" s="308">
        <v>-101.37</v>
      </c>
      <c r="AI220" s="289">
        <v>-98.87</v>
      </c>
      <c r="AJ220" s="289">
        <f>AI220-AH220</f>
        <v>2.5</v>
      </c>
      <c r="AK220" s="307">
        <f t="shared" si="227"/>
        <v>0.40018500264539097</v>
      </c>
      <c r="AL220" s="308">
        <v>9204.4491089999992</v>
      </c>
      <c r="AM220" s="289">
        <v>9247.2999999999993</v>
      </c>
      <c r="AN220" s="289">
        <f>AM220-AL220</f>
        <v>42.850891000000047</v>
      </c>
      <c r="AO220" s="307">
        <f t="shared" si="228"/>
        <v>6.8593135712769513</v>
      </c>
      <c r="AP220" s="308">
        <v>-49.5</v>
      </c>
      <c r="AQ220" s="289">
        <v>-18.346335</v>
      </c>
      <c r="AR220" s="289">
        <f>AQ220-AP220</f>
        <v>31.153665</v>
      </c>
      <c r="AS220" s="307">
        <f t="shared" si="229"/>
        <v>4.9868918041754497</v>
      </c>
      <c r="AT220" s="308">
        <v>202.4</v>
      </c>
      <c r="AU220" s="289">
        <v>203</v>
      </c>
      <c r="AV220" s="289">
        <f>AU220-AT220</f>
        <v>0.59999999999999432</v>
      </c>
      <c r="AW220" s="307">
        <f t="shared" si="230"/>
        <v>9.6044400634892918E-2</v>
      </c>
      <c r="AX220" s="308">
        <v>1913</v>
      </c>
      <c r="AY220" s="289">
        <v>3662</v>
      </c>
      <c r="AZ220" s="289">
        <f>AY220-AX220</f>
        <v>1749</v>
      </c>
      <c r="BA220" s="307">
        <f t="shared" si="231"/>
        <v>279.96942785071553</v>
      </c>
      <c r="BB220" s="308">
        <v>116376</v>
      </c>
      <c r="BC220" s="289">
        <v>116376</v>
      </c>
      <c r="BD220" s="289">
        <f>BC220-BB220</f>
        <v>0</v>
      </c>
      <c r="BE220" s="307">
        <f t="shared" si="232"/>
        <v>0</v>
      </c>
      <c r="BF220" s="308">
        <v>-116063</v>
      </c>
      <c r="BG220" s="289">
        <v>-116063</v>
      </c>
      <c r="BH220" s="289">
        <f>BG220-BF220</f>
        <v>0</v>
      </c>
      <c r="BI220" s="307">
        <f t="shared" si="233"/>
        <v>0</v>
      </c>
      <c r="BJ220" s="281">
        <v>91.938526999999993</v>
      </c>
      <c r="BK220" s="281">
        <v>91.938526999999993</v>
      </c>
      <c r="BL220" s="281">
        <f>BK220-BJ220</f>
        <v>0</v>
      </c>
      <c r="BM220" s="408">
        <v>-116063</v>
      </c>
      <c r="BN220" s="458">
        <v>-116063</v>
      </c>
      <c r="BO220" s="458">
        <f>BN220-BM220</f>
        <v>0</v>
      </c>
      <c r="BP220" s="408">
        <v>116376</v>
      </c>
      <c r="BQ220" s="458">
        <v>116376</v>
      </c>
      <c r="BR220" s="458">
        <f>BQ220-BP220</f>
        <v>0</v>
      </c>
      <c r="BS220" s="281"/>
      <c r="BT220" s="281"/>
      <c r="BU220" s="281"/>
      <c r="BV220" s="281"/>
      <c r="BW220" s="298" t="s">
        <v>713</v>
      </c>
      <c r="BX220" s="422">
        <v>10787.358326650001</v>
      </c>
      <c r="BY220" s="422">
        <v>-7.2274306299999997</v>
      </c>
      <c r="BZ220" s="422">
        <v>1055.98309402</v>
      </c>
      <c r="CA220" s="422">
        <v>1138.2492704700001</v>
      </c>
      <c r="CB220" s="422">
        <v>6.4270173699999997</v>
      </c>
      <c r="CC220" s="422">
        <v>6.5094873399999997</v>
      </c>
      <c r="CD220" s="422">
        <v>0.19735771999999999</v>
      </c>
      <c r="CE220" s="422">
        <v>6.2471630300000003</v>
      </c>
      <c r="CF220" s="422">
        <v>6.2348580599999996</v>
      </c>
      <c r="CG220" s="422">
        <v>-1.48306655</v>
      </c>
      <c r="CH220" s="422">
        <v>-1.2669195600000001</v>
      </c>
      <c r="CI220" s="422">
        <v>0.34619986000000003</v>
      </c>
    </row>
    <row r="221" spans="1:87" ht="15" customHeight="1" x14ac:dyDescent="0.2">
      <c r="A221" s="297">
        <f t="shared" si="234"/>
        <v>62009050</v>
      </c>
      <c r="B221" s="297" t="s">
        <v>615</v>
      </c>
      <c r="C221" s="297" t="s">
        <v>635</v>
      </c>
      <c r="D221" s="326" t="s">
        <v>778</v>
      </c>
      <c r="E221" s="283" t="s">
        <v>952</v>
      </c>
      <c r="F221" s="310" t="str">
        <f t="shared" si="223"/>
        <v>09/24/20</v>
      </c>
      <c r="G221" s="298" t="s">
        <v>953</v>
      </c>
      <c r="H221" s="298" t="s">
        <v>954</v>
      </c>
      <c r="I221" s="306"/>
      <c r="J221" s="300">
        <f>AVERAGE(J219:J220)</f>
        <v>37.323793999999999</v>
      </c>
      <c r="K221" s="300">
        <f>AVERAGE(K219:K220)</f>
        <v>34.360236</v>
      </c>
      <c r="L221" s="300">
        <f>AVERAGE(L219:L220)</f>
        <v>29.280349999999999</v>
      </c>
      <c r="M221" s="300">
        <f>AVERAGE(M219:M220)</f>
        <v>41.814115000000001</v>
      </c>
      <c r="N221" s="286"/>
      <c r="O221" s="284"/>
      <c r="P221" s="302"/>
      <c r="Q221" s="301"/>
      <c r="R221" s="287">
        <f>R220+R219</f>
        <v>8.016404549999999</v>
      </c>
      <c r="S221" s="287">
        <f>S220</f>
        <v>8.016404549999999</v>
      </c>
      <c r="T221" s="315">
        <f>T219</f>
        <v>91.938526999999993</v>
      </c>
      <c r="U221" s="315">
        <f>U220</f>
        <v>91.938526999999993</v>
      </c>
      <c r="V221" s="290">
        <f>V219</f>
        <v>100566</v>
      </c>
      <c r="W221" s="290">
        <f>W220</f>
        <v>102661</v>
      </c>
      <c r="X221" s="290">
        <f>SUM(X219:X220)</f>
        <v>2262</v>
      </c>
      <c r="Y221" s="290">
        <f t="shared" si="224"/>
        <v>282.17138816927599</v>
      </c>
      <c r="Z221" s="290">
        <f>Z219</f>
        <v>3901.6</v>
      </c>
      <c r="AA221" s="290">
        <f>AA220</f>
        <v>3930.2</v>
      </c>
      <c r="AB221" s="290">
        <f>SUM(AB219:AB220)</f>
        <v>34.700000000000273</v>
      </c>
      <c r="AC221" s="290">
        <f t="shared" si="225"/>
        <v>4.3286238591838879</v>
      </c>
      <c r="AD221" s="290">
        <f>AD219</f>
        <v>3343.1318550000001</v>
      </c>
      <c r="AE221" s="290">
        <f>AE220</f>
        <v>3368.31</v>
      </c>
      <c r="AF221" s="290">
        <f>SUM(AF219:AF220)</f>
        <v>30.608144999999695</v>
      </c>
      <c r="AG221" s="290">
        <f t="shared" si="226"/>
        <v>3.8181886666385494</v>
      </c>
      <c r="AH221" s="290">
        <f>AH219</f>
        <v>-102.31</v>
      </c>
      <c r="AI221" s="290">
        <f>AI220</f>
        <v>-98.87</v>
      </c>
      <c r="AJ221" s="290">
        <f>SUM(AJ219:AJ220)</f>
        <v>4.1200000000000045</v>
      </c>
      <c r="AK221" s="288">
        <f t="shared" si="227"/>
        <v>0.51394611815093649</v>
      </c>
      <c r="AL221" s="290">
        <f>AL219</f>
        <v>9188.6</v>
      </c>
      <c r="AM221" s="290">
        <f>AM220</f>
        <v>9247.2999999999993</v>
      </c>
      <c r="AN221" s="290">
        <f>SUM(AN219:AN220)</f>
        <v>70.799999999999272</v>
      </c>
      <c r="AO221" s="288">
        <f t="shared" si="228"/>
        <v>8.8318896031761867</v>
      </c>
      <c r="AP221" s="290">
        <f>AP219</f>
        <v>-65.099999999999994</v>
      </c>
      <c r="AQ221" s="290">
        <f>AQ220</f>
        <v>-18.346335</v>
      </c>
      <c r="AR221" s="290">
        <f>SUM(AR219:AR220)</f>
        <v>56.217382999999998</v>
      </c>
      <c r="AS221" s="288">
        <f t="shared" si="229"/>
        <v>7.0127926615180627</v>
      </c>
      <c r="AT221" s="290">
        <f>AT219</f>
        <v>202.2</v>
      </c>
      <c r="AU221" s="290">
        <f>AU220</f>
        <v>203</v>
      </c>
      <c r="AV221" s="290">
        <f>SUM(AV219:AV220)</f>
        <v>1</v>
      </c>
      <c r="AW221" s="288">
        <f t="shared" si="230"/>
        <v>0.1247442034346932</v>
      </c>
      <c r="AX221" s="290">
        <f>AX219</f>
        <v>1566</v>
      </c>
      <c r="AY221" s="290">
        <f>AY220</f>
        <v>3662</v>
      </c>
      <c r="AZ221" s="290">
        <f>SUM(AZ219:AZ220)</f>
        <v>2262.1738319999999</v>
      </c>
      <c r="BA221" s="288">
        <f t="shared" si="231"/>
        <v>282.19307270364743</v>
      </c>
      <c r="BB221" s="290">
        <f>BB219</f>
        <v>116376</v>
      </c>
      <c r="BC221" s="290">
        <f>BC220</f>
        <v>116376</v>
      </c>
      <c r="BD221" s="290">
        <f>SUM(BD219:BD220)</f>
        <v>0</v>
      </c>
      <c r="BE221" s="288">
        <f t="shared" si="232"/>
        <v>0</v>
      </c>
      <c r="BF221" s="290">
        <f>BF219</f>
        <v>-116063</v>
      </c>
      <c r="BG221" s="290">
        <f>BG220</f>
        <v>-116063</v>
      </c>
      <c r="BH221" s="290">
        <f>SUM(BH219:BH220)</f>
        <v>0</v>
      </c>
      <c r="BI221" s="288">
        <f t="shared" si="233"/>
        <v>0</v>
      </c>
      <c r="BJ221" s="282"/>
      <c r="BK221" s="282"/>
      <c r="BL221" s="282">
        <f>SUM(BL219:BL220)</f>
        <v>0</v>
      </c>
      <c r="BM221" s="459">
        <f>BM219</f>
        <v>-116063</v>
      </c>
      <c r="BN221" s="459">
        <f>BN220</f>
        <v>-116063</v>
      </c>
      <c r="BO221" s="459">
        <f>SUM(BO219:BO220)</f>
        <v>0</v>
      </c>
      <c r="BP221" s="459">
        <f>BP219</f>
        <v>116376</v>
      </c>
      <c r="BQ221" s="459">
        <f>BQ220</f>
        <v>116376</v>
      </c>
      <c r="BR221" s="459">
        <f>SUM(BR219:BR220)</f>
        <v>0</v>
      </c>
      <c r="BS221" s="282"/>
      <c r="BT221" s="282"/>
      <c r="BU221" s="282"/>
      <c r="BV221" s="282"/>
      <c r="BW221" s="298" t="s">
        <v>713</v>
      </c>
    </row>
    <row r="222" spans="1:87" ht="15" customHeight="1" x14ac:dyDescent="0.2">
      <c r="A222" s="457" t="s">
        <v>955</v>
      </c>
      <c r="B222" s="334"/>
      <c r="C222" s="334"/>
      <c r="D222" s="335"/>
      <c r="E222" s="334"/>
      <c r="F222" s="334"/>
      <c r="G222" s="335"/>
      <c r="H222" s="335"/>
      <c r="I222" s="335"/>
      <c r="J222" s="335"/>
      <c r="K222" s="335"/>
      <c r="L222" s="335"/>
      <c r="M222" s="335"/>
      <c r="N222" s="335"/>
      <c r="O222" s="335"/>
      <c r="P222" s="336"/>
      <c r="Q222" s="337"/>
      <c r="R222" s="334"/>
      <c r="S222" s="334"/>
      <c r="T222" s="334"/>
      <c r="U222" s="334"/>
      <c r="V222" s="341"/>
      <c r="W222" s="341"/>
      <c r="X222" s="334"/>
      <c r="Y222" s="334"/>
      <c r="Z222" s="341"/>
      <c r="AA222" s="341"/>
      <c r="AB222" s="334"/>
      <c r="AC222" s="334"/>
      <c r="AD222" s="341"/>
      <c r="AE222" s="341"/>
      <c r="AF222" s="334"/>
      <c r="AG222" s="334"/>
      <c r="AH222" s="334"/>
      <c r="AI222" s="334"/>
      <c r="AJ222" s="334"/>
      <c r="AK222" s="334"/>
      <c r="AL222" s="341"/>
      <c r="AM222" s="341"/>
      <c r="AN222" s="334"/>
      <c r="AO222" s="334"/>
      <c r="AP222" s="334"/>
      <c r="AQ222" s="334"/>
      <c r="AR222" s="334"/>
      <c r="AS222" s="334"/>
      <c r="AT222" s="334"/>
      <c r="AU222" s="334"/>
      <c r="AV222" s="334"/>
      <c r="AW222" s="334"/>
      <c r="AX222" s="334"/>
      <c r="AY222" s="334"/>
      <c r="AZ222" s="334"/>
      <c r="BA222" s="334"/>
      <c r="BB222" s="334"/>
      <c r="BC222" s="334"/>
      <c r="BD222" s="334"/>
      <c r="BE222" s="334"/>
      <c r="BF222" s="334"/>
      <c r="BG222" s="334"/>
      <c r="BH222" s="334"/>
      <c r="BI222" s="334"/>
      <c r="BJ222" s="334"/>
      <c r="BK222" s="334"/>
      <c r="BL222" s="338"/>
    </row>
    <row r="223" spans="1:87" ht="15" customHeight="1" x14ac:dyDescent="0.2">
      <c r="A223" s="297">
        <v>62009051</v>
      </c>
      <c r="B223" s="297" t="s">
        <v>607</v>
      </c>
      <c r="C223" s="297" t="s">
        <v>626</v>
      </c>
      <c r="D223" s="326" t="s">
        <v>778</v>
      </c>
      <c r="E223" s="283" t="s">
        <v>963</v>
      </c>
      <c r="F223" s="310" t="str">
        <f t="shared" si="223"/>
        <v>09/25/20</v>
      </c>
      <c r="G223" s="298" t="s">
        <v>964</v>
      </c>
      <c r="H223" s="298" t="s">
        <v>775</v>
      </c>
      <c r="I223" s="306"/>
      <c r="J223" s="299">
        <v>-5.676234</v>
      </c>
      <c r="K223" s="299">
        <v>8.5559340000000006</v>
      </c>
      <c r="L223" s="299">
        <v>29.287790000000001</v>
      </c>
      <c r="M223" s="299">
        <v>5.5034580000000002</v>
      </c>
      <c r="N223" s="284">
        <v>3875</v>
      </c>
      <c r="O223" s="284">
        <v>28.39</v>
      </c>
      <c r="P223" s="284">
        <v>0.20169999999999999</v>
      </c>
      <c r="Q223" s="284">
        <v>1.932E-2</v>
      </c>
      <c r="R223" s="285">
        <v>3.5907811700000001</v>
      </c>
      <c r="S223" s="285">
        <f>R223+R222</f>
        <v>3.5907811700000001</v>
      </c>
      <c r="T223" s="314">
        <v>97.833078</v>
      </c>
      <c r="U223" s="314">
        <v>95.655619000000002</v>
      </c>
      <c r="V223" s="289">
        <v>102862</v>
      </c>
      <c r="W223" s="289">
        <v>104484</v>
      </c>
      <c r="X223" s="289">
        <f>W223-V223</f>
        <v>1622</v>
      </c>
      <c r="Y223" s="289">
        <f t="shared" ref="Y223:Y245" si="235">X223/$R223</f>
        <v>451.7122941245679</v>
      </c>
      <c r="Z223" s="308">
        <v>4104.6922889999996</v>
      </c>
      <c r="AA223" s="289">
        <v>4149.3999999999996</v>
      </c>
      <c r="AB223" s="289">
        <f>AA223-Z223</f>
        <v>44.707711000000018</v>
      </c>
      <c r="AC223" s="289">
        <f t="shared" ref="AC223:AC245" si="236">AB223/$R223</f>
        <v>12.450692170695552</v>
      </c>
      <c r="AD223" s="308">
        <v>3500.7792290000002</v>
      </c>
      <c r="AE223" s="289">
        <v>3540.0586210000001</v>
      </c>
      <c r="AF223" s="289">
        <f>AE223-AD223</f>
        <v>39.279391999999916</v>
      </c>
      <c r="AG223" s="289">
        <f t="shared" ref="AG223:AG245" si="237">AF223/$R223</f>
        <v>10.938954545091345</v>
      </c>
      <c r="AH223" s="308">
        <v>-118.97</v>
      </c>
      <c r="AI223" s="289">
        <v>-122.57</v>
      </c>
      <c r="AJ223" s="289">
        <f>AI223-AH223</f>
        <v>-3.5999999999999943</v>
      </c>
      <c r="AK223" s="307">
        <f t="shared" ref="AK223:AK245" si="238">AJ223/$R223</f>
        <v>-1.0025673605724055</v>
      </c>
      <c r="AL223" s="308">
        <v>9293</v>
      </c>
      <c r="AM223" s="289">
        <v>9290.5</v>
      </c>
      <c r="AN223" s="289">
        <f>AM223-AL223</f>
        <v>-2.5</v>
      </c>
      <c r="AO223" s="307">
        <f t="shared" ref="AO223:AO245" si="239">AN223/$R223</f>
        <v>-0.69622733373083823</v>
      </c>
      <c r="AP223" s="308">
        <v>-8.6999999999999993</v>
      </c>
      <c r="AQ223" s="289">
        <v>678.588616</v>
      </c>
      <c r="AR223" s="289">
        <f>AQ223-AP223</f>
        <v>687.28861600000005</v>
      </c>
      <c r="AS223" s="307">
        <f t="shared" ref="AS223:AS245" si="240">AR223/$R223</f>
        <v>191.40364824849519</v>
      </c>
      <c r="AT223" s="308">
        <v>366.8</v>
      </c>
      <c r="AU223" s="289">
        <v>368.2</v>
      </c>
      <c r="AV223" s="289">
        <f>AU223-AT223</f>
        <v>1.3999999999999773</v>
      </c>
      <c r="AW223" s="307">
        <f t="shared" ref="AW223:AW245" si="241">AV223/$R223</f>
        <v>0.3898873068892631</v>
      </c>
      <c r="AX223" s="308">
        <v>-4450</v>
      </c>
      <c r="AY223" s="289">
        <v>-2828</v>
      </c>
      <c r="AZ223" s="289">
        <f>AY223-AX223</f>
        <v>1622</v>
      </c>
      <c r="BA223" s="307">
        <f t="shared" ref="BA223:BA245" si="242">AZ223/$R223</f>
        <v>451.7122941245679</v>
      </c>
      <c r="BB223" s="308">
        <v>125660</v>
      </c>
      <c r="BC223" s="289">
        <v>125660</v>
      </c>
      <c r="BD223" s="289">
        <f>BC223-BB223</f>
        <v>0</v>
      </c>
      <c r="BE223" s="307">
        <f t="shared" ref="BE223:BE245" si="243">BD223/$R223</f>
        <v>0</v>
      </c>
      <c r="BF223" s="308">
        <v>-125225</v>
      </c>
      <c r="BG223" s="289">
        <v>-125225</v>
      </c>
      <c r="BH223" s="289">
        <f>BG223-BF223</f>
        <v>0</v>
      </c>
      <c r="BI223" s="307">
        <f t="shared" ref="BI223:BI245" si="244">BH223/$R223</f>
        <v>0</v>
      </c>
      <c r="BJ223" s="281">
        <v>97.833078</v>
      </c>
      <c r="BK223" s="281">
        <v>95.655619000000002</v>
      </c>
      <c r="BL223" s="281">
        <f>BK223-BJ223</f>
        <v>-2.1774589999999989</v>
      </c>
      <c r="BM223" s="408">
        <v>-125225</v>
      </c>
      <c r="BN223" s="458">
        <v>-125225</v>
      </c>
      <c r="BO223" s="458">
        <f>BN223-BM223</f>
        <v>0</v>
      </c>
      <c r="BP223" s="408">
        <v>125660</v>
      </c>
      <c r="BQ223" s="458">
        <v>125660</v>
      </c>
      <c r="BR223" s="458">
        <f>BQ223-BP223</f>
        <v>0</v>
      </c>
      <c r="BS223" s="281"/>
      <c r="BT223" s="281"/>
      <c r="BU223" s="281"/>
      <c r="BV223" s="281"/>
      <c r="BW223" s="298" t="s">
        <v>855</v>
      </c>
      <c r="BX223" s="422">
        <v>2204.5023194599999</v>
      </c>
      <c r="BY223" s="422">
        <v>-1.02713063</v>
      </c>
      <c r="BZ223" s="422">
        <v>2027.80060349</v>
      </c>
      <c r="CA223" s="422">
        <v>2048.84491725</v>
      </c>
      <c r="CB223" s="422">
        <v>2.9456349899999998</v>
      </c>
      <c r="CC223" s="422">
        <v>2.9659053200000001</v>
      </c>
      <c r="CD223" s="422">
        <v>-7.5315599999999996E-3</v>
      </c>
      <c r="CE223" s="422">
        <v>3.59070972</v>
      </c>
      <c r="CF223" s="422">
        <v>3.5909801799999999</v>
      </c>
      <c r="CG223" s="422">
        <v>-0.68056459999999996</v>
      </c>
      <c r="CH223" s="422">
        <v>-0.68344486999999998</v>
      </c>
      <c r="CI223" s="422">
        <v>0.59141463000000005</v>
      </c>
    </row>
    <row r="224" spans="1:87" ht="15" customHeight="1" x14ac:dyDescent="0.2">
      <c r="A224" s="297">
        <f>A223</f>
        <v>62009051</v>
      </c>
      <c r="B224" s="297" t="s">
        <v>608</v>
      </c>
      <c r="C224" s="297" t="s">
        <v>627</v>
      </c>
      <c r="D224" s="326" t="s">
        <v>778</v>
      </c>
      <c r="E224" s="283" t="s">
        <v>963</v>
      </c>
      <c r="F224" s="310" t="str">
        <f t="shared" si="223"/>
        <v>09/25/20</v>
      </c>
      <c r="G224" s="298" t="s">
        <v>964</v>
      </c>
      <c r="H224" s="298" t="s">
        <v>775</v>
      </c>
      <c r="I224" s="306"/>
      <c r="J224" s="299">
        <v>-7.3421560000000001</v>
      </c>
      <c r="K224" s="299">
        <v>9.2927780000000002</v>
      </c>
      <c r="L224" s="299">
        <v>29.289732999999998</v>
      </c>
      <c r="M224" s="299">
        <v>8.884684</v>
      </c>
      <c r="N224" s="284">
        <v>3875</v>
      </c>
      <c r="O224" s="284">
        <v>28.39</v>
      </c>
      <c r="P224" s="284">
        <v>0.20169999999999999</v>
      </c>
      <c r="Q224" s="284">
        <v>1.932E-2</v>
      </c>
      <c r="R224" s="285">
        <v>3.8550505300000002</v>
      </c>
      <c r="S224" s="285">
        <f>R224+R223</f>
        <v>7.4458317000000003</v>
      </c>
      <c r="T224" s="314">
        <v>95.655619000000002</v>
      </c>
      <c r="U224" s="314">
        <v>93.517832999999996</v>
      </c>
      <c r="V224" s="289">
        <v>104484</v>
      </c>
      <c r="W224" s="289">
        <v>106074</v>
      </c>
      <c r="X224" s="289">
        <f>W224-V224</f>
        <v>1590</v>
      </c>
      <c r="Y224" s="289">
        <f t="shared" si="235"/>
        <v>412.44595566948379</v>
      </c>
      <c r="Z224" s="308">
        <v>4149.3999999999996</v>
      </c>
      <c r="AA224" s="289">
        <v>4218.8</v>
      </c>
      <c r="AB224" s="289">
        <f>AA224-Z224</f>
        <v>69.400000000000546</v>
      </c>
      <c r="AC224" s="289">
        <f t="shared" si="236"/>
        <v>18.002358065070691</v>
      </c>
      <c r="AD224" s="308">
        <v>3540.0688570000002</v>
      </c>
      <c r="AE224" s="289">
        <v>3600.6886490000002</v>
      </c>
      <c r="AF224" s="289">
        <f>AE224-AD224</f>
        <v>60.619791999999961</v>
      </c>
      <c r="AG224" s="289">
        <f t="shared" si="237"/>
        <v>15.724772354670007</v>
      </c>
      <c r="AH224" s="308">
        <v>-122.578857</v>
      </c>
      <c r="AI224" s="289">
        <v>-126.12</v>
      </c>
      <c r="AJ224" s="289">
        <f>AI224-AH224</f>
        <v>-3.5411430000000053</v>
      </c>
      <c r="AK224" s="307">
        <f t="shared" si="238"/>
        <v>-0.91857239547000313</v>
      </c>
      <c r="AL224" s="308">
        <v>9290.5</v>
      </c>
      <c r="AM224" s="289">
        <v>9286</v>
      </c>
      <c r="AN224" s="289">
        <f>AM224-AL224</f>
        <v>-4.5</v>
      </c>
      <c r="AO224" s="307">
        <f t="shared" si="239"/>
        <v>-1.1672998745362748</v>
      </c>
      <c r="AP224" s="308">
        <v>678.78862100000003</v>
      </c>
      <c r="AQ224" s="289">
        <v>1503.1</v>
      </c>
      <c r="AR224" s="289">
        <f>AQ224-AP224</f>
        <v>824.31137899999987</v>
      </c>
      <c r="AS224" s="307">
        <f t="shared" si="240"/>
        <v>213.82634873011634</v>
      </c>
      <c r="AT224" s="308">
        <v>368.2</v>
      </c>
      <c r="AU224" s="289">
        <v>370.5</v>
      </c>
      <c r="AV224" s="289">
        <f>AU224-AT224</f>
        <v>2.3000000000000114</v>
      </c>
      <c r="AW224" s="307">
        <f t="shared" si="241"/>
        <v>0.59661993587409901</v>
      </c>
      <c r="AX224" s="308">
        <v>-2828</v>
      </c>
      <c r="AY224" s="289">
        <v>-1239.1357620000001</v>
      </c>
      <c r="AZ224" s="289">
        <f>AY224-AX224</f>
        <v>1588.8642379999999</v>
      </c>
      <c r="BA224" s="307">
        <f t="shared" si="242"/>
        <v>412.1513390383497</v>
      </c>
      <c r="BB224" s="308">
        <v>125660</v>
      </c>
      <c r="BC224" s="289">
        <v>125662</v>
      </c>
      <c r="BD224" s="289">
        <f>BC224-BB224</f>
        <v>2</v>
      </c>
      <c r="BE224" s="307">
        <f t="shared" si="243"/>
        <v>0.51879994423834441</v>
      </c>
      <c r="BF224" s="308">
        <v>-125225</v>
      </c>
      <c r="BG224" s="289">
        <v>-125225</v>
      </c>
      <c r="BH224" s="289">
        <f>BG224-BF224</f>
        <v>0</v>
      </c>
      <c r="BI224" s="307">
        <f t="shared" si="244"/>
        <v>0</v>
      </c>
      <c r="BJ224" s="281">
        <v>95.655619000000002</v>
      </c>
      <c r="BK224" s="281">
        <v>93.517832999999996</v>
      </c>
      <c r="BL224" s="281">
        <f>BK224-BJ224</f>
        <v>-2.1377860000000055</v>
      </c>
      <c r="BM224" s="408">
        <v>-125225</v>
      </c>
      <c r="BN224" s="458">
        <v>-125225</v>
      </c>
      <c r="BO224" s="458">
        <f>BN224-BM224</f>
        <v>0</v>
      </c>
      <c r="BP224" s="408">
        <v>125660</v>
      </c>
      <c r="BQ224" s="458">
        <v>125662</v>
      </c>
      <c r="BR224" s="458">
        <f>BQ224-BP224</f>
        <v>2</v>
      </c>
      <c r="BS224" s="281"/>
      <c r="BT224" s="281"/>
      <c r="BU224" s="281"/>
      <c r="BV224" s="281"/>
      <c r="BW224" s="298" t="s">
        <v>855</v>
      </c>
      <c r="BX224" s="422">
        <v>1349.1026336299999</v>
      </c>
      <c r="BY224" s="422">
        <v>-1.43010791</v>
      </c>
      <c r="BZ224" s="422">
        <v>3367.311334</v>
      </c>
      <c r="CA224" s="422">
        <v>3416.1661971499998</v>
      </c>
      <c r="CB224" s="422">
        <v>2.7113183200000002</v>
      </c>
      <c r="CC224" s="422">
        <v>2.7417126399999998</v>
      </c>
      <c r="CD224" s="422">
        <v>-0.12894293000000001</v>
      </c>
      <c r="CE224" s="422">
        <v>3.8548537999999999</v>
      </c>
      <c r="CF224" s="422">
        <v>3.8598307799999998</v>
      </c>
      <c r="CG224" s="422">
        <v>-0.99062795000000003</v>
      </c>
      <c r="CH224" s="422">
        <v>-1.1085888800000001</v>
      </c>
      <c r="CI224" s="422">
        <v>0.71727098</v>
      </c>
    </row>
    <row r="225" spans="1:87" ht="15" customHeight="1" x14ac:dyDescent="0.2">
      <c r="A225" s="297">
        <f>A224</f>
        <v>62009051</v>
      </c>
      <c r="B225" s="297" t="s">
        <v>609</v>
      </c>
      <c r="C225" s="297" t="s">
        <v>628</v>
      </c>
      <c r="D225" s="326" t="s">
        <v>778</v>
      </c>
      <c r="E225" s="283" t="s">
        <v>963</v>
      </c>
      <c r="F225" s="310" t="str">
        <f t="shared" si="223"/>
        <v>09/25/20</v>
      </c>
      <c r="G225" s="298" t="s">
        <v>964</v>
      </c>
      <c r="H225" s="298" t="s">
        <v>775</v>
      </c>
      <c r="I225" s="306"/>
      <c r="J225" s="300">
        <f>AVERAGE(J223:J224)</f>
        <v>-6.5091950000000001</v>
      </c>
      <c r="K225" s="300">
        <f>AVERAGE(K223:K224)</f>
        <v>8.9243559999999995</v>
      </c>
      <c r="L225" s="300">
        <f>AVERAGE(L223:L224)</f>
        <v>29.2887615</v>
      </c>
      <c r="M225" s="300">
        <f>AVERAGE(M223:M224)</f>
        <v>7.1940710000000001</v>
      </c>
      <c r="N225" s="286"/>
      <c r="O225" s="284"/>
      <c r="P225" s="302"/>
      <c r="Q225" s="301"/>
      <c r="R225" s="287">
        <f>R224+R223</f>
        <v>7.4458317000000003</v>
      </c>
      <c r="S225" s="287">
        <f>S224</f>
        <v>7.4458317000000003</v>
      </c>
      <c r="T225" s="315">
        <f>T223</f>
        <v>97.833078</v>
      </c>
      <c r="U225" s="315">
        <f>U224</f>
        <v>93.517832999999996</v>
      </c>
      <c r="V225" s="290">
        <f>V223</f>
        <v>102862</v>
      </c>
      <c r="W225" s="290">
        <f>W224</f>
        <v>106074</v>
      </c>
      <c r="X225" s="290">
        <f>SUM(X223:X224)</f>
        <v>3212</v>
      </c>
      <c r="Y225" s="290">
        <f t="shared" si="235"/>
        <v>431.3822994414445</v>
      </c>
      <c r="Z225" s="290">
        <f>Z223</f>
        <v>4104.6922889999996</v>
      </c>
      <c r="AA225" s="290">
        <f>AA224</f>
        <v>4218.8</v>
      </c>
      <c r="AB225" s="290">
        <f>SUM(AB223:AB224)</f>
        <v>114.10771100000056</v>
      </c>
      <c r="AC225" s="290">
        <f t="shared" si="236"/>
        <v>15.325045689657552</v>
      </c>
      <c r="AD225" s="290">
        <f>AD223</f>
        <v>3500.7792290000002</v>
      </c>
      <c r="AE225" s="290">
        <f>AE224</f>
        <v>3600.6886490000002</v>
      </c>
      <c r="AF225" s="290">
        <f>SUM(AF223:AF224)</f>
        <v>99.899183999999877</v>
      </c>
      <c r="AG225" s="290">
        <f t="shared" si="237"/>
        <v>13.416793183762113</v>
      </c>
      <c r="AH225" s="290">
        <f>AH223</f>
        <v>-118.97</v>
      </c>
      <c r="AI225" s="290">
        <f>AI224</f>
        <v>-126.12</v>
      </c>
      <c r="AJ225" s="290">
        <f>SUM(AJ223:AJ224)</f>
        <v>-7.1411429999999996</v>
      </c>
      <c r="AK225" s="288">
        <f t="shared" si="238"/>
        <v>-0.95907929264638081</v>
      </c>
      <c r="AL225" s="290">
        <f>AL223</f>
        <v>9293</v>
      </c>
      <c r="AM225" s="290">
        <f>AM224</f>
        <v>9286</v>
      </c>
      <c r="AN225" s="290">
        <f>SUM(AN223:AN224)</f>
        <v>-7</v>
      </c>
      <c r="AO225" s="288">
        <f t="shared" si="239"/>
        <v>-0.94012331758720791</v>
      </c>
      <c r="AP225" s="290">
        <f>AP223</f>
        <v>-8.6999999999999993</v>
      </c>
      <c r="AQ225" s="290">
        <f>AQ224</f>
        <v>1503.1</v>
      </c>
      <c r="AR225" s="290">
        <f>SUM(AR223:AR224)</f>
        <v>1511.599995</v>
      </c>
      <c r="AS225" s="288">
        <f t="shared" si="240"/>
        <v>203.01291459488669</v>
      </c>
      <c r="AT225" s="290">
        <f>AT223</f>
        <v>366.8</v>
      </c>
      <c r="AU225" s="290">
        <f>AU224</f>
        <v>370.5</v>
      </c>
      <c r="AV225" s="290">
        <f>SUM(AV223:AV224)</f>
        <v>3.6999999999999886</v>
      </c>
      <c r="AW225" s="288">
        <f t="shared" si="241"/>
        <v>0.49692232501037975</v>
      </c>
      <c r="AX225" s="290">
        <f>AX223</f>
        <v>-4450</v>
      </c>
      <c r="AY225" s="290">
        <f>AY224</f>
        <v>-1239.1357620000001</v>
      </c>
      <c r="AZ225" s="290">
        <f>SUM(AZ223:AZ224)</f>
        <v>3210.8642380000001</v>
      </c>
      <c r="BA225" s="288">
        <f t="shared" si="242"/>
        <v>431.22976282152604</v>
      </c>
      <c r="BB225" s="290">
        <f>BB223</f>
        <v>125660</v>
      </c>
      <c r="BC225" s="290">
        <f>BC224</f>
        <v>125662</v>
      </c>
      <c r="BD225" s="290">
        <f>SUM(BD223:BD224)</f>
        <v>2</v>
      </c>
      <c r="BE225" s="288">
        <f t="shared" si="243"/>
        <v>0.26860666216777368</v>
      </c>
      <c r="BF225" s="290">
        <f>BF223</f>
        <v>-125225</v>
      </c>
      <c r="BG225" s="290">
        <f>BG224</f>
        <v>-125225</v>
      </c>
      <c r="BH225" s="290">
        <f>SUM(BH223:BH224)</f>
        <v>0</v>
      </c>
      <c r="BI225" s="288">
        <f t="shared" si="244"/>
        <v>0</v>
      </c>
      <c r="BJ225" s="282"/>
      <c r="BK225" s="282"/>
      <c r="BL225" s="282">
        <f>SUM(BL223:BL224)</f>
        <v>-4.3152450000000044</v>
      </c>
      <c r="BM225" s="459">
        <f>BM223</f>
        <v>-125225</v>
      </c>
      <c r="BN225" s="459">
        <f>BN224</f>
        <v>-125225</v>
      </c>
      <c r="BO225" s="459">
        <f>SUM(BO223:BO224)</f>
        <v>0</v>
      </c>
      <c r="BP225" s="459">
        <f>BP223</f>
        <v>125660</v>
      </c>
      <c r="BQ225" s="459">
        <f>BQ224</f>
        <v>125662</v>
      </c>
      <c r="BR225" s="459">
        <f>SUM(BR223:BR224)</f>
        <v>2</v>
      </c>
      <c r="BS225" s="282"/>
      <c r="BT225" s="282"/>
      <c r="BU225" s="282"/>
      <c r="BV225" s="282"/>
      <c r="BW225" s="298" t="s">
        <v>855</v>
      </c>
    </row>
    <row r="226" spans="1:87" ht="15" customHeight="1" x14ac:dyDescent="0.2">
      <c r="A226" s="297">
        <f t="shared" ref="A226:A232" si="245">A225</f>
        <v>62009051</v>
      </c>
      <c r="B226" s="297" t="s">
        <v>610</v>
      </c>
      <c r="C226" s="297" t="s">
        <v>629</v>
      </c>
      <c r="D226" s="326" t="s">
        <v>778</v>
      </c>
      <c r="E226" s="283" t="s">
        <v>963</v>
      </c>
      <c r="F226" s="310" t="str">
        <f t="shared" si="223"/>
        <v>09/25/20</v>
      </c>
      <c r="G226" s="298" t="s">
        <v>964</v>
      </c>
      <c r="H226" s="298" t="s">
        <v>775</v>
      </c>
      <c r="I226" s="306"/>
      <c r="J226" s="299">
        <v>-3.5751590000000002</v>
      </c>
      <c r="K226" s="299">
        <v>7.8857679999999997</v>
      </c>
      <c r="L226" s="299">
        <v>29.28912</v>
      </c>
      <c r="M226" s="299">
        <v>9.2220669999999991</v>
      </c>
      <c r="N226" s="284">
        <v>3875</v>
      </c>
      <c r="O226" s="284">
        <v>28.39</v>
      </c>
      <c r="P226" s="284">
        <v>0.20169999999999999</v>
      </c>
      <c r="Q226" s="284">
        <v>1.932E-2</v>
      </c>
      <c r="R226" s="285">
        <v>10.27679605</v>
      </c>
      <c r="S226" s="285">
        <f>R226+R225</f>
        <v>17.722627750000001</v>
      </c>
      <c r="T226" s="314">
        <v>93.497996999999998</v>
      </c>
      <c r="U226" s="314">
        <v>89.118412000000006</v>
      </c>
      <c r="V226" s="289">
        <v>106089</v>
      </c>
      <c r="W226" s="289">
        <v>109289</v>
      </c>
      <c r="X226" s="289">
        <f>W226-V226</f>
        <v>3200</v>
      </c>
      <c r="Y226" s="289">
        <f t="shared" si="235"/>
        <v>311.38109430516528</v>
      </c>
      <c r="Z226" s="308">
        <v>4220.1000000000004</v>
      </c>
      <c r="AA226" s="289">
        <v>4280.2</v>
      </c>
      <c r="AB226" s="289">
        <f>AA226-Z226</f>
        <v>60.099999999999454</v>
      </c>
      <c r="AC226" s="289">
        <f t="shared" si="236"/>
        <v>5.8481261774188322</v>
      </c>
      <c r="AD226" s="308">
        <v>3601.8387050000001</v>
      </c>
      <c r="AE226" s="289">
        <v>3654.4</v>
      </c>
      <c r="AF226" s="289">
        <f>AE226-AD226</f>
        <v>52.561294999999973</v>
      </c>
      <c r="AG226" s="289">
        <f t="shared" si="237"/>
        <v>5.1145604859989389</v>
      </c>
      <c r="AH226" s="308">
        <v>-126.18</v>
      </c>
      <c r="AI226" s="289">
        <v>-128.29</v>
      </c>
      <c r="AJ226" s="289">
        <f>AI226-AH226</f>
        <v>-2.1099999999999852</v>
      </c>
      <c r="AK226" s="307">
        <f t="shared" si="238"/>
        <v>-0.20531690905746691</v>
      </c>
      <c r="AL226" s="308">
        <v>9285.9</v>
      </c>
      <c r="AM226" s="289">
        <v>9282.2000000000007</v>
      </c>
      <c r="AN226" s="289">
        <f>AM226-AL226</f>
        <v>-3.6999999999989086</v>
      </c>
      <c r="AO226" s="307">
        <f t="shared" si="239"/>
        <v>-0.36003439029024115</v>
      </c>
      <c r="AP226" s="308">
        <v>1516.4851229999999</v>
      </c>
      <c r="AQ226" s="289">
        <v>2204</v>
      </c>
      <c r="AR226" s="289">
        <f>AQ226-AP226</f>
        <v>687.51487700000007</v>
      </c>
      <c r="AS226" s="307">
        <f t="shared" si="240"/>
        <v>66.899729609794107</v>
      </c>
      <c r="AT226" s="308">
        <v>370.6</v>
      </c>
      <c r="AU226" s="289">
        <v>372.6</v>
      </c>
      <c r="AV226" s="289">
        <f>AU226-AT226</f>
        <v>2</v>
      </c>
      <c r="AW226" s="307">
        <f t="shared" si="241"/>
        <v>0.1946131839407283</v>
      </c>
      <c r="AX226" s="308">
        <v>-1224.716257</v>
      </c>
      <c r="AY226" s="289">
        <v>1976</v>
      </c>
      <c r="AZ226" s="289">
        <f>AY226-AX226</f>
        <v>3200.716257</v>
      </c>
      <c r="BA226" s="307">
        <f t="shared" si="242"/>
        <v>311.45079083281018</v>
      </c>
      <c r="BB226" s="308">
        <v>125662</v>
      </c>
      <c r="BC226" s="289">
        <v>125663</v>
      </c>
      <c r="BD226" s="289">
        <f>BC226-BB226</f>
        <v>1</v>
      </c>
      <c r="BE226" s="307">
        <f t="shared" si="243"/>
        <v>9.7306591970364148E-2</v>
      </c>
      <c r="BF226" s="308">
        <v>-125225</v>
      </c>
      <c r="BG226" s="289">
        <v>-125225</v>
      </c>
      <c r="BH226" s="289">
        <f>BG226-BF226</f>
        <v>0</v>
      </c>
      <c r="BI226" s="307">
        <f t="shared" si="244"/>
        <v>0</v>
      </c>
      <c r="BJ226" s="281">
        <v>93.497996999999998</v>
      </c>
      <c r="BK226" s="281">
        <v>89.118412000000006</v>
      </c>
      <c r="BL226" s="281">
        <f>BK226-BJ226</f>
        <v>-4.3795849999999916</v>
      </c>
      <c r="BM226" s="408">
        <v>-125225</v>
      </c>
      <c r="BN226" s="458">
        <v>-125225</v>
      </c>
      <c r="BO226" s="458">
        <f>BN226-BM226</f>
        <v>0</v>
      </c>
      <c r="BP226" s="408">
        <v>125662</v>
      </c>
      <c r="BQ226" s="458">
        <v>125663</v>
      </c>
      <c r="BR226" s="458">
        <f>BQ226-BP226</f>
        <v>1</v>
      </c>
      <c r="BS226" s="281"/>
      <c r="BT226" s="281"/>
      <c r="BU226" s="281"/>
      <c r="BV226" s="281"/>
      <c r="BW226" s="298" t="s">
        <v>855</v>
      </c>
      <c r="BX226" s="422">
        <v>1773.26398543</v>
      </c>
      <c r="BY226" s="422">
        <v>1.35329919</v>
      </c>
      <c r="BZ226" s="422">
        <v>1324.41055396</v>
      </c>
      <c r="CA226" s="422">
        <v>1306.72663306</v>
      </c>
      <c r="CB226" s="422">
        <v>7.3427251499999997</v>
      </c>
      <c r="CC226" s="422">
        <v>7.3154032600000001</v>
      </c>
      <c r="CD226" s="422">
        <v>0.19682426</v>
      </c>
      <c r="CE226" s="422">
        <v>10.27686778</v>
      </c>
      <c r="CF226" s="422">
        <v>10.256680149999999</v>
      </c>
      <c r="CG226" s="422">
        <v>0.17600281000000001</v>
      </c>
      <c r="CH226" s="422">
        <v>0.37348440999999999</v>
      </c>
      <c r="CI226" s="422">
        <v>0.28265152999999998</v>
      </c>
    </row>
    <row r="227" spans="1:87" ht="15" customHeight="1" x14ac:dyDescent="0.2">
      <c r="A227" s="297">
        <f t="shared" si="245"/>
        <v>62009051</v>
      </c>
      <c r="B227" s="297" t="s">
        <v>611</v>
      </c>
      <c r="C227" s="297" t="s">
        <v>630</v>
      </c>
      <c r="D227" s="326" t="s">
        <v>778</v>
      </c>
      <c r="E227" s="283" t="s">
        <v>963</v>
      </c>
      <c r="F227" s="310" t="str">
        <f t="shared" si="223"/>
        <v>09/25/20</v>
      </c>
      <c r="G227" s="298" t="s">
        <v>964</v>
      </c>
      <c r="H227" s="298" t="s">
        <v>775</v>
      </c>
      <c r="I227" s="306"/>
      <c r="J227" s="299">
        <v>-6.7693060000000003</v>
      </c>
      <c r="K227" s="299">
        <v>10.738467</v>
      </c>
      <c r="L227" s="299">
        <v>29.289898000000001</v>
      </c>
      <c r="M227" s="299">
        <v>8.4527099999999997</v>
      </c>
      <c r="N227" s="284">
        <v>3875</v>
      </c>
      <c r="O227" s="284">
        <v>28.39</v>
      </c>
      <c r="P227" s="284">
        <v>0.20169999999999999</v>
      </c>
      <c r="Q227" s="284">
        <v>1.932E-2</v>
      </c>
      <c r="R227" s="285">
        <v>3.5922897499999999</v>
      </c>
      <c r="S227" s="285">
        <f>R227+R226</f>
        <v>13.869085800000001</v>
      </c>
      <c r="T227" s="314">
        <v>89.103404999999995</v>
      </c>
      <c r="U227" s="314">
        <v>87.489001999999999</v>
      </c>
      <c r="V227" s="289">
        <v>109300</v>
      </c>
      <c r="W227" s="289">
        <v>110470</v>
      </c>
      <c r="X227" s="289">
        <f>W227-V227</f>
        <v>1170</v>
      </c>
      <c r="Y227" s="289">
        <f t="shared" si="235"/>
        <v>325.6975582217442</v>
      </c>
      <c r="Z227" s="308">
        <v>4283</v>
      </c>
      <c r="AA227" s="289">
        <v>4322.3</v>
      </c>
      <c r="AB227" s="289">
        <f>AA227-Z227</f>
        <v>39.300000000000182</v>
      </c>
      <c r="AC227" s="289">
        <f t="shared" si="236"/>
        <v>10.940097468474024</v>
      </c>
      <c r="AD227" s="308">
        <v>3656.71</v>
      </c>
      <c r="AE227" s="289">
        <v>3691.057804</v>
      </c>
      <c r="AF227" s="289">
        <f>AE227-AD227</f>
        <v>34.347803999999996</v>
      </c>
      <c r="AG227" s="289">
        <f t="shared" si="237"/>
        <v>9.5615349513496231</v>
      </c>
      <c r="AH227" s="308">
        <v>-125.01</v>
      </c>
      <c r="AI227" s="289">
        <v>-128.46</v>
      </c>
      <c r="AJ227" s="289">
        <f>AI227-AH227</f>
        <v>-3.4500000000000028</v>
      </c>
      <c r="AK227" s="307">
        <f t="shared" si="238"/>
        <v>-0.96039023578206706</v>
      </c>
      <c r="AL227" s="308">
        <v>9281.9</v>
      </c>
      <c r="AM227" s="289">
        <v>9279.4</v>
      </c>
      <c r="AN227" s="289">
        <f>AM227-AL227</f>
        <v>-2.5</v>
      </c>
      <c r="AO227" s="307">
        <f t="shared" si="239"/>
        <v>-0.69593495346526546</v>
      </c>
      <c r="AP227" s="308">
        <v>2211.8000000000002</v>
      </c>
      <c r="AQ227" s="289">
        <v>2558.5</v>
      </c>
      <c r="AR227" s="289">
        <f>AQ227-AP227</f>
        <v>346.69999999999982</v>
      </c>
      <c r="AS227" s="307">
        <f t="shared" si="240"/>
        <v>96.512259346562956</v>
      </c>
      <c r="AT227" s="308">
        <v>372.8</v>
      </c>
      <c r="AU227" s="289">
        <v>374.1</v>
      </c>
      <c r="AV227" s="289">
        <f>AU227-AT227</f>
        <v>1.3000000000000114</v>
      </c>
      <c r="AW227" s="307">
        <f t="shared" si="241"/>
        <v>0.36188617580194121</v>
      </c>
      <c r="AX227" s="308">
        <v>1987</v>
      </c>
      <c r="AY227" s="289">
        <v>3156</v>
      </c>
      <c r="AZ227" s="289">
        <f>AY227-AX227</f>
        <v>1169</v>
      </c>
      <c r="BA227" s="307">
        <f t="shared" si="242"/>
        <v>325.41918424035811</v>
      </c>
      <c r="BB227" s="308">
        <v>125664</v>
      </c>
      <c r="BC227" s="289">
        <v>125664</v>
      </c>
      <c r="BD227" s="289">
        <f>BC227-BB227</f>
        <v>0</v>
      </c>
      <c r="BE227" s="307">
        <f t="shared" si="243"/>
        <v>0</v>
      </c>
      <c r="BF227" s="308">
        <v>-125225</v>
      </c>
      <c r="BG227" s="289">
        <v>-125225</v>
      </c>
      <c r="BH227" s="289">
        <f>BG227-BF227</f>
        <v>0</v>
      </c>
      <c r="BI227" s="307">
        <f t="shared" si="244"/>
        <v>0</v>
      </c>
      <c r="BJ227" s="281">
        <v>89.103404999999995</v>
      </c>
      <c r="BK227" s="281">
        <v>87.489001999999999</v>
      </c>
      <c r="BL227" s="281">
        <f>BK227-BJ227</f>
        <v>-1.6144029999999958</v>
      </c>
      <c r="BM227" s="408">
        <v>-125225</v>
      </c>
      <c r="BN227" s="458">
        <v>-125225</v>
      </c>
      <c r="BO227" s="458">
        <f>BN227-BM227</f>
        <v>0</v>
      </c>
      <c r="BP227" s="408">
        <v>125664</v>
      </c>
      <c r="BQ227" s="458">
        <v>125664</v>
      </c>
      <c r="BR227" s="458">
        <f>BQ227-BP227</f>
        <v>0</v>
      </c>
      <c r="BS227" s="281"/>
      <c r="BT227" s="281"/>
      <c r="BU227" s="281"/>
      <c r="BV227" s="281"/>
      <c r="BW227" s="298" t="s">
        <v>855</v>
      </c>
      <c r="BX227" s="422">
        <v>2196.2567137199999</v>
      </c>
      <c r="BY227" s="422">
        <v>-1.1633909899999999</v>
      </c>
      <c r="BZ227" s="422">
        <v>2024.8333777</v>
      </c>
      <c r="CA227" s="422">
        <v>2048.6673894300002</v>
      </c>
      <c r="CB227" s="422">
        <v>2.9440067999999999</v>
      </c>
      <c r="CC227" s="422">
        <v>2.9656757100000002</v>
      </c>
      <c r="CD227" s="422">
        <v>3.5463960000000003E-2</v>
      </c>
      <c r="CE227" s="422">
        <v>3.5922525900000002</v>
      </c>
      <c r="CF227" s="422">
        <v>3.5909790899999998</v>
      </c>
      <c r="CG227" s="422">
        <v>-0.77175985999999996</v>
      </c>
      <c r="CH227" s="422">
        <v>-0.73065698999999995</v>
      </c>
      <c r="CI227" s="422">
        <v>0.59138374000000005</v>
      </c>
    </row>
    <row r="228" spans="1:87" ht="15" customHeight="1" x14ac:dyDescent="0.2">
      <c r="A228" s="297">
        <f t="shared" si="245"/>
        <v>62009051</v>
      </c>
      <c r="B228" s="297" t="s">
        <v>224</v>
      </c>
      <c r="C228" s="297" t="s">
        <v>631</v>
      </c>
      <c r="D228" s="326" t="s">
        <v>778</v>
      </c>
      <c r="E228" s="283" t="s">
        <v>963</v>
      </c>
      <c r="F228" s="310" t="str">
        <f t="shared" si="223"/>
        <v>09/25/20</v>
      </c>
      <c r="G228" s="298" t="s">
        <v>964</v>
      </c>
      <c r="H228" s="298" t="s">
        <v>775</v>
      </c>
      <c r="I228" s="306"/>
      <c r="J228" s="299">
        <v>-7.2952599999999999</v>
      </c>
      <c r="K228" s="299">
        <v>10.923859</v>
      </c>
      <c r="L228" s="299">
        <v>29.289563000000001</v>
      </c>
      <c r="M228" s="299">
        <v>9.1857229999999994</v>
      </c>
      <c r="N228" s="284">
        <v>3875</v>
      </c>
      <c r="O228" s="284">
        <v>28.39</v>
      </c>
      <c r="P228" s="284">
        <v>0.20169999999999999</v>
      </c>
      <c r="Q228" s="284">
        <v>1.932E-2</v>
      </c>
      <c r="R228" s="285">
        <v>3.8542824599999999</v>
      </c>
      <c r="S228" s="285">
        <f>R228+R227</f>
        <v>7.4465722099999994</v>
      </c>
      <c r="T228" s="314">
        <v>87.489001999999999</v>
      </c>
      <c r="U228" s="314">
        <v>85.618249000000006</v>
      </c>
      <c r="V228" s="289">
        <v>110470.574268</v>
      </c>
      <c r="W228" s="289">
        <v>111829</v>
      </c>
      <c r="X228" s="289">
        <f>W228-V228</f>
        <v>1358.4257320000033</v>
      </c>
      <c r="Y228" s="289">
        <f t="shared" si="235"/>
        <v>352.44581737271102</v>
      </c>
      <c r="Z228" s="308">
        <v>4322.3</v>
      </c>
      <c r="AA228" s="289">
        <v>4385.5</v>
      </c>
      <c r="AB228" s="289">
        <f>AA228-Z228</f>
        <v>63.199999999999818</v>
      </c>
      <c r="AC228" s="289">
        <f t="shared" si="236"/>
        <v>16.397345201316622</v>
      </c>
      <c r="AD228" s="308">
        <v>3691.0657430000001</v>
      </c>
      <c r="AE228" s="289">
        <v>3746.1373920000001</v>
      </c>
      <c r="AF228" s="289">
        <f>AE228-AD228</f>
        <v>55.071648999999979</v>
      </c>
      <c r="AG228" s="289">
        <f t="shared" si="237"/>
        <v>14.288431004094075</v>
      </c>
      <c r="AH228" s="308">
        <v>-128.46</v>
      </c>
      <c r="AI228" s="289">
        <v>-130.71</v>
      </c>
      <c r="AJ228" s="289">
        <f>AI228-AH228</f>
        <v>-2.25</v>
      </c>
      <c r="AK228" s="307">
        <f t="shared" si="238"/>
        <v>-0.58376624530003962</v>
      </c>
      <c r="AL228" s="308">
        <v>9279.4</v>
      </c>
      <c r="AM228" s="289">
        <v>9275.2000000000007</v>
      </c>
      <c r="AN228" s="289">
        <f>AM228-AL228</f>
        <v>-4.1999999999989086</v>
      </c>
      <c r="AO228" s="307">
        <f t="shared" si="239"/>
        <v>-1.0896969912264574</v>
      </c>
      <c r="AP228" s="308">
        <v>2558.6</v>
      </c>
      <c r="AQ228" s="289">
        <v>3188.573895</v>
      </c>
      <c r="AR228" s="289">
        <f>AQ228-AP228</f>
        <v>629.97389500000008</v>
      </c>
      <c r="AS228" s="307">
        <f t="shared" si="240"/>
        <v>163.44777569830731</v>
      </c>
      <c r="AT228" s="308">
        <v>374.1</v>
      </c>
      <c r="AU228" s="289">
        <v>376.3</v>
      </c>
      <c r="AV228" s="289">
        <f>AU228-AT228</f>
        <v>2.1999999999999886</v>
      </c>
      <c r="AW228" s="307">
        <f t="shared" si="241"/>
        <v>0.5707936620711469</v>
      </c>
      <c r="AX228" s="308">
        <v>3156</v>
      </c>
      <c r="AY228" s="289">
        <v>4513</v>
      </c>
      <c r="AZ228" s="289">
        <f>AY228-AX228</f>
        <v>1357</v>
      </c>
      <c r="BA228" s="307">
        <f t="shared" si="242"/>
        <v>352.07590883206831</v>
      </c>
      <c r="BB228" s="308">
        <v>125664</v>
      </c>
      <c r="BC228" s="289">
        <v>125666</v>
      </c>
      <c r="BD228" s="289">
        <f>BC228-BB228</f>
        <v>2</v>
      </c>
      <c r="BE228" s="307">
        <f t="shared" si="243"/>
        <v>0.51890332915559079</v>
      </c>
      <c r="BF228" s="308">
        <v>-125225</v>
      </c>
      <c r="BG228" s="289">
        <v>-125225</v>
      </c>
      <c r="BH228" s="289">
        <f>BG228-BF228</f>
        <v>0</v>
      </c>
      <c r="BI228" s="307">
        <f t="shared" si="244"/>
        <v>0</v>
      </c>
      <c r="BJ228" s="281">
        <v>87.489001999999999</v>
      </c>
      <c r="BK228" s="281">
        <v>85.618249000000006</v>
      </c>
      <c r="BL228" s="281">
        <f>BK228-BJ228</f>
        <v>-1.8707529999999934</v>
      </c>
      <c r="BM228" s="408">
        <v>-125225</v>
      </c>
      <c r="BN228" s="458">
        <v>-125225</v>
      </c>
      <c r="BO228" s="458">
        <f>BN228-BM228</f>
        <v>0</v>
      </c>
      <c r="BP228" s="408">
        <v>125664</v>
      </c>
      <c r="BQ228" s="458">
        <v>125666</v>
      </c>
      <c r="BR228" s="458">
        <f>BQ228-BP228</f>
        <v>2</v>
      </c>
      <c r="BS228" s="281"/>
      <c r="BT228" s="281"/>
      <c r="BU228" s="281"/>
      <c r="BV228" s="281"/>
      <c r="BW228" s="298" t="s">
        <v>855</v>
      </c>
      <c r="BX228" s="422">
        <v>1348.1365630099999</v>
      </c>
      <c r="BY228" s="422">
        <v>-1.4901990700000001</v>
      </c>
      <c r="BZ228" s="422">
        <v>3365.0861257900001</v>
      </c>
      <c r="CA228" s="422">
        <v>3415.99119488</v>
      </c>
      <c r="CB228" s="422">
        <v>2.70718697</v>
      </c>
      <c r="CC228" s="422">
        <v>2.7414878300000001</v>
      </c>
      <c r="CD228" s="422">
        <v>-0.14802119</v>
      </c>
      <c r="CE228" s="422">
        <v>3.85411634</v>
      </c>
      <c r="CF228" s="422">
        <v>3.8598297100000001</v>
      </c>
      <c r="CG228" s="422">
        <v>-1.1171327099999999</v>
      </c>
      <c r="CH228" s="422">
        <v>-1.2511766</v>
      </c>
      <c r="CI228" s="422">
        <v>0.71728011000000003</v>
      </c>
    </row>
    <row r="229" spans="1:87" ht="15" customHeight="1" x14ac:dyDescent="0.2">
      <c r="A229" s="297">
        <f t="shared" si="245"/>
        <v>62009051</v>
      </c>
      <c r="B229" s="297" t="s">
        <v>612</v>
      </c>
      <c r="C229" s="297" t="s">
        <v>632</v>
      </c>
      <c r="D229" s="326" t="s">
        <v>778</v>
      </c>
      <c r="E229" s="283" t="s">
        <v>963</v>
      </c>
      <c r="F229" s="310" t="str">
        <f t="shared" si="223"/>
        <v>09/25/20</v>
      </c>
      <c r="G229" s="298" t="s">
        <v>964</v>
      </c>
      <c r="H229" s="298" t="s">
        <v>775</v>
      </c>
      <c r="I229" s="306"/>
      <c r="J229" s="300">
        <f>AVERAGE(J227:J228)</f>
        <v>-7.0322829999999996</v>
      </c>
      <c r="K229" s="300">
        <f>AVERAGE(K227:K228)</f>
        <v>10.831163</v>
      </c>
      <c r="L229" s="300">
        <f>AVERAGE(L227:L228)</f>
        <v>29.289730500000001</v>
      </c>
      <c r="M229" s="300">
        <f>AVERAGE(M227:M228)</f>
        <v>8.8192164999999996</v>
      </c>
      <c r="N229" s="286"/>
      <c r="O229" s="284"/>
      <c r="P229" s="302"/>
      <c r="Q229" s="301"/>
      <c r="R229" s="287">
        <f>R228+R227</f>
        <v>7.4465722099999994</v>
      </c>
      <c r="S229" s="287">
        <f>S228</f>
        <v>7.4465722099999994</v>
      </c>
      <c r="T229" s="315">
        <f>T227</f>
        <v>89.103404999999995</v>
      </c>
      <c r="U229" s="315">
        <f>U228</f>
        <v>85.618249000000006</v>
      </c>
      <c r="V229" s="290">
        <f>V227</f>
        <v>109300</v>
      </c>
      <c r="W229" s="290">
        <f>W228</f>
        <v>111829</v>
      </c>
      <c r="X229" s="290">
        <f>SUM(X227:X228)</f>
        <v>2528.4257320000033</v>
      </c>
      <c r="Y229" s="290">
        <f t="shared" si="235"/>
        <v>339.5422297261257</v>
      </c>
      <c r="Z229" s="290">
        <f>Z227</f>
        <v>4283</v>
      </c>
      <c r="AA229" s="290">
        <f>AA228</f>
        <v>4385.5</v>
      </c>
      <c r="AB229" s="290">
        <f>SUM(AB227:AB228)</f>
        <v>102.5</v>
      </c>
      <c r="AC229" s="290">
        <f t="shared" si="236"/>
        <v>13.764722493706941</v>
      </c>
      <c r="AD229" s="290">
        <f>AD227</f>
        <v>3656.71</v>
      </c>
      <c r="AE229" s="290">
        <f>AE228</f>
        <v>3746.1373920000001</v>
      </c>
      <c r="AF229" s="290">
        <f>SUM(AF227:AF228)</f>
        <v>89.419452999999976</v>
      </c>
      <c r="AG229" s="290">
        <f t="shared" si="237"/>
        <v>12.008136156917759</v>
      </c>
      <c r="AH229" s="290">
        <f>AH227</f>
        <v>-125.01</v>
      </c>
      <c r="AI229" s="290">
        <f>AI228</f>
        <v>-130.71</v>
      </c>
      <c r="AJ229" s="290">
        <f>SUM(AJ227:AJ228)</f>
        <v>-5.7000000000000028</v>
      </c>
      <c r="AK229" s="288">
        <f t="shared" si="238"/>
        <v>-0.76545286062565465</v>
      </c>
      <c r="AL229" s="290">
        <f>AL227</f>
        <v>9281.9</v>
      </c>
      <c r="AM229" s="290">
        <f>AM228</f>
        <v>9275.2000000000007</v>
      </c>
      <c r="AN229" s="290">
        <f>SUM(AN227:AN228)</f>
        <v>-6.6999999999989086</v>
      </c>
      <c r="AO229" s="288">
        <f t="shared" si="239"/>
        <v>-0.89974283617386819</v>
      </c>
      <c r="AP229" s="290">
        <f>AP227</f>
        <v>2211.8000000000002</v>
      </c>
      <c r="AQ229" s="290">
        <f>AQ228</f>
        <v>3188.573895</v>
      </c>
      <c r="AR229" s="290">
        <f>SUM(AR227:AR228)</f>
        <v>976.6738949999999</v>
      </c>
      <c r="AS229" s="288">
        <f t="shared" si="240"/>
        <v>131.15751347827191</v>
      </c>
      <c r="AT229" s="290">
        <f>AT227</f>
        <v>372.8</v>
      </c>
      <c r="AU229" s="290">
        <f>AU228</f>
        <v>376.3</v>
      </c>
      <c r="AV229" s="290">
        <f>SUM(AV227:AV228)</f>
        <v>3.5</v>
      </c>
      <c r="AW229" s="288">
        <f t="shared" si="241"/>
        <v>0.47001491441926141</v>
      </c>
      <c r="AX229" s="290">
        <f>AX227</f>
        <v>1987</v>
      </c>
      <c r="AY229" s="290">
        <f>AY228</f>
        <v>4513</v>
      </c>
      <c r="AZ229" s="290">
        <f>SUM(AZ227:AZ228)</f>
        <v>2526</v>
      </c>
      <c r="BA229" s="288">
        <f t="shared" si="242"/>
        <v>339.21647823515838</v>
      </c>
      <c r="BB229" s="290">
        <f>BB227</f>
        <v>125664</v>
      </c>
      <c r="BC229" s="290">
        <f>BC228</f>
        <v>125666</v>
      </c>
      <c r="BD229" s="290">
        <f>SUM(BD227:BD228)</f>
        <v>2</v>
      </c>
      <c r="BE229" s="288">
        <f t="shared" si="243"/>
        <v>0.26857995109672078</v>
      </c>
      <c r="BF229" s="290">
        <f>BF227</f>
        <v>-125225</v>
      </c>
      <c r="BG229" s="290">
        <f>BG228</f>
        <v>-125225</v>
      </c>
      <c r="BH229" s="290">
        <f>SUM(BH227:BH228)</f>
        <v>0</v>
      </c>
      <c r="BI229" s="288">
        <f t="shared" si="244"/>
        <v>0</v>
      </c>
      <c r="BJ229" s="282"/>
      <c r="BK229" s="282"/>
      <c r="BL229" s="282">
        <f>SUM(BL227:BL228)</f>
        <v>-3.4851559999999893</v>
      </c>
      <c r="BM229" s="459">
        <f>BM227</f>
        <v>-125225</v>
      </c>
      <c r="BN229" s="459">
        <f>BN228</f>
        <v>-125225</v>
      </c>
      <c r="BO229" s="459">
        <f>SUM(BO227:BO228)</f>
        <v>0</v>
      </c>
      <c r="BP229" s="459">
        <f>BP227</f>
        <v>125664</v>
      </c>
      <c r="BQ229" s="459">
        <f>BQ228</f>
        <v>125666</v>
      </c>
      <c r="BR229" s="459">
        <f>SUM(BR227:BR228)</f>
        <v>2</v>
      </c>
      <c r="BS229" s="282"/>
      <c r="BT229" s="282"/>
      <c r="BU229" s="282"/>
      <c r="BV229" s="282"/>
      <c r="BW229" s="298" t="s">
        <v>855</v>
      </c>
    </row>
    <row r="230" spans="1:87" ht="15" customHeight="1" x14ac:dyDescent="0.2">
      <c r="A230" s="297">
        <f t="shared" si="245"/>
        <v>62009051</v>
      </c>
      <c r="B230" s="297" t="s">
        <v>613</v>
      </c>
      <c r="C230" s="297" t="s">
        <v>633</v>
      </c>
      <c r="D230" s="326" t="s">
        <v>778</v>
      </c>
      <c r="E230" s="283" t="s">
        <v>963</v>
      </c>
      <c r="F230" s="310" t="str">
        <f t="shared" si="223"/>
        <v>09/25/20</v>
      </c>
      <c r="G230" s="298" t="s">
        <v>964</v>
      </c>
      <c r="H230" s="298" t="s">
        <v>775</v>
      </c>
      <c r="I230" s="306"/>
      <c r="J230" s="299">
        <v>-5.0326219999999999</v>
      </c>
      <c r="K230" s="299">
        <v>10.210680999999999</v>
      </c>
      <c r="L230" s="299">
        <v>29.290065999999999</v>
      </c>
      <c r="M230" s="299">
        <v>10.517044</v>
      </c>
      <c r="N230" s="284">
        <v>3875</v>
      </c>
      <c r="O230" s="284">
        <v>28.39</v>
      </c>
      <c r="P230" s="284">
        <v>0.20169999999999999</v>
      </c>
      <c r="Q230" s="284">
        <v>1.932E-2</v>
      </c>
      <c r="R230" s="285">
        <v>1.76966972</v>
      </c>
      <c r="S230" s="285">
        <f>R230+R229</f>
        <v>9.2162419299999989</v>
      </c>
      <c r="T230" s="314">
        <v>85.520590999999996</v>
      </c>
      <c r="U230" s="314">
        <v>81.289270999999999</v>
      </c>
      <c r="V230" s="289">
        <v>111900</v>
      </c>
      <c r="W230" s="289">
        <v>114877</v>
      </c>
      <c r="X230" s="289">
        <f>W230-V230-X231</f>
        <v>710</v>
      </c>
      <c r="Y230" s="289">
        <f t="shared" si="235"/>
        <v>401.20480786663398</v>
      </c>
      <c r="Z230" s="308">
        <v>4392.3999999999996</v>
      </c>
      <c r="AA230" s="289">
        <v>4437.8999999999996</v>
      </c>
      <c r="AB230" s="289">
        <f>AA230-Z230-AB231</f>
        <v>17.472344999999223</v>
      </c>
      <c r="AC230" s="289">
        <f t="shared" si="236"/>
        <v>9.8732236883158198</v>
      </c>
      <c r="AD230" s="308">
        <v>3752.2148649999999</v>
      </c>
      <c r="AE230" s="289">
        <v>3792.04718</v>
      </c>
      <c r="AF230" s="289">
        <f>AE230-AD230-AF231</f>
        <v>15.196784000000207</v>
      </c>
      <c r="AG230" s="289">
        <f t="shared" si="237"/>
        <v>8.5873560632546777</v>
      </c>
      <c r="AH230" s="308">
        <v>-130.88999999999999</v>
      </c>
      <c r="AI230" s="289">
        <v>-132</v>
      </c>
      <c r="AJ230" s="289">
        <f>AI230-AH230-AJ231</f>
        <v>-0.44000000000002615</v>
      </c>
      <c r="AK230" s="307">
        <f t="shared" si="238"/>
        <v>-0.2486339654384922</v>
      </c>
      <c r="AL230" s="308">
        <v>9274.7000000000007</v>
      </c>
      <c r="AM230" s="289">
        <v>9271.9</v>
      </c>
      <c r="AN230" s="289">
        <f>AM230-AL230-AN231</f>
        <v>-1.1000000000003638</v>
      </c>
      <c r="AO230" s="307">
        <f t="shared" si="239"/>
        <v>-0.62158491359639911</v>
      </c>
      <c r="AP230" s="308">
        <v>3252.2742680000001</v>
      </c>
      <c r="AQ230" s="289">
        <v>3710.871819</v>
      </c>
      <c r="AR230" s="289">
        <f>AQ230-AP230-AR231</f>
        <v>170.29801299999963</v>
      </c>
      <c r="AS230" s="307">
        <f t="shared" si="240"/>
        <v>96.231523360189286</v>
      </c>
      <c r="AT230" s="308">
        <v>376.5</v>
      </c>
      <c r="AU230" s="289">
        <v>378.1</v>
      </c>
      <c r="AV230" s="289">
        <f>AU230-AT230-AV231</f>
        <v>0.69999999999998863</v>
      </c>
      <c r="AW230" s="307">
        <f t="shared" si="241"/>
        <v>0.39555403592484401</v>
      </c>
      <c r="AX230" s="308">
        <v>4584</v>
      </c>
      <c r="AY230" s="289">
        <v>7562</v>
      </c>
      <c r="AZ230" s="289">
        <f>AY230-AX230-AZ231</f>
        <v>709.28165900000022</v>
      </c>
      <c r="BA230" s="307">
        <f t="shared" si="242"/>
        <v>400.79888974989086</v>
      </c>
      <c r="BB230" s="308">
        <v>125666</v>
      </c>
      <c r="BC230" s="289">
        <v>125667</v>
      </c>
      <c r="BD230" s="289">
        <f>BC230-BB230-BD231</f>
        <v>0</v>
      </c>
      <c r="BE230" s="307">
        <f t="shared" si="243"/>
        <v>0</v>
      </c>
      <c r="BF230" s="308">
        <v>-125225</v>
      </c>
      <c r="BG230" s="289">
        <v>-125225</v>
      </c>
      <c r="BH230" s="289">
        <f>BG230-BF230-BH231</f>
        <v>0</v>
      </c>
      <c r="BI230" s="307">
        <f t="shared" si="244"/>
        <v>0</v>
      </c>
      <c r="BJ230" s="281">
        <v>85.520590999999996</v>
      </c>
      <c r="BK230" s="281">
        <v>81.289270999999999</v>
      </c>
      <c r="BL230" s="281">
        <f>BK230-BJ230-BL231</f>
        <v>-1.0177750000000003</v>
      </c>
      <c r="BM230" s="408">
        <v>-125225</v>
      </c>
      <c r="BN230" s="458">
        <v>-125225</v>
      </c>
      <c r="BO230" s="458">
        <f>BN230-BM230-BO231</f>
        <v>0</v>
      </c>
      <c r="BP230" s="408">
        <v>125666</v>
      </c>
      <c r="BQ230" s="458">
        <v>125667</v>
      </c>
      <c r="BR230" s="458">
        <f>BQ230-BP230-BR231</f>
        <v>0</v>
      </c>
      <c r="BS230" s="281"/>
      <c r="BT230" s="281"/>
      <c r="BU230" s="281"/>
      <c r="BV230" s="281"/>
      <c r="BW230" s="298" t="s">
        <v>855</v>
      </c>
      <c r="BX230" s="422">
        <v>5068.8906945400004</v>
      </c>
      <c r="BY230" s="422">
        <v>-3.24846667</v>
      </c>
      <c r="BZ230" s="422">
        <v>2379.3843381500001</v>
      </c>
      <c r="CA230" s="422">
        <v>2459.2730019700002</v>
      </c>
      <c r="CB230" s="422">
        <v>2.8666092399999998</v>
      </c>
      <c r="CC230" s="422">
        <v>2.9252054099999998</v>
      </c>
      <c r="CD230" s="422">
        <v>-0.14099790000000001</v>
      </c>
      <c r="CE230" s="422">
        <v>1.7696061599999999</v>
      </c>
      <c r="CF230" s="422">
        <v>1.77210479</v>
      </c>
      <c r="CG230" s="422">
        <v>-1.90021342</v>
      </c>
      <c r="CH230" s="422">
        <v>-2.0031472400000001</v>
      </c>
      <c r="CI230" s="422">
        <v>0.81463375000000005</v>
      </c>
    </row>
    <row r="231" spans="1:87" ht="15" customHeight="1" x14ac:dyDescent="0.2">
      <c r="A231" s="297">
        <f t="shared" si="245"/>
        <v>62009051</v>
      </c>
      <c r="B231" s="297" t="s">
        <v>614</v>
      </c>
      <c r="C231" s="297" t="s">
        <v>634</v>
      </c>
      <c r="D231" s="326" t="s">
        <v>778</v>
      </c>
      <c r="E231" s="283" t="s">
        <v>963</v>
      </c>
      <c r="F231" s="310" t="str">
        <f t="shared" si="223"/>
        <v>09/25/20</v>
      </c>
      <c r="G231" s="298" t="s">
        <v>964</v>
      </c>
      <c r="H231" s="298" t="s">
        <v>775</v>
      </c>
      <c r="I231" s="306"/>
      <c r="J231" s="299">
        <v>-0.595808</v>
      </c>
      <c r="K231" s="299">
        <v>7.7053820000000002</v>
      </c>
      <c r="L231" s="299">
        <v>29.287533</v>
      </c>
      <c r="M231" s="299">
        <v>9.9935170000000006</v>
      </c>
      <c r="N231" s="284">
        <v>3875</v>
      </c>
      <c r="O231" s="284">
        <v>28.39</v>
      </c>
      <c r="P231" s="284">
        <v>0.20169999999999999</v>
      </c>
      <c r="Q231" s="284">
        <v>1.932E-2</v>
      </c>
      <c r="R231" s="285">
        <v>6.2456844900000004</v>
      </c>
      <c r="S231" s="285">
        <f>R231+R230</f>
        <v>8.0153542099999999</v>
      </c>
      <c r="T231" s="314">
        <v>84.840040000000002</v>
      </c>
      <c r="U231" s="314">
        <v>81.626495000000006</v>
      </c>
      <c r="V231" s="289">
        <v>112379</v>
      </c>
      <c r="W231" s="289">
        <v>114646</v>
      </c>
      <c r="X231" s="289">
        <f>W231-V231</f>
        <v>2267</v>
      </c>
      <c r="Y231" s="289">
        <f t="shared" si="235"/>
        <v>362.97062453758372</v>
      </c>
      <c r="Z231" s="308">
        <v>4402.0723449999996</v>
      </c>
      <c r="AA231" s="289">
        <v>4430.1000000000004</v>
      </c>
      <c r="AB231" s="289">
        <f>AA231-Z231</f>
        <v>28.027655000000777</v>
      </c>
      <c r="AC231" s="289">
        <f t="shared" si="236"/>
        <v>4.4875233523044606</v>
      </c>
      <c r="AD231" s="308">
        <v>3760.6144690000001</v>
      </c>
      <c r="AE231" s="289">
        <v>3785.25</v>
      </c>
      <c r="AF231" s="289">
        <f>AE231-AD231</f>
        <v>24.635530999999901</v>
      </c>
      <c r="AG231" s="289">
        <f t="shared" si="237"/>
        <v>3.9444085014931485</v>
      </c>
      <c r="AH231" s="308">
        <v>-131.15</v>
      </c>
      <c r="AI231" s="289">
        <v>-131.82</v>
      </c>
      <c r="AJ231" s="289">
        <f>AI231-AH231</f>
        <v>-0.66999999999998749</v>
      </c>
      <c r="AK231" s="307">
        <f t="shared" si="238"/>
        <v>-0.10727407077202317</v>
      </c>
      <c r="AL231" s="308">
        <v>9274.1</v>
      </c>
      <c r="AM231" s="289">
        <v>9272.4</v>
      </c>
      <c r="AN231" s="289">
        <f>AM231-AL231</f>
        <v>-1.7000000000007276</v>
      </c>
      <c r="AO231" s="307">
        <f t="shared" si="239"/>
        <v>-0.2721879407649565</v>
      </c>
      <c r="AP231" s="308">
        <v>3345.5722959999998</v>
      </c>
      <c r="AQ231" s="289">
        <v>3633.871834</v>
      </c>
      <c r="AR231" s="289">
        <f>AQ231-AP231</f>
        <v>288.29953800000021</v>
      </c>
      <c r="AS231" s="307">
        <f t="shared" si="240"/>
        <v>46.159798571573411</v>
      </c>
      <c r="AT231" s="308">
        <v>376.9</v>
      </c>
      <c r="AU231" s="289">
        <v>377.8</v>
      </c>
      <c r="AV231" s="289">
        <f>AU231-AT231</f>
        <v>0.90000000000003411</v>
      </c>
      <c r="AW231" s="307">
        <f t="shared" si="241"/>
        <v>0.14409949805197958</v>
      </c>
      <c r="AX231" s="308">
        <v>5063</v>
      </c>
      <c r="AY231" s="289">
        <v>7331.7183409999998</v>
      </c>
      <c r="AZ231" s="289">
        <f>AY231-AX231</f>
        <v>2268.7183409999998</v>
      </c>
      <c r="BA231" s="307">
        <f t="shared" si="242"/>
        <v>363.24574906600822</v>
      </c>
      <c r="BB231" s="308">
        <v>125666</v>
      </c>
      <c r="BC231" s="289">
        <v>125667</v>
      </c>
      <c r="BD231" s="289">
        <f>BC231-BB231</f>
        <v>1</v>
      </c>
      <c r="BE231" s="307">
        <f t="shared" si="243"/>
        <v>0.16011055339108235</v>
      </c>
      <c r="BF231" s="308">
        <v>-125225</v>
      </c>
      <c r="BG231" s="289">
        <v>-125225</v>
      </c>
      <c r="BH231" s="289">
        <f>BG231-BF231</f>
        <v>0</v>
      </c>
      <c r="BI231" s="307">
        <f t="shared" si="244"/>
        <v>0</v>
      </c>
      <c r="BJ231" s="281">
        <v>84.840040000000002</v>
      </c>
      <c r="BK231" s="281">
        <v>81.626495000000006</v>
      </c>
      <c r="BL231" s="281">
        <f>BK231-BJ231</f>
        <v>-3.2135449999999963</v>
      </c>
      <c r="BM231" s="408">
        <v>-125225</v>
      </c>
      <c r="BN231" s="458">
        <v>-125225</v>
      </c>
      <c r="BO231" s="458">
        <f>BN231-BM231</f>
        <v>0</v>
      </c>
      <c r="BP231" s="408">
        <v>125666</v>
      </c>
      <c r="BQ231" s="458">
        <v>125667</v>
      </c>
      <c r="BR231" s="458">
        <f>BQ231-BP231</f>
        <v>1</v>
      </c>
      <c r="BS231" s="281"/>
      <c r="BT231" s="281"/>
      <c r="BU231" s="281"/>
      <c r="BV231" s="281"/>
      <c r="BW231" s="298" t="s">
        <v>855</v>
      </c>
      <c r="BX231" s="422">
        <v>10787.86620799</v>
      </c>
      <c r="BY231" s="422">
        <v>-7.3157536299999997</v>
      </c>
      <c r="BZ231" s="422">
        <v>1054.99284367</v>
      </c>
      <c r="CA231" s="422">
        <v>1138.2655466799999</v>
      </c>
      <c r="CB231" s="422">
        <v>6.4236744899999998</v>
      </c>
      <c r="CC231" s="422">
        <v>6.5095017000000004</v>
      </c>
      <c r="CD231" s="422">
        <v>0.17439041</v>
      </c>
      <c r="CE231" s="422">
        <v>6.2457310399999999</v>
      </c>
      <c r="CF231" s="422">
        <v>6.2348580499999997</v>
      </c>
      <c r="CG231" s="422">
        <v>-1.5128282399999999</v>
      </c>
      <c r="CH231" s="422">
        <v>-1.3184913300000001</v>
      </c>
      <c r="CI231" s="422">
        <v>0.34620616999999998</v>
      </c>
    </row>
    <row r="232" spans="1:87" ht="15" customHeight="1" x14ac:dyDescent="0.2">
      <c r="A232" s="297">
        <f t="shared" si="245"/>
        <v>62009051</v>
      </c>
      <c r="B232" s="297" t="s">
        <v>615</v>
      </c>
      <c r="C232" s="297" t="s">
        <v>635</v>
      </c>
      <c r="D232" s="326" t="s">
        <v>778</v>
      </c>
      <c r="E232" s="283" t="s">
        <v>963</v>
      </c>
      <c r="F232" s="310" t="str">
        <f t="shared" si="223"/>
        <v>09/25/20</v>
      </c>
      <c r="G232" s="298" t="s">
        <v>964</v>
      </c>
      <c r="H232" s="298" t="s">
        <v>775</v>
      </c>
      <c r="I232" s="306"/>
      <c r="J232" s="300">
        <f>AVERAGE(J230:J231)</f>
        <v>-2.8142149999999999</v>
      </c>
      <c r="K232" s="300">
        <f>AVERAGE(K230:K231)</f>
        <v>8.9580315000000006</v>
      </c>
      <c r="L232" s="300">
        <f>AVERAGE(L230:L231)</f>
        <v>29.2887995</v>
      </c>
      <c r="M232" s="300">
        <f>AVERAGE(M230:M231)</f>
        <v>10.255280500000001</v>
      </c>
      <c r="N232" s="286"/>
      <c r="O232" s="284"/>
      <c r="P232" s="302"/>
      <c r="Q232" s="301"/>
      <c r="R232" s="287">
        <f>R231+R230</f>
        <v>8.0153542099999999</v>
      </c>
      <c r="S232" s="287">
        <f>S231</f>
        <v>8.0153542099999999</v>
      </c>
      <c r="T232" s="315">
        <f>T230</f>
        <v>85.520590999999996</v>
      </c>
      <c r="U232" s="315">
        <f>U231</f>
        <v>81.626495000000006</v>
      </c>
      <c r="V232" s="290">
        <f>V230</f>
        <v>111900</v>
      </c>
      <c r="W232" s="290">
        <f>W231</f>
        <v>114646</v>
      </c>
      <c r="X232" s="290">
        <f>SUM(X230:X231)</f>
        <v>2977</v>
      </c>
      <c r="Y232" s="290">
        <f t="shared" si="235"/>
        <v>371.4121574672119</v>
      </c>
      <c r="Z232" s="290">
        <f>Z230</f>
        <v>4392.3999999999996</v>
      </c>
      <c r="AA232" s="290">
        <f>AA231</f>
        <v>4430.1000000000004</v>
      </c>
      <c r="AB232" s="290">
        <f>SUM(AB230:AB231)</f>
        <v>45.5</v>
      </c>
      <c r="AC232" s="290">
        <f t="shared" si="236"/>
        <v>5.6766050267914485</v>
      </c>
      <c r="AD232" s="290">
        <f>AD230</f>
        <v>3752.2148649999999</v>
      </c>
      <c r="AE232" s="290">
        <f>AE231</f>
        <v>3785.25</v>
      </c>
      <c r="AF232" s="290">
        <f>SUM(AF230:AF231)</f>
        <v>39.832315000000108</v>
      </c>
      <c r="AG232" s="290">
        <f t="shared" si="237"/>
        <v>4.9695015287415609</v>
      </c>
      <c r="AH232" s="290">
        <f>AH230</f>
        <v>-130.88999999999999</v>
      </c>
      <c r="AI232" s="290">
        <f>AI231</f>
        <v>-131.82</v>
      </c>
      <c r="AJ232" s="290">
        <f>SUM(AJ230:AJ231)</f>
        <v>-1.1100000000000136</v>
      </c>
      <c r="AK232" s="288">
        <f t="shared" si="238"/>
        <v>-0.13848421054370516</v>
      </c>
      <c r="AL232" s="290">
        <f>AL230</f>
        <v>9274.7000000000007</v>
      </c>
      <c r="AM232" s="290">
        <f>AM231</f>
        <v>9272.4</v>
      </c>
      <c r="AN232" s="290">
        <f>SUM(AN230:AN231)</f>
        <v>-2.8000000000010914</v>
      </c>
      <c r="AO232" s="288">
        <f t="shared" si="239"/>
        <v>-0.34932954011037914</v>
      </c>
      <c r="AP232" s="290">
        <f>AP230</f>
        <v>3252.2742680000001</v>
      </c>
      <c r="AQ232" s="290">
        <f>AQ231</f>
        <v>3633.871834</v>
      </c>
      <c r="AR232" s="290">
        <f>SUM(AR230:AR231)</f>
        <v>458.59755099999984</v>
      </c>
      <c r="AS232" s="288">
        <f t="shared" si="240"/>
        <v>57.214882709469158</v>
      </c>
      <c r="AT232" s="290">
        <f>AT230</f>
        <v>376.5</v>
      </c>
      <c r="AU232" s="290">
        <f>AU231</f>
        <v>377.8</v>
      </c>
      <c r="AV232" s="290">
        <f>SUM(AV230:AV231)</f>
        <v>1.6000000000000227</v>
      </c>
      <c r="AW232" s="288">
        <f t="shared" si="241"/>
        <v>0.19961688006299882</v>
      </c>
      <c r="AX232" s="290">
        <f>AX230</f>
        <v>4584</v>
      </c>
      <c r="AY232" s="290">
        <f>AY231</f>
        <v>7331.7183409999998</v>
      </c>
      <c r="AZ232" s="290">
        <f>SUM(AZ230:AZ231)</f>
        <v>2978</v>
      </c>
      <c r="BA232" s="288">
        <f t="shared" si="242"/>
        <v>371.53691801725131</v>
      </c>
      <c r="BB232" s="290">
        <f>BB230</f>
        <v>125666</v>
      </c>
      <c r="BC232" s="290">
        <f>BC231</f>
        <v>125667</v>
      </c>
      <c r="BD232" s="290">
        <f>SUM(BD230:BD231)</f>
        <v>1</v>
      </c>
      <c r="BE232" s="288">
        <f t="shared" si="243"/>
        <v>0.1247605500393725</v>
      </c>
      <c r="BF232" s="290">
        <f>BF230</f>
        <v>-125225</v>
      </c>
      <c r="BG232" s="290">
        <f>BG231</f>
        <v>-125225</v>
      </c>
      <c r="BH232" s="290">
        <f>SUM(BH230:BH231)</f>
        <v>0</v>
      </c>
      <c r="BI232" s="288">
        <f t="shared" si="244"/>
        <v>0</v>
      </c>
      <c r="BJ232" s="282"/>
      <c r="BK232" s="282"/>
      <c r="BL232" s="282">
        <f>SUM(BL230:BL231)</f>
        <v>-4.2313199999999966</v>
      </c>
      <c r="BM232" s="459">
        <f>BM230</f>
        <v>-125225</v>
      </c>
      <c r="BN232" s="459">
        <f>BN231</f>
        <v>-125225</v>
      </c>
      <c r="BO232" s="459">
        <f>SUM(BO230:BO231)</f>
        <v>0</v>
      </c>
      <c r="BP232" s="459">
        <f>BP230</f>
        <v>125666</v>
      </c>
      <c r="BQ232" s="459">
        <f>BQ231</f>
        <v>125667</v>
      </c>
      <c r="BR232" s="459">
        <f>SUM(BR230:BR231)</f>
        <v>1</v>
      </c>
      <c r="BS232" s="282"/>
      <c r="BT232" s="282"/>
      <c r="BU232" s="282"/>
      <c r="BV232" s="282"/>
      <c r="BW232" s="298" t="s">
        <v>855</v>
      </c>
    </row>
    <row r="233" spans="1:87" ht="15" customHeight="1" x14ac:dyDescent="0.2">
      <c r="A233" s="297">
        <f>A232+1</f>
        <v>62009052</v>
      </c>
      <c r="B233" s="297" t="s">
        <v>833</v>
      </c>
      <c r="C233" s="297" t="s">
        <v>626</v>
      </c>
      <c r="D233" s="326" t="s">
        <v>965</v>
      </c>
      <c r="E233" s="283" t="s">
        <v>966</v>
      </c>
      <c r="F233" s="310" t="str">
        <f t="shared" si="223"/>
        <v>09/25/20</v>
      </c>
      <c r="G233" s="298" t="s">
        <v>967</v>
      </c>
      <c r="H233" s="298" t="s">
        <v>775</v>
      </c>
      <c r="I233" s="306"/>
      <c r="J233" s="299">
        <v>-4.6332709999999997</v>
      </c>
      <c r="K233" s="299">
        <v>-41.666192000000002</v>
      </c>
      <c r="L233" s="299">
        <v>-141.22609299999999</v>
      </c>
      <c r="M233" s="299">
        <v>-53.871768000000003</v>
      </c>
      <c r="N233" s="284">
        <v>3875</v>
      </c>
      <c r="O233" s="284">
        <v>28.39</v>
      </c>
      <c r="P233" s="284">
        <v>0.20169999999999999</v>
      </c>
      <c r="Q233" s="284">
        <v>1.932E-2</v>
      </c>
      <c r="R233" s="285">
        <v>97.546023180000006</v>
      </c>
      <c r="S233" s="285">
        <f>R233+R232</f>
        <v>105.56137739</v>
      </c>
      <c r="T233" s="314">
        <v>81.281640999999993</v>
      </c>
      <c r="U233" s="314">
        <v>31.302313000000002</v>
      </c>
      <c r="V233" s="289">
        <v>114883</v>
      </c>
      <c r="W233" s="289">
        <v>147984</v>
      </c>
      <c r="X233" s="289">
        <f>W233-V233</f>
        <v>33101</v>
      </c>
      <c r="Y233" s="289">
        <f t="shared" si="235"/>
        <v>339.33725764421263</v>
      </c>
      <c r="Z233" s="308">
        <v>4439.6000000000004</v>
      </c>
      <c r="AA233" s="289">
        <v>4856.8999999999996</v>
      </c>
      <c r="AB233" s="289">
        <f>AA233-Z233</f>
        <v>417.29999999999927</v>
      </c>
      <c r="AC233" s="289">
        <f t="shared" si="236"/>
        <v>4.2779806536035068</v>
      </c>
      <c r="AD233" s="308">
        <v>3793.4274049999999</v>
      </c>
      <c r="AE233" s="289">
        <v>4161.29</v>
      </c>
      <c r="AF233" s="289">
        <f>AE233-AD233</f>
        <v>367.86259500000006</v>
      </c>
      <c r="AG233" s="289">
        <f t="shared" si="237"/>
        <v>3.7711695772690756</v>
      </c>
      <c r="AH233" s="308">
        <v>-128.80000000000001</v>
      </c>
      <c r="AI233" s="289">
        <v>-138.53</v>
      </c>
      <c r="AJ233" s="289">
        <f>AI233-AH233</f>
        <v>-9.7299999999999898</v>
      </c>
      <c r="AK233" s="307">
        <f t="shared" si="238"/>
        <v>-9.9747787585818717E-2</v>
      </c>
      <c r="AL233" s="308">
        <v>9271.7000000000007</v>
      </c>
      <c r="AM233" s="289">
        <v>9247.4</v>
      </c>
      <c r="AN233" s="289">
        <f>AM233-AL233</f>
        <v>-24.300000000001091</v>
      </c>
      <c r="AO233" s="307">
        <f t="shared" si="239"/>
        <v>-0.2491131796850469</v>
      </c>
      <c r="AP233" s="308">
        <v>3715.3</v>
      </c>
      <c r="AQ233" s="289">
        <v>8101.3495839999996</v>
      </c>
      <c r="AR233" s="289">
        <f>AQ233-AP233</f>
        <v>4386.0495839999994</v>
      </c>
      <c r="AS233" s="307">
        <f t="shared" si="240"/>
        <v>44.963899511377285</v>
      </c>
      <c r="AT233" s="308">
        <v>378.1</v>
      </c>
      <c r="AU233" s="289">
        <v>391.2</v>
      </c>
      <c r="AV233" s="289">
        <f>AU233-AT233</f>
        <v>13.099999999999966</v>
      </c>
      <c r="AW233" s="307">
        <f t="shared" si="241"/>
        <v>0.13429558246394893</v>
      </c>
      <c r="AX233" s="308">
        <v>7569</v>
      </c>
      <c r="AY233" s="289">
        <v>40681</v>
      </c>
      <c r="AZ233" s="289">
        <f>AY233-AX233</f>
        <v>33112</v>
      </c>
      <c r="BA233" s="307">
        <f t="shared" si="242"/>
        <v>339.45002492719766</v>
      </c>
      <c r="BB233" s="308">
        <v>125668</v>
      </c>
      <c r="BC233" s="289">
        <v>125675</v>
      </c>
      <c r="BD233" s="289">
        <f>BC233-BB233</f>
        <v>7</v>
      </c>
      <c r="BE233" s="307">
        <f t="shared" si="243"/>
        <v>7.1760998263179013E-2</v>
      </c>
      <c r="BF233" s="308">
        <v>-125225</v>
      </c>
      <c r="BG233" s="289">
        <v>-125225</v>
      </c>
      <c r="BH233" s="289">
        <f>BG233-BF233</f>
        <v>0</v>
      </c>
      <c r="BI233" s="307">
        <f t="shared" si="244"/>
        <v>0</v>
      </c>
      <c r="BJ233" s="281">
        <v>81.281640999999993</v>
      </c>
      <c r="BK233" s="281">
        <v>31.302313000000002</v>
      </c>
      <c r="BL233" s="281">
        <f>BK233-BJ233</f>
        <v>-49.979327999999995</v>
      </c>
      <c r="BM233" s="408">
        <v>-125225</v>
      </c>
      <c r="BN233" s="458">
        <v>-125225</v>
      </c>
      <c r="BO233" s="458">
        <f>BN233-BM233</f>
        <v>0</v>
      </c>
      <c r="BP233" s="408">
        <v>125668</v>
      </c>
      <c r="BQ233" s="458">
        <v>125675</v>
      </c>
      <c r="BR233" s="458">
        <f>BQ233-BP233</f>
        <v>7</v>
      </c>
      <c r="BS233" s="281"/>
      <c r="BT233" s="281"/>
      <c r="BU233" s="281"/>
      <c r="BV233" s="281"/>
      <c r="BW233" s="298" t="s">
        <v>855</v>
      </c>
      <c r="BX233" s="422">
        <v>22.639218249999999</v>
      </c>
      <c r="BY233" s="422">
        <v>127.02182729</v>
      </c>
      <c r="BZ233" s="422">
        <v>1319.3418897399999</v>
      </c>
      <c r="CA233" s="422">
        <v>581.15200000000004</v>
      </c>
      <c r="CB233" s="422">
        <v>86.716470330000007</v>
      </c>
      <c r="CC233" s="422">
        <v>86.26905026</v>
      </c>
      <c r="CD233" s="422">
        <v>0.21497477000000001</v>
      </c>
      <c r="CE233" s="422">
        <v>97.546840759999995</v>
      </c>
      <c r="CF233" s="422">
        <v>97.337589510000001</v>
      </c>
      <c r="CG233" s="422">
        <v>0.30209184</v>
      </c>
      <c r="CH233" s="422">
        <v>0.51863336000000004</v>
      </c>
      <c r="CI233" s="422">
        <v>8.7306199999999997E-3</v>
      </c>
    </row>
    <row r="234" spans="1:87" ht="15" customHeight="1" x14ac:dyDescent="0.2">
      <c r="A234" s="297">
        <f>A233+1</f>
        <v>62009053</v>
      </c>
      <c r="B234" s="297" t="s">
        <v>834</v>
      </c>
      <c r="C234" s="297" t="s">
        <v>835</v>
      </c>
      <c r="D234" s="326" t="s">
        <v>852</v>
      </c>
      <c r="E234" s="283" t="s">
        <v>968</v>
      </c>
      <c r="F234" s="310" t="str">
        <f t="shared" si="223"/>
        <v>09/25/20</v>
      </c>
      <c r="G234" s="298" t="s">
        <v>969</v>
      </c>
      <c r="H234" s="298" t="s">
        <v>970</v>
      </c>
      <c r="I234" s="306"/>
      <c r="J234" s="299">
        <v>-6.1103379999999996</v>
      </c>
      <c r="K234" s="299">
        <v>9.5362539999999996</v>
      </c>
      <c r="L234" s="299">
        <v>29.289408000000002</v>
      </c>
      <c r="M234" s="299">
        <v>12.409368000000001</v>
      </c>
      <c r="N234" s="284">
        <v>3875</v>
      </c>
      <c r="O234" s="284">
        <v>28.39</v>
      </c>
      <c r="P234" s="284">
        <v>0.20169999999999999</v>
      </c>
      <c r="Q234" s="284">
        <v>1.932E-2</v>
      </c>
      <c r="R234" s="285">
        <v>1.7693579699999999</v>
      </c>
      <c r="S234" s="285">
        <f>R234+R233</f>
        <v>99.315381150000007</v>
      </c>
      <c r="T234" s="314">
        <v>31.28858</v>
      </c>
      <c r="U234" s="314">
        <v>26.741398</v>
      </c>
      <c r="V234" s="289">
        <v>147992</v>
      </c>
      <c r="W234" s="289">
        <v>150838</v>
      </c>
      <c r="X234" s="289">
        <f>W234-V234-X235</f>
        <v>640</v>
      </c>
      <c r="Y234" s="289">
        <f t="shared" si="235"/>
        <v>361.71312467651757</v>
      </c>
      <c r="Z234" s="308">
        <v>4858.7</v>
      </c>
      <c r="AA234" s="289">
        <v>4905.0510899999999</v>
      </c>
      <c r="AB234" s="289">
        <f>AA234-Z234-AB235</f>
        <v>17.451090000000477</v>
      </c>
      <c r="AC234" s="289">
        <f t="shared" si="236"/>
        <v>9.8629504576739091</v>
      </c>
      <c r="AD234" s="308">
        <v>4162.7955009999996</v>
      </c>
      <c r="AE234" s="289">
        <v>4203.7751090000002</v>
      </c>
      <c r="AF234" s="289">
        <f>AE234-AD234-AF235</f>
        <v>15.274954000000434</v>
      </c>
      <c r="AG234" s="289">
        <f t="shared" si="237"/>
        <v>8.6330489697347303</v>
      </c>
      <c r="AH234" s="308">
        <v>-135.44</v>
      </c>
      <c r="AI234" s="289">
        <v>-138.71</v>
      </c>
      <c r="AJ234" s="289">
        <f>AI234-AH234-AJ235</f>
        <v>-1.460000000000008</v>
      </c>
      <c r="AK234" s="307">
        <f t="shared" si="238"/>
        <v>-0.82515806566831018</v>
      </c>
      <c r="AL234" s="308">
        <v>9247.2000000000007</v>
      </c>
      <c r="AM234" s="289">
        <v>9244.6</v>
      </c>
      <c r="AN234" s="289">
        <f>AM234-AL234-AN235</f>
        <v>-1</v>
      </c>
      <c r="AO234" s="307">
        <f t="shared" si="239"/>
        <v>-0.56517675730705874</v>
      </c>
      <c r="AP234" s="308">
        <v>8107.7</v>
      </c>
      <c r="AQ234" s="289">
        <v>8492.5510610000001</v>
      </c>
      <c r="AR234" s="289">
        <f>AQ234-AP234-AR235</f>
        <v>127.79882799999996</v>
      </c>
      <c r="AS234" s="307">
        <f t="shared" si="240"/>
        <v>72.22892719668252</v>
      </c>
      <c r="AT234" s="308">
        <v>391.2</v>
      </c>
      <c r="AU234" s="289">
        <v>392.6</v>
      </c>
      <c r="AV234" s="289">
        <f>AU234-AT234-AV235</f>
        <v>0.50000000000005684</v>
      </c>
      <c r="AW234" s="307">
        <f t="shared" si="241"/>
        <v>0.28258837865356146</v>
      </c>
      <c r="AX234" s="308">
        <v>40689</v>
      </c>
      <c r="AY234" s="289">
        <v>43537</v>
      </c>
      <c r="AZ234" s="289">
        <f>AY234-AX234-AZ235</f>
        <v>640</v>
      </c>
      <c r="BA234" s="307">
        <f t="shared" si="242"/>
        <v>361.71312467651757</v>
      </c>
      <c r="BB234" s="308">
        <v>125676</v>
      </c>
      <c r="BC234" s="289">
        <v>125677</v>
      </c>
      <c r="BD234" s="289">
        <f>BC234-BB234-BD235</f>
        <v>0</v>
      </c>
      <c r="BE234" s="307">
        <f t="shared" si="243"/>
        <v>0</v>
      </c>
      <c r="BF234" s="308">
        <v>-125225</v>
      </c>
      <c r="BG234" s="289">
        <v>-125225</v>
      </c>
      <c r="BH234" s="289">
        <f>BG234-BF234-BH235</f>
        <v>0</v>
      </c>
      <c r="BI234" s="307">
        <f t="shared" si="244"/>
        <v>0</v>
      </c>
      <c r="BJ234" s="281">
        <v>31.28858</v>
      </c>
      <c r="BK234" s="281">
        <v>26.741398</v>
      </c>
      <c r="BL234" s="281">
        <f>BK234-BJ234-BL235</f>
        <v>-1.0376119999999993</v>
      </c>
      <c r="BM234" s="408">
        <v>-125225</v>
      </c>
      <c r="BN234" s="458">
        <v>-125225</v>
      </c>
      <c r="BO234" s="458">
        <f>BN234-BM234-BO235</f>
        <v>0</v>
      </c>
      <c r="BP234" s="408">
        <v>125676</v>
      </c>
      <c r="BQ234" s="458">
        <v>125677</v>
      </c>
      <c r="BR234" s="458">
        <f>BQ234-BP234-BR235</f>
        <v>0</v>
      </c>
      <c r="BS234" s="281"/>
      <c r="BT234" s="281"/>
      <c r="BU234" s="281"/>
      <c r="BV234" s="281"/>
      <c r="BW234" s="298" t="s">
        <v>855</v>
      </c>
      <c r="BX234" s="422">
        <v>5056.8669963700004</v>
      </c>
      <c r="BY234" s="422">
        <v>-2.97791381</v>
      </c>
      <c r="BZ234" s="422">
        <v>2386.4555221599999</v>
      </c>
      <c r="CA234" s="422">
        <v>2459.70336838</v>
      </c>
      <c r="CB234" s="422">
        <v>2.8699288900000002</v>
      </c>
      <c r="CC234" s="422">
        <v>2.9259750599999998</v>
      </c>
      <c r="CD234" s="422">
        <v>-0.16112369000000001</v>
      </c>
      <c r="CE234" s="422">
        <v>1.7693441700000001</v>
      </c>
      <c r="CF234" s="422">
        <v>1.7721996</v>
      </c>
      <c r="CG234" s="422">
        <v>-1.7886064800000001</v>
      </c>
      <c r="CH234" s="422">
        <v>-1.9154699500000001</v>
      </c>
      <c r="CI234" s="422">
        <v>0.81466645000000004</v>
      </c>
    </row>
    <row r="235" spans="1:87" ht="15" customHeight="1" x14ac:dyDescent="0.2">
      <c r="A235" s="297">
        <f>A234</f>
        <v>62009053</v>
      </c>
      <c r="B235" s="297" t="s">
        <v>836</v>
      </c>
      <c r="C235" s="297" t="s">
        <v>627</v>
      </c>
      <c r="D235" s="326" t="s">
        <v>852</v>
      </c>
      <c r="E235" s="283" t="s">
        <v>968</v>
      </c>
      <c r="F235" s="310" t="str">
        <f t="shared" si="223"/>
        <v>09/25/20</v>
      </c>
      <c r="G235" s="298" t="s">
        <v>969</v>
      </c>
      <c r="H235" s="298" t="s">
        <v>970</v>
      </c>
      <c r="I235" s="306"/>
      <c r="J235" s="299">
        <v>-2.341558</v>
      </c>
      <c r="K235" s="299">
        <v>8.1598900000000008</v>
      </c>
      <c r="L235" s="299">
        <v>29.286749</v>
      </c>
      <c r="M235" s="299">
        <v>9.968121</v>
      </c>
      <c r="N235" s="284">
        <v>3875</v>
      </c>
      <c r="O235" s="284">
        <v>28.39</v>
      </c>
      <c r="P235" s="284">
        <v>0.20169999999999999</v>
      </c>
      <c r="Q235" s="284">
        <v>1.932E-2</v>
      </c>
      <c r="R235" s="285">
        <v>6.2466389600000003</v>
      </c>
      <c r="S235" s="285">
        <f>R235+R234</f>
        <v>8.01599693</v>
      </c>
      <c r="T235" s="314">
        <v>30.632442000000001</v>
      </c>
      <c r="U235" s="314">
        <v>27.122872000000001</v>
      </c>
      <c r="V235" s="289">
        <v>148400</v>
      </c>
      <c r="W235" s="289">
        <v>150606</v>
      </c>
      <c r="X235" s="289">
        <f>W235-V235</f>
        <v>2206</v>
      </c>
      <c r="Y235" s="289">
        <f t="shared" si="235"/>
        <v>353.14991215692095</v>
      </c>
      <c r="Z235" s="308">
        <v>4868.3</v>
      </c>
      <c r="AA235" s="289">
        <v>4897.2</v>
      </c>
      <c r="AB235" s="289">
        <f>AA235-Z235</f>
        <v>28.899999999999636</v>
      </c>
      <c r="AC235" s="289">
        <f t="shared" si="236"/>
        <v>4.6264879697800936</v>
      </c>
      <c r="AD235" s="308">
        <v>4171.175346</v>
      </c>
      <c r="AE235" s="289">
        <v>4196.88</v>
      </c>
      <c r="AF235" s="289">
        <f>AE235-AD235</f>
        <v>25.704654000000119</v>
      </c>
      <c r="AG235" s="289">
        <f t="shared" si="237"/>
        <v>4.1149575258948721</v>
      </c>
      <c r="AH235" s="308">
        <v>-136.63999999999999</v>
      </c>
      <c r="AI235" s="289">
        <v>-138.44999999999999</v>
      </c>
      <c r="AJ235" s="289">
        <f>AI235-AH235</f>
        <v>-1.8100000000000023</v>
      </c>
      <c r="AK235" s="307">
        <f t="shared" si="238"/>
        <v>-0.28975582094470881</v>
      </c>
      <c r="AL235" s="308">
        <v>9246.7000000000007</v>
      </c>
      <c r="AM235" s="289">
        <v>9245.1</v>
      </c>
      <c r="AN235" s="289">
        <f>AM235-AL235</f>
        <v>-1.6000000000003638</v>
      </c>
      <c r="AO235" s="307">
        <f t="shared" si="239"/>
        <v>-0.25613774227162373</v>
      </c>
      <c r="AP235" s="308">
        <v>8155.5</v>
      </c>
      <c r="AQ235" s="289">
        <v>8412.5522330000003</v>
      </c>
      <c r="AR235" s="289">
        <f>AQ235-AP235</f>
        <v>257.05223300000034</v>
      </c>
      <c r="AS235" s="307">
        <f t="shared" si="240"/>
        <v>41.150486629052807</v>
      </c>
      <c r="AT235" s="308">
        <v>391.5</v>
      </c>
      <c r="AU235" s="289">
        <v>392.4</v>
      </c>
      <c r="AV235" s="289">
        <f>AU235-AT235</f>
        <v>0.89999999999997726</v>
      </c>
      <c r="AW235" s="307">
        <f t="shared" si="241"/>
        <v>0.14407748002775195</v>
      </c>
      <c r="AX235" s="308">
        <v>41097</v>
      </c>
      <c r="AY235" s="289">
        <v>43305</v>
      </c>
      <c r="AZ235" s="289">
        <f>AY235-AX235</f>
        <v>2208</v>
      </c>
      <c r="BA235" s="307">
        <f t="shared" si="242"/>
        <v>353.47008433476037</v>
      </c>
      <c r="BB235" s="308">
        <v>125676</v>
      </c>
      <c r="BC235" s="289">
        <v>125677</v>
      </c>
      <c r="BD235" s="289">
        <f>BC235-BB235</f>
        <v>1</v>
      </c>
      <c r="BE235" s="307">
        <f t="shared" si="243"/>
        <v>0.16008608891972845</v>
      </c>
      <c r="BF235" s="308">
        <v>-125225</v>
      </c>
      <c r="BG235" s="289">
        <v>-125225</v>
      </c>
      <c r="BH235" s="289">
        <f>BG235-BF235</f>
        <v>0</v>
      </c>
      <c r="BI235" s="307">
        <f t="shared" si="244"/>
        <v>0</v>
      </c>
      <c r="BJ235" s="281">
        <v>30.632442000000001</v>
      </c>
      <c r="BK235" s="281">
        <v>27.122872000000001</v>
      </c>
      <c r="BL235" s="281">
        <f>BK235-BJ235</f>
        <v>-3.5095700000000001</v>
      </c>
      <c r="BM235" s="408">
        <v>-125225</v>
      </c>
      <c r="BN235" s="458">
        <v>-125225</v>
      </c>
      <c r="BO235" s="458">
        <f>BN235-BM235</f>
        <v>0</v>
      </c>
      <c r="BP235" s="408">
        <v>125676</v>
      </c>
      <c r="BQ235" s="458">
        <v>125677</v>
      </c>
      <c r="BR235" s="458">
        <f>BQ235-BP235</f>
        <v>1</v>
      </c>
      <c r="BS235" s="281"/>
      <c r="BT235" s="281"/>
      <c r="BU235" s="281"/>
      <c r="BV235" s="281"/>
      <c r="BW235" s="298" t="s">
        <v>855</v>
      </c>
      <c r="BX235" s="422">
        <v>10801.38873964</v>
      </c>
      <c r="BY235" s="422">
        <v>-7.4740426299999996</v>
      </c>
      <c r="BZ235" s="422">
        <v>1054.1205307499999</v>
      </c>
      <c r="CA235" s="422">
        <v>1139.2700607700001</v>
      </c>
      <c r="CB235" s="422">
        <v>6.4248655699999997</v>
      </c>
      <c r="CC235" s="422">
        <v>6.5128869800000002</v>
      </c>
      <c r="CD235" s="422">
        <v>0.17534204</v>
      </c>
      <c r="CE235" s="422">
        <v>6.2466865599999997</v>
      </c>
      <c r="CF235" s="422">
        <v>6.2357526700000001</v>
      </c>
      <c r="CG235" s="422">
        <v>-1.5477558899999999</v>
      </c>
      <c r="CH235" s="422">
        <v>-1.3514959900000001</v>
      </c>
      <c r="CI235" s="422">
        <v>0.34645304999999998</v>
      </c>
    </row>
    <row r="236" spans="1:87" ht="15" customHeight="1" x14ac:dyDescent="0.2">
      <c r="A236" s="297">
        <f t="shared" ref="A236:A243" si="246">A235</f>
        <v>62009053</v>
      </c>
      <c r="B236" s="297" t="s">
        <v>837</v>
      </c>
      <c r="C236" s="297" t="s">
        <v>628</v>
      </c>
      <c r="D236" s="326" t="s">
        <v>852</v>
      </c>
      <c r="E236" s="283" t="s">
        <v>968</v>
      </c>
      <c r="F236" s="310" t="str">
        <f t="shared" si="223"/>
        <v>09/25/20</v>
      </c>
      <c r="G236" s="298" t="s">
        <v>969</v>
      </c>
      <c r="H236" s="298" t="s">
        <v>970</v>
      </c>
      <c r="I236" s="306"/>
      <c r="J236" s="300">
        <f>AVERAGE(J234:J235)</f>
        <v>-4.2259479999999998</v>
      </c>
      <c r="K236" s="300">
        <f>AVERAGE(K234:K235)</f>
        <v>8.8480720000000002</v>
      </c>
      <c r="L236" s="300">
        <f>AVERAGE(L234:L235)</f>
        <v>29.288078500000001</v>
      </c>
      <c r="M236" s="300">
        <f>AVERAGE(M234:M235)</f>
        <v>11.1887445</v>
      </c>
      <c r="N236" s="286"/>
      <c r="O236" s="284"/>
      <c r="P236" s="302"/>
      <c r="Q236" s="301"/>
      <c r="R236" s="287">
        <f>R235+R234</f>
        <v>8.01599693</v>
      </c>
      <c r="S236" s="287">
        <f>S235</f>
        <v>8.01599693</v>
      </c>
      <c r="T236" s="315">
        <f>T234</f>
        <v>31.28858</v>
      </c>
      <c r="U236" s="315">
        <f>U235</f>
        <v>27.122872000000001</v>
      </c>
      <c r="V236" s="290">
        <f>V234</f>
        <v>147992</v>
      </c>
      <c r="W236" s="290">
        <f>W235</f>
        <v>150606</v>
      </c>
      <c r="X236" s="290">
        <f>SUM(X234:X235)</f>
        <v>2846</v>
      </c>
      <c r="Y236" s="290">
        <f t="shared" si="235"/>
        <v>355.04005613435282</v>
      </c>
      <c r="Z236" s="290">
        <f>Z234</f>
        <v>4858.7</v>
      </c>
      <c r="AA236" s="290">
        <f>AA235</f>
        <v>4897.2</v>
      </c>
      <c r="AB236" s="290">
        <f>SUM(AB234:AB235)</f>
        <v>46.351090000000113</v>
      </c>
      <c r="AC236" s="290">
        <f t="shared" si="236"/>
        <v>5.7823238213241321</v>
      </c>
      <c r="AD236" s="290">
        <f>AD234</f>
        <v>4162.7955009999996</v>
      </c>
      <c r="AE236" s="290">
        <f>AE235</f>
        <v>4196.88</v>
      </c>
      <c r="AF236" s="290">
        <f>SUM(AF234:AF235)</f>
        <v>40.979608000000553</v>
      </c>
      <c r="AG236" s="290">
        <f t="shared" si="237"/>
        <v>5.1122285048081419</v>
      </c>
      <c r="AH236" s="290">
        <f>AH234</f>
        <v>-135.44</v>
      </c>
      <c r="AI236" s="290">
        <f>AI235</f>
        <v>-138.44999999999999</v>
      </c>
      <c r="AJ236" s="290">
        <f>SUM(AJ234:AJ235)</f>
        <v>-3.2700000000000102</v>
      </c>
      <c r="AK236" s="288">
        <f t="shared" si="238"/>
        <v>-0.40793428796884657</v>
      </c>
      <c r="AL236" s="290">
        <f>AL234</f>
        <v>9247.2000000000007</v>
      </c>
      <c r="AM236" s="290">
        <f>AM235</f>
        <v>9245.1</v>
      </c>
      <c r="AN236" s="290">
        <f>SUM(AN234:AN235)</f>
        <v>-2.6000000000003638</v>
      </c>
      <c r="AO236" s="288">
        <f t="shared" si="239"/>
        <v>-0.3243514216266502</v>
      </c>
      <c r="AP236" s="290">
        <f>AP234</f>
        <v>8107.7</v>
      </c>
      <c r="AQ236" s="290">
        <f>AQ235</f>
        <v>8412.5522330000003</v>
      </c>
      <c r="AR236" s="290">
        <f>SUM(AR234:AR235)</f>
        <v>384.8510610000003</v>
      </c>
      <c r="AS236" s="288">
        <f t="shared" si="240"/>
        <v>48.010380288406658</v>
      </c>
      <c r="AT236" s="290">
        <f>AT234</f>
        <v>391.2</v>
      </c>
      <c r="AU236" s="290">
        <f>AU235</f>
        <v>392.4</v>
      </c>
      <c r="AV236" s="290">
        <f>SUM(AV234:AV235)</f>
        <v>1.4000000000000341</v>
      </c>
      <c r="AW236" s="288">
        <f t="shared" si="241"/>
        <v>0.17465076549125302</v>
      </c>
      <c r="AX236" s="290">
        <f>AX234</f>
        <v>40689</v>
      </c>
      <c r="AY236" s="290">
        <f>AY235</f>
        <v>43305</v>
      </c>
      <c r="AZ236" s="290">
        <f>SUM(AZ234:AZ235)</f>
        <v>2848</v>
      </c>
      <c r="BA236" s="288">
        <f t="shared" si="242"/>
        <v>355.28955722791176</v>
      </c>
      <c r="BB236" s="290">
        <f>BB234</f>
        <v>125676</v>
      </c>
      <c r="BC236" s="290">
        <f>BC235</f>
        <v>125677</v>
      </c>
      <c r="BD236" s="290">
        <f>SUM(BD234:BD235)</f>
        <v>1</v>
      </c>
      <c r="BE236" s="288">
        <f t="shared" si="243"/>
        <v>0.1247505467794634</v>
      </c>
      <c r="BF236" s="290">
        <f>BF234</f>
        <v>-125225</v>
      </c>
      <c r="BG236" s="290">
        <f>BG235</f>
        <v>-125225</v>
      </c>
      <c r="BH236" s="290">
        <f>SUM(BH234:BH235)</f>
        <v>0</v>
      </c>
      <c r="BI236" s="288">
        <f t="shared" si="244"/>
        <v>0</v>
      </c>
      <c r="BJ236" s="282"/>
      <c r="BK236" s="282"/>
      <c r="BL236" s="282">
        <f>SUM(BL234:BL235)</f>
        <v>-4.5471819999999994</v>
      </c>
      <c r="BM236" s="459">
        <f>BM234</f>
        <v>-125225</v>
      </c>
      <c r="BN236" s="459">
        <f>BN235</f>
        <v>-125225</v>
      </c>
      <c r="BO236" s="459">
        <f>SUM(BO234:BO235)</f>
        <v>0</v>
      </c>
      <c r="BP236" s="459">
        <f>BP234</f>
        <v>125676</v>
      </c>
      <c r="BQ236" s="459">
        <f>BQ235</f>
        <v>125677</v>
      </c>
      <c r="BR236" s="459">
        <f>SUM(BR234:BR235)</f>
        <v>1</v>
      </c>
      <c r="BS236" s="282"/>
      <c r="BT236" s="282"/>
      <c r="BU236" s="282"/>
      <c r="BV236" s="282"/>
      <c r="BW236" s="298" t="s">
        <v>855</v>
      </c>
    </row>
    <row r="237" spans="1:87" ht="15" customHeight="1" x14ac:dyDescent="0.2">
      <c r="A237" s="297">
        <f t="shared" si="246"/>
        <v>62009053</v>
      </c>
      <c r="B237" s="297" t="s">
        <v>838</v>
      </c>
      <c r="C237" s="297" t="s">
        <v>629</v>
      </c>
      <c r="D237" s="326" t="s">
        <v>852</v>
      </c>
      <c r="E237" s="283" t="s">
        <v>968</v>
      </c>
      <c r="F237" s="310" t="str">
        <f t="shared" si="223"/>
        <v>09/25/20</v>
      </c>
      <c r="G237" s="298" t="s">
        <v>969</v>
      </c>
      <c r="H237" s="298" t="s">
        <v>970</v>
      </c>
      <c r="I237" s="306"/>
      <c r="J237" s="299">
        <v>-7.0446920000000004</v>
      </c>
      <c r="K237" s="299">
        <v>24.600508000000001</v>
      </c>
      <c r="L237" s="299">
        <v>29.284039</v>
      </c>
      <c r="M237" s="299">
        <v>8.5982889999999994</v>
      </c>
      <c r="N237" s="284">
        <v>3875</v>
      </c>
      <c r="O237" s="284">
        <v>28.39</v>
      </c>
      <c r="P237" s="284">
        <v>0.20169999999999999</v>
      </c>
      <c r="Q237" s="284">
        <v>1.932E-2</v>
      </c>
      <c r="R237" s="285">
        <v>3.5914808599999999</v>
      </c>
      <c r="S237" s="285">
        <f>R237+R236</f>
        <v>11.607477790000001</v>
      </c>
      <c r="T237" s="314">
        <v>26.726139</v>
      </c>
      <c r="U237" s="314">
        <v>24.901161999999999</v>
      </c>
      <c r="V237" s="289">
        <v>150848</v>
      </c>
      <c r="W237" s="289">
        <v>152011</v>
      </c>
      <c r="X237" s="289">
        <f>W237-V237</f>
        <v>1163</v>
      </c>
      <c r="Y237" s="289">
        <f t="shared" si="235"/>
        <v>323.82185659204657</v>
      </c>
      <c r="Z237" s="308">
        <v>4909.1000000000004</v>
      </c>
      <c r="AA237" s="289">
        <v>4947.7</v>
      </c>
      <c r="AB237" s="289">
        <f>AA237-Z237</f>
        <v>38.599999999999454</v>
      </c>
      <c r="AC237" s="289">
        <f t="shared" si="236"/>
        <v>10.747655773390216</v>
      </c>
      <c r="AD237" s="308">
        <v>4207.2949529999996</v>
      </c>
      <c r="AE237" s="289">
        <v>4241.43</v>
      </c>
      <c r="AF237" s="289">
        <f>AE237-AD237</f>
        <v>34.135047000000668</v>
      </c>
      <c r="AG237" s="289">
        <f t="shared" si="237"/>
        <v>9.5044490923447853</v>
      </c>
      <c r="AH237" s="308">
        <v>-135.27000000000001</v>
      </c>
      <c r="AI237" s="289">
        <v>-138.55000000000001</v>
      </c>
      <c r="AJ237" s="289">
        <f>AI237-AH237</f>
        <v>-3.2800000000000011</v>
      </c>
      <c r="AK237" s="307">
        <f t="shared" si="238"/>
        <v>-0.91327230406011439</v>
      </c>
      <c r="AL237" s="308">
        <v>9244.4</v>
      </c>
      <c r="AM237" s="289">
        <v>9242.2000000000007</v>
      </c>
      <c r="AN237" s="289">
        <f>AM237-AL237</f>
        <v>-2.1999999999989086</v>
      </c>
      <c r="AO237" s="307">
        <f t="shared" si="239"/>
        <v>-0.61256069174733363</v>
      </c>
      <c r="AP237" s="308">
        <v>8497.7000000000007</v>
      </c>
      <c r="AQ237" s="289">
        <v>8864.4463460000006</v>
      </c>
      <c r="AR237" s="289">
        <f>AQ237-AP237</f>
        <v>366.7463459999999</v>
      </c>
      <c r="AS237" s="307">
        <f t="shared" si="240"/>
        <v>102.11563427349016</v>
      </c>
      <c r="AT237" s="308">
        <v>392.7</v>
      </c>
      <c r="AU237" s="289">
        <v>393.8</v>
      </c>
      <c r="AV237" s="289">
        <f>AU237-AT237</f>
        <v>1.1000000000000227</v>
      </c>
      <c r="AW237" s="307">
        <f t="shared" si="241"/>
        <v>0.30628034587382508</v>
      </c>
      <c r="AX237" s="308">
        <v>43547</v>
      </c>
      <c r="AY237" s="289">
        <v>44710</v>
      </c>
      <c r="AZ237" s="289">
        <f>AY237-AX237</f>
        <v>1163</v>
      </c>
      <c r="BA237" s="307">
        <f t="shared" si="242"/>
        <v>323.82185659204657</v>
      </c>
      <c r="BB237" s="308">
        <v>125678</v>
      </c>
      <c r="BC237" s="289">
        <v>125678</v>
      </c>
      <c r="BD237" s="289">
        <f>BC237-BB237</f>
        <v>0</v>
      </c>
      <c r="BE237" s="307">
        <f t="shared" si="243"/>
        <v>0</v>
      </c>
      <c r="BF237" s="308">
        <v>-125225</v>
      </c>
      <c r="BG237" s="289">
        <v>-125225</v>
      </c>
      <c r="BH237" s="289">
        <f>BG237-BF237</f>
        <v>0</v>
      </c>
      <c r="BI237" s="307">
        <f t="shared" si="244"/>
        <v>0</v>
      </c>
      <c r="BJ237" s="281">
        <v>26.726139</v>
      </c>
      <c r="BK237" s="281">
        <v>24.901161999999999</v>
      </c>
      <c r="BL237" s="281">
        <f>BK237-BJ237</f>
        <v>-1.8249770000000005</v>
      </c>
      <c r="BM237" s="408">
        <v>-125225</v>
      </c>
      <c r="BN237" s="458">
        <v>-125225</v>
      </c>
      <c r="BO237" s="458">
        <f>BN237-BM237</f>
        <v>0</v>
      </c>
      <c r="BP237" s="408">
        <v>125678</v>
      </c>
      <c r="BQ237" s="458">
        <v>125678</v>
      </c>
      <c r="BR237" s="458">
        <f>BQ237-BP237</f>
        <v>0</v>
      </c>
      <c r="BS237" s="281"/>
      <c r="BT237" s="281"/>
      <c r="BU237" s="281"/>
      <c r="BV237" s="281"/>
      <c r="BW237" s="298" t="s">
        <v>855</v>
      </c>
      <c r="BX237" s="422">
        <v>2198.5275251100002</v>
      </c>
      <c r="BY237" s="422">
        <v>-1.1806580900000001</v>
      </c>
      <c r="BZ237" s="422">
        <v>2024.53494163</v>
      </c>
      <c r="CA237" s="422">
        <v>2048.7233596299998</v>
      </c>
      <c r="CB237" s="422">
        <v>2.9421450400000002</v>
      </c>
      <c r="CC237" s="422">
        <v>2.9657558399999999</v>
      </c>
      <c r="CD237" s="422">
        <v>1.2484719999999999E-2</v>
      </c>
      <c r="CE237" s="422">
        <v>3.59142808</v>
      </c>
      <c r="CF237" s="422">
        <v>3.5909797600000002</v>
      </c>
      <c r="CG237" s="422">
        <v>-0.81508786</v>
      </c>
      <c r="CH237" s="422">
        <v>-0.79611410999999999</v>
      </c>
      <c r="CI237" s="422">
        <v>0.59139375999999999</v>
      </c>
    </row>
    <row r="238" spans="1:87" ht="15" customHeight="1" x14ac:dyDescent="0.2">
      <c r="A238" s="297">
        <f t="shared" si="246"/>
        <v>62009053</v>
      </c>
      <c r="B238" s="297" t="s">
        <v>219</v>
      </c>
      <c r="C238" s="297" t="s">
        <v>630</v>
      </c>
      <c r="D238" s="326" t="s">
        <v>852</v>
      </c>
      <c r="E238" s="283" t="s">
        <v>968</v>
      </c>
      <c r="F238" s="310" t="str">
        <f t="shared" si="223"/>
        <v>09/25/20</v>
      </c>
      <c r="G238" s="298" t="s">
        <v>969</v>
      </c>
      <c r="H238" s="298" t="s">
        <v>970</v>
      </c>
      <c r="I238" s="306"/>
      <c r="J238" s="299">
        <v>-7.4617810000000002</v>
      </c>
      <c r="K238" s="299">
        <v>19.580589</v>
      </c>
      <c r="L238" s="299">
        <v>29.281206999999998</v>
      </c>
      <c r="M238" s="299">
        <v>9.0771329999999999</v>
      </c>
      <c r="N238" s="284">
        <v>3875</v>
      </c>
      <c r="O238" s="284">
        <v>28.39</v>
      </c>
      <c r="P238" s="284">
        <v>0.20169999999999999</v>
      </c>
      <c r="Q238" s="284">
        <v>1.932E-2</v>
      </c>
      <c r="R238" s="285">
        <v>3.8524110199999999</v>
      </c>
      <c r="S238" s="285">
        <f>R238+R237</f>
        <v>7.4438918799999998</v>
      </c>
      <c r="T238" s="314">
        <v>24.901161999999999</v>
      </c>
      <c r="U238" s="314">
        <v>22.781687000000002</v>
      </c>
      <c r="V238" s="289">
        <v>152011</v>
      </c>
      <c r="W238" s="289">
        <v>153363</v>
      </c>
      <c r="X238" s="289">
        <f>W238-V238</f>
        <v>1352</v>
      </c>
      <c r="Y238" s="289">
        <f t="shared" si="235"/>
        <v>350.94905319837864</v>
      </c>
      <c r="Z238" s="308">
        <v>4947.7</v>
      </c>
      <c r="AA238" s="289">
        <v>5010.2</v>
      </c>
      <c r="AB238" s="289">
        <f>AA238-Z238</f>
        <v>62.5</v>
      </c>
      <c r="AC238" s="289">
        <f t="shared" si="236"/>
        <v>16.223606379362916</v>
      </c>
      <c r="AD238" s="308">
        <v>4241.4447389999996</v>
      </c>
      <c r="AE238" s="289">
        <v>4296.5443020000002</v>
      </c>
      <c r="AF238" s="289">
        <f>AE238-AD238</f>
        <v>55.099563000000671</v>
      </c>
      <c r="AG238" s="289">
        <f t="shared" si="237"/>
        <v>14.302617948590717</v>
      </c>
      <c r="AH238" s="308">
        <v>-138.55000000000001</v>
      </c>
      <c r="AI238" s="289">
        <v>-140.32</v>
      </c>
      <c r="AJ238" s="289">
        <f>AI238-AH238</f>
        <v>-1.7699999999999818</v>
      </c>
      <c r="AK238" s="307">
        <f t="shared" si="238"/>
        <v>-0.45945253266355307</v>
      </c>
      <c r="AL238" s="308">
        <v>9242.2000000000007</v>
      </c>
      <c r="AM238" s="289">
        <v>9238.5</v>
      </c>
      <c r="AN238" s="289">
        <f>AM238-AL238</f>
        <v>-3.7000000000007276</v>
      </c>
      <c r="AO238" s="307">
        <f t="shared" si="239"/>
        <v>-0.96043749765847353</v>
      </c>
      <c r="AP238" s="308">
        <v>8864.6310410000006</v>
      </c>
      <c r="AQ238" s="289">
        <v>9509.6429829999997</v>
      </c>
      <c r="AR238" s="289">
        <f>AQ238-AP238</f>
        <v>645.01194199999918</v>
      </c>
      <c r="AS238" s="307">
        <f t="shared" si="240"/>
        <v>167.4307177119432</v>
      </c>
      <c r="AT238" s="308">
        <v>393.8</v>
      </c>
      <c r="AU238" s="289">
        <v>395.7</v>
      </c>
      <c r="AV238" s="289">
        <f>AU238-AT238</f>
        <v>1.8999999999999773</v>
      </c>
      <c r="AW238" s="307">
        <f t="shared" si="241"/>
        <v>0.49319763393262678</v>
      </c>
      <c r="AX238" s="308">
        <v>44710</v>
      </c>
      <c r="AY238" s="289">
        <v>46061</v>
      </c>
      <c r="AZ238" s="289">
        <f>AY238-AX238</f>
        <v>1351</v>
      </c>
      <c r="BA238" s="307">
        <f t="shared" si="242"/>
        <v>350.68947549630883</v>
      </c>
      <c r="BB238" s="308">
        <v>125678</v>
      </c>
      <c r="BC238" s="289">
        <v>125680</v>
      </c>
      <c r="BD238" s="289">
        <f>BC238-BB238</f>
        <v>2</v>
      </c>
      <c r="BE238" s="307">
        <f t="shared" si="243"/>
        <v>0.51915540413961336</v>
      </c>
      <c r="BF238" s="308">
        <v>-125225</v>
      </c>
      <c r="BG238" s="289">
        <v>-125225</v>
      </c>
      <c r="BH238" s="289">
        <f>BG238-BF238</f>
        <v>0</v>
      </c>
      <c r="BI238" s="307">
        <f t="shared" si="244"/>
        <v>0</v>
      </c>
      <c r="BJ238" s="281">
        <v>24.901161999999999</v>
      </c>
      <c r="BK238" s="281">
        <v>22.781687000000002</v>
      </c>
      <c r="BL238" s="281">
        <f>BK238-BJ238</f>
        <v>-2.1194749999999978</v>
      </c>
      <c r="BM238" s="408">
        <v>-125225</v>
      </c>
      <c r="BN238" s="458">
        <v>-125225</v>
      </c>
      <c r="BO238" s="458">
        <f>BN238-BM238</f>
        <v>0</v>
      </c>
      <c r="BP238" s="408">
        <v>125678</v>
      </c>
      <c r="BQ238" s="458">
        <v>125680</v>
      </c>
      <c r="BR238" s="458">
        <f>BQ238-BP238</f>
        <v>2</v>
      </c>
      <c r="BS238" s="281"/>
      <c r="BT238" s="281"/>
      <c r="BU238" s="281"/>
      <c r="BV238" s="281"/>
      <c r="BW238" s="298" t="s">
        <v>855</v>
      </c>
      <c r="BX238" s="422">
        <v>1348.47221369</v>
      </c>
      <c r="BY238" s="422">
        <v>-1.37206926</v>
      </c>
      <c r="BZ238" s="422">
        <v>3369.1640642100001</v>
      </c>
      <c r="CA238" s="422">
        <v>3416.0344225700001</v>
      </c>
      <c r="CB238" s="422">
        <v>2.7050238599999998</v>
      </c>
      <c r="CC238" s="422">
        <v>2.74154374</v>
      </c>
      <c r="CD238" s="422">
        <v>-0.19548752999999999</v>
      </c>
      <c r="CE238" s="422">
        <v>3.85228423</v>
      </c>
      <c r="CF238" s="422">
        <v>3.85982972</v>
      </c>
      <c r="CG238" s="422">
        <v>-1.15194912</v>
      </c>
      <c r="CH238" s="422">
        <v>-1.3320916199999999</v>
      </c>
      <c r="CI238" s="422">
        <v>0.71727669000000005</v>
      </c>
    </row>
    <row r="239" spans="1:87" ht="15" customHeight="1" x14ac:dyDescent="0.2">
      <c r="A239" s="297">
        <f t="shared" si="246"/>
        <v>62009053</v>
      </c>
      <c r="B239" s="297" t="s">
        <v>839</v>
      </c>
      <c r="C239" s="297" t="s">
        <v>840</v>
      </c>
      <c r="D239" s="326" t="s">
        <v>852</v>
      </c>
      <c r="E239" s="283" t="s">
        <v>968</v>
      </c>
      <c r="F239" s="310" t="str">
        <f t="shared" si="223"/>
        <v>09/25/20</v>
      </c>
      <c r="G239" s="298" t="s">
        <v>969</v>
      </c>
      <c r="H239" s="298" t="s">
        <v>970</v>
      </c>
      <c r="I239" s="306"/>
      <c r="J239" s="300">
        <f>AVERAGE(J237:J238)</f>
        <v>-7.2532364999999999</v>
      </c>
      <c r="K239" s="300">
        <f>AVERAGE(K237:K238)</f>
        <v>22.090548500000001</v>
      </c>
      <c r="L239" s="300">
        <f>AVERAGE(L237:L238)</f>
        <v>29.282623000000001</v>
      </c>
      <c r="M239" s="300">
        <f>AVERAGE(M237:M238)</f>
        <v>8.8377109999999988</v>
      </c>
      <c r="N239" s="286"/>
      <c r="O239" s="284"/>
      <c r="P239" s="302"/>
      <c r="Q239" s="301"/>
      <c r="R239" s="287">
        <f>R238+R237</f>
        <v>7.4438918799999998</v>
      </c>
      <c r="S239" s="287">
        <f>S238</f>
        <v>7.4438918799999998</v>
      </c>
      <c r="T239" s="315">
        <f>T237</f>
        <v>26.726139</v>
      </c>
      <c r="U239" s="315">
        <f>U238</f>
        <v>22.781687000000002</v>
      </c>
      <c r="V239" s="290">
        <f>V237</f>
        <v>150848</v>
      </c>
      <c r="W239" s="290">
        <f>W238</f>
        <v>153363</v>
      </c>
      <c r="X239" s="290">
        <f>SUM(X237:X238)</f>
        <v>2515</v>
      </c>
      <c r="Y239" s="290">
        <f t="shared" si="235"/>
        <v>337.86089864593788</v>
      </c>
      <c r="Z239" s="290">
        <f>Z237</f>
        <v>4909.1000000000004</v>
      </c>
      <c r="AA239" s="290">
        <f>AA238</f>
        <v>5010.2</v>
      </c>
      <c r="AB239" s="290">
        <f>SUM(AB237:AB238)</f>
        <v>101.09999999999945</v>
      </c>
      <c r="AC239" s="290">
        <f t="shared" si="236"/>
        <v>13.581605110578186</v>
      </c>
      <c r="AD239" s="290">
        <f>AD237</f>
        <v>4207.2949529999996</v>
      </c>
      <c r="AE239" s="290">
        <f>AE238</f>
        <v>4296.5443020000002</v>
      </c>
      <c r="AF239" s="290">
        <f>SUM(AF237:AF238)</f>
        <v>89.234610000001339</v>
      </c>
      <c r="AG239" s="290">
        <f t="shared" si="237"/>
        <v>11.987628439332108</v>
      </c>
      <c r="AH239" s="290">
        <f>AH237</f>
        <v>-135.27000000000001</v>
      </c>
      <c r="AI239" s="290">
        <f>AI238</f>
        <v>-140.32</v>
      </c>
      <c r="AJ239" s="290">
        <f>SUM(AJ237:AJ238)</f>
        <v>-5.0499999999999829</v>
      </c>
      <c r="AK239" s="288">
        <f t="shared" si="238"/>
        <v>-0.67840856388150317</v>
      </c>
      <c r="AL239" s="290">
        <f>AL237</f>
        <v>9244.4</v>
      </c>
      <c r="AM239" s="290">
        <f>AM238</f>
        <v>9238.5</v>
      </c>
      <c r="AN239" s="290">
        <f>SUM(AN237:AN238)</f>
        <v>-5.8999999999996362</v>
      </c>
      <c r="AO239" s="288">
        <f t="shared" si="239"/>
        <v>-0.79259614394071998</v>
      </c>
      <c r="AP239" s="290">
        <f>AP237</f>
        <v>8497.7000000000007</v>
      </c>
      <c r="AQ239" s="290">
        <f>AQ238</f>
        <v>9509.6429829999997</v>
      </c>
      <c r="AR239" s="290">
        <f>SUM(AR237:AR238)</f>
        <v>1011.7582879999991</v>
      </c>
      <c r="AS239" s="288">
        <f t="shared" si="240"/>
        <v>135.91791824896833</v>
      </c>
      <c r="AT239" s="290">
        <f>AT237</f>
        <v>392.7</v>
      </c>
      <c r="AU239" s="290">
        <f>AU238</f>
        <v>395.7</v>
      </c>
      <c r="AV239" s="290">
        <f>SUM(AV237:AV238)</f>
        <v>3</v>
      </c>
      <c r="AW239" s="288">
        <f t="shared" si="241"/>
        <v>0.40301498844445871</v>
      </c>
      <c r="AX239" s="290">
        <f>AX237</f>
        <v>43547</v>
      </c>
      <c r="AY239" s="290">
        <f>AY238</f>
        <v>46061</v>
      </c>
      <c r="AZ239" s="290">
        <f>SUM(AZ237:AZ238)</f>
        <v>2514</v>
      </c>
      <c r="BA239" s="288">
        <f t="shared" si="242"/>
        <v>337.72656031645641</v>
      </c>
      <c r="BB239" s="290">
        <f>BB237</f>
        <v>125678</v>
      </c>
      <c r="BC239" s="290">
        <f>BC238</f>
        <v>125680</v>
      </c>
      <c r="BD239" s="290">
        <f>SUM(BD237:BD238)</f>
        <v>2</v>
      </c>
      <c r="BE239" s="288">
        <f t="shared" si="243"/>
        <v>0.26867665896297249</v>
      </c>
      <c r="BF239" s="290">
        <f>BF237</f>
        <v>-125225</v>
      </c>
      <c r="BG239" s="290">
        <f>BG238</f>
        <v>-125225</v>
      </c>
      <c r="BH239" s="290">
        <f>SUM(BH237:BH238)</f>
        <v>0</v>
      </c>
      <c r="BI239" s="288">
        <f t="shared" si="244"/>
        <v>0</v>
      </c>
      <c r="BJ239" s="282"/>
      <c r="BK239" s="282"/>
      <c r="BL239" s="282">
        <f>SUM(BL237:BL238)</f>
        <v>-3.9444519999999983</v>
      </c>
      <c r="BM239" s="459">
        <f>BM237</f>
        <v>-125225</v>
      </c>
      <c r="BN239" s="459">
        <f>BN238</f>
        <v>-125225</v>
      </c>
      <c r="BO239" s="459">
        <f>SUM(BO237:BO238)</f>
        <v>0</v>
      </c>
      <c r="BP239" s="459">
        <f>BP237</f>
        <v>125678</v>
      </c>
      <c r="BQ239" s="459">
        <f>BQ238</f>
        <v>125680</v>
      </c>
      <c r="BR239" s="459">
        <f>SUM(BR237:BR238)</f>
        <v>2</v>
      </c>
      <c r="BS239" s="282"/>
      <c r="BT239" s="282"/>
      <c r="BU239" s="282"/>
      <c r="BV239" s="282"/>
      <c r="BW239" s="298" t="s">
        <v>855</v>
      </c>
    </row>
    <row r="240" spans="1:87" ht="15" customHeight="1" x14ac:dyDescent="0.2">
      <c r="A240" s="297">
        <f t="shared" si="246"/>
        <v>62009053</v>
      </c>
      <c r="B240" s="297" t="s">
        <v>55</v>
      </c>
      <c r="C240" s="297" t="s">
        <v>631</v>
      </c>
      <c r="D240" s="326" t="s">
        <v>852</v>
      </c>
      <c r="E240" s="283" t="s">
        <v>968</v>
      </c>
      <c r="F240" s="310" t="str">
        <f t="shared" si="223"/>
        <v>09/25/20</v>
      </c>
      <c r="G240" s="298" t="s">
        <v>969</v>
      </c>
      <c r="H240" s="298" t="s">
        <v>970</v>
      </c>
      <c r="I240" s="306"/>
      <c r="J240" s="299">
        <v>-3.264011</v>
      </c>
      <c r="K240" s="299">
        <v>10.077971</v>
      </c>
      <c r="L240" s="299">
        <v>29.277712999999999</v>
      </c>
      <c r="M240" s="299">
        <v>9.2452690000000004</v>
      </c>
      <c r="N240" s="284">
        <v>3875</v>
      </c>
      <c r="O240" s="284">
        <v>28.39</v>
      </c>
      <c r="P240" s="284">
        <v>0.20169999999999999</v>
      </c>
      <c r="Q240" s="284">
        <v>1.932E-2</v>
      </c>
      <c r="R240" s="285">
        <v>10.276437570000001</v>
      </c>
      <c r="S240" s="285">
        <f>R240+R239</f>
        <v>17.720329450000001</v>
      </c>
      <c r="T240" s="314">
        <v>22.755747</v>
      </c>
      <c r="U240" s="314">
        <v>17.941531999999999</v>
      </c>
      <c r="V240" s="289">
        <v>153379.43131000001</v>
      </c>
      <c r="W240" s="289">
        <v>156400</v>
      </c>
      <c r="X240" s="289">
        <f>W240-V240</f>
        <v>3020.5686899999855</v>
      </c>
      <c r="Y240" s="289">
        <f t="shared" si="235"/>
        <v>293.93149809209473</v>
      </c>
      <c r="Z240" s="308">
        <v>5011.3999999999996</v>
      </c>
      <c r="AA240" s="289">
        <v>5066.7</v>
      </c>
      <c r="AB240" s="289">
        <f>AA240-Z240</f>
        <v>55.300000000000182</v>
      </c>
      <c r="AC240" s="289">
        <f t="shared" si="236"/>
        <v>5.3812422469667354</v>
      </c>
      <c r="AD240" s="308">
        <v>4297.6099999999997</v>
      </c>
      <c r="AE240" s="289">
        <v>4346.5639469999996</v>
      </c>
      <c r="AF240" s="289">
        <f>AE240-AD240</f>
        <v>48.953946999999971</v>
      </c>
      <c r="AG240" s="289">
        <f t="shared" si="237"/>
        <v>4.7637079159524314</v>
      </c>
      <c r="AH240" s="308">
        <v>-140.34</v>
      </c>
      <c r="AI240" s="289">
        <v>-141.18</v>
      </c>
      <c r="AJ240" s="289">
        <f>AI240-AH240</f>
        <v>-0.84000000000000341</v>
      </c>
      <c r="AK240" s="307">
        <f t="shared" si="238"/>
        <v>-8.1740388561520091E-2</v>
      </c>
      <c r="AL240" s="308">
        <v>9238.4</v>
      </c>
      <c r="AM240" s="289">
        <v>9235.2999999999993</v>
      </c>
      <c r="AN240" s="289">
        <f>AM240-AL240</f>
        <v>-3.1000000000003638</v>
      </c>
      <c r="AO240" s="307">
        <f t="shared" si="239"/>
        <v>-0.30166095778659641</v>
      </c>
      <c r="AP240" s="308">
        <v>9524.7999999999993</v>
      </c>
      <c r="AQ240" s="289">
        <v>10114.039423</v>
      </c>
      <c r="AR240" s="289">
        <f>AQ240-AP240</f>
        <v>589.2394230000009</v>
      </c>
      <c r="AS240" s="307">
        <f t="shared" si="240"/>
        <v>57.338880228316405</v>
      </c>
      <c r="AT240" s="308">
        <v>395.7</v>
      </c>
      <c r="AU240" s="289">
        <v>397.4</v>
      </c>
      <c r="AV240" s="289">
        <f>AU240-AT240</f>
        <v>1.6999999999999886</v>
      </c>
      <c r="AW240" s="307">
        <f t="shared" si="241"/>
        <v>0.16542697685069366</v>
      </c>
      <c r="AX240" s="308">
        <v>46077.379453000001</v>
      </c>
      <c r="AY240" s="289">
        <v>49098.394229999998</v>
      </c>
      <c r="AZ240" s="289">
        <f>AY240-AX240</f>
        <v>3021.0147769999967</v>
      </c>
      <c r="BA240" s="307">
        <f t="shared" si="242"/>
        <v>293.97490681199133</v>
      </c>
      <c r="BB240" s="308">
        <v>125680</v>
      </c>
      <c r="BC240" s="289">
        <v>125681</v>
      </c>
      <c r="BD240" s="289">
        <f>BC240-BB240</f>
        <v>1</v>
      </c>
      <c r="BE240" s="307">
        <f t="shared" si="243"/>
        <v>9.7309986382761629E-2</v>
      </c>
      <c r="BF240" s="308">
        <v>-125225</v>
      </c>
      <c r="BG240" s="289">
        <v>-125225</v>
      </c>
      <c r="BH240" s="289">
        <f>BG240-BF240</f>
        <v>0</v>
      </c>
      <c r="BI240" s="307">
        <f t="shared" si="244"/>
        <v>0</v>
      </c>
      <c r="BJ240" s="281">
        <v>22.755747</v>
      </c>
      <c r="BK240" s="281">
        <v>17.941531999999999</v>
      </c>
      <c r="BL240" s="281">
        <f>BK240-BJ240</f>
        <v>-4.8142150000000008</v>
      </c>
      <c r="BM240" s="408">
        <v>-125225</v>
      </c>
      <c r="BN240" s="458">
        <v>-125225</v>
      </c>
      <c r="BO240" s="458">
        <f>BN240-BM240</f>
        <v>0</v>
      </c>
      <c r="BP240" s="408">
        <v>125680</v>
      </c>
      <c r="BQ240" s="458">
        <v>125681</v>
      </c>
      <c r="BR240" s="458">
        <f>BQ240-BP240</f>
        <v>1</v>
      </c>
      <c r="BS240" s="281"/>
      <c r="BT240" s="281"/>
      <c r="BU240" s="281"/>
      <c r="BV240" s="281"/>
      <c r="BW240" s="298" t="s">
        <v>855</v>
      </c>
      <c r="BX240" s="422">
        <v>1772.97362352</v>
      </c>
      <c r="BY240" s="422">
        <v>1.2427864099999999</v>
      </c>
      <c r="BZ240" s="422">
        <v>1322.9444321200001</v>
      </c>
      <c r="CA240" s="422">
        <v>1306.7048814899999</v>
      </c>
      <c r="CB240" s="422">
        <v>7.3396888300000001</v>
      </c>
      <c r="CC240" s="422">
        <v>7.3153514700000004</v>
      </c>
      <c r="CD240" s="422">
        <v>0.19347627000000001</v>
      </c>
      <c r="CE240" s="422">
        <v>10.27652451</v>
      </c>
      <c r="CF240" s="422">
        <v>10.25668027</v>
      </c>
      <c r="CG240" s="422">
        <v>0.13875097</v>
      </c>
      <c r="CH240" s="422">
        <v>0.33268884999999998</v>
      </c>
      <c r="CI240" s="422">
        <v>0.28264819000000002</v>
      </c>
    </row>
    <row r="241" spans="1:87" ht="15" customHeight="1" x14ac:dyDescent="0.2">
      <c r="A241" s="297">
        <f t="shared" si="246"/>
        <v>62009053</v>
      </c>
      <c r="B241" s="297" t="s">
        <v>841</v>
      </c>
      <c r="C241" s="297" t="s">
        <v>810</v>
      </c>
      <c r="D241" s="326" t="s">
        <v>852</v>
      </c>
      <c r="E241" s="283" t="s">
        <v>968</v>
      </c>
      <c r="F241" s="310" t="str">
        <f t="shared" si="223"/>
        <v>09/25/20</v>
      </c>
      <c r="G241" s="298" t="s">
        <v>969</v>
      </c>
      <c r="H241" s="298" t="s">
        <v>970</v>
      </c>
      <c r="I241" s="306"/>
      <c r="J241" s="299">
        <v>-7.5662669999999999</v>
      </c>
      <c r="K241" s="299">
        <v>12.384900999999999</v>
      </c>
      <c r="L241" s="299">
        <v>29.271386</v>
      </c>
      <c r="M241" s="299">
        <v>8.3134049999999995</v>
      </c>
      <c r="N241" s="284">
        <v>3875</v>
      </c>
      <c r="O241" s="284">
        <v>28.39</v>
      </c>
      <c r="P241" s="284">
        <v>0.20169999999999999</v>
      </c>
      <c r="Q241" s="284">
        <v>1.932E-2</v>
      </c>
      <c r="R241" s="285">
        <v>3.59157437</v>
      </c>
      <c r="S241" s="285">
        <f>R241+R240</f>
        <v>13.868011940000001</v>
      </c>
      <c r="T241" s="314">
        <v>17.923221000000002</v>
      </c>
      <c r="U241" s="314">
        <v>16.124185000000001</v>
      </c>
      <c r="V241" s="289">
        <v>156411</v>
      </c>
      <c r="W241" s="289">
        <v>157537</v>
      </c>
      <c r="X241" s="289">
        <f>W241-V241</f>
        <v>1126</v>
      </c>
      <c r="Y241" s="289">
        <f t="shared" si="235"/>
        <v>313.51153672477062</v>
      </c>
      <c r="Z241" s="308">
        <v>5070.3</v>
      </c>
      <c r="AA241" s="289">
        <v>5108.2</v>
      </c>
      <c r="AB241" s="289">
        <f>AA241-Z241</f>
        <v>37.899999999999636</v>
      </c>
      <c r="AC241" s="289">
        <f t="shared" si="236"/>
        <v>10.552475348018378</v>
      </c>
      <c r="AD241" s="308">
        <v>4349.5737159999999</v>
      </c>
      <c r="AE241" s="289">
        <v>4383.1134000000002</v>
      </c>
      <c r="AF241" s="289">
        <f>AE241-AD241</f>
        <v>33.539684000000307</v>
      </c>
      <c r="AG241" s="289">
        <f t="shared" si="237"/>
        <v>9.3384350551539068</v>
      </c>
      <c r="AH241" s="308">
        <v>-137.973716</v>
      </c>
      <c r="AI241" s="289">
        <v>-141.04</v>
      </c>
      <c r="AJ241" s="289">
        <f>AI241-AH241</f>
        <v>-3.066283999999996</v>
      </c>
      <c r="AK241" s="307">
        <f t="shared" si="238"/>
        <v>-0.85374370237528896</v>
      </c>
      <c r="AL241" s="308">
        <v>9235</v>
      </c>
      <c r="AM241" s="289">
        <v>9232.9</v>
      </c>
      <c r="AN241" s="289">
        <f>AM241-AL241</f>
        <v>-2.1000000000003638</v>
      </c>
      <c r="AO241" s="307">
        <f t="shared" si="239"/>
        <v>-0.58470180028608565</v>
      </c>
      <c r="AP241" s="308">
        <v>10121.200000000001</v>
      </c>
      <c r="AQ241" s="289">
        <v>10446.233935</v>
      </c>
      <c r="AR241" s="289">
        <f>AQ241-AP241</f>
        <v>325.03393499999947</v>
      </c>
      <c r="AS241" s="307">
        <f t="shared" si="240"/>
        <v>90.499012832636808</v>
      </c>
      <c r="AT241" s="308">
        <v>397.5</v>
      </c>
      <c r="AU241" s="289">
        <v>398.6</v>
      </c>
      <c r="AV241" s="289">
        <f>AU241-AT241</f>
        <v>1.1000000000000227</v>
      </c>
      <c r="AW241" s="307">
        <f t="shared" si="241"/>
        <v>0.30627237157837905</v>
      </c>
      <c r="AX241" s="308">
        <v>49110</v>
      </c>
      <c r="AY241" s="289">
        <v>50236</v>
      </c>
      <c r="AZ241" s="289">
        <f>AY241-AX241</f>
        <v>1126</v>
      </c>
      <c r="BA241" s="307">
        <f t="shared" si="242"/>
        <v>313.51153672477062</v>
      </c>
      <c r="BB241" s="308">
        <v>125682</v>
      </c>
      <c r="BC241" s="289">
        <v>125682</v>
      </c>
      <c r="BD241" s="289">
        <f>BC241-BB241</f>
        <v>0</v>
      </c>
      <c r="BE241" s="307">
        <f t="shared" si="243"/>
        <v>0</v>
      </c>
      <c r="BF241" s="308">
        <v>-125225</v>
      </c>
      <c r="BG241" s="289">
        <v>-125225</v>
      </c>
      <c r="BH241" s="289">
        <f>BG241-BF241</f>
        <v>0</v>
      </c>
      <c r="BI241" s="307">
        <f t="shared" si="244"/>
        <v>0</v>
      </c>
      <c r="BJ241" s="281">
        <v>17.923221000000002</v>
      </c>
      <c r="BK241" s="281">
        <v>16.124185000000001</v>
      </c>
      <c r="BL241" s="281">
        <f>BK241-BJ241</f>
        <v>-1.799036000000001</v>
      </c>
      <c r="BM241" s="408">
        <v>-125225</v>
      </c>
      <c r="BN241" s="458">
        <v>-125225</v>
      </c>
      <c r="BO241" s="458">
        <f>BN241-BM241</f>
        <v>0</v>
      </c>
      <c r="BP241" s="408">
        <v>125682</v>
      </c>
      <c r="BQ241" s="458">
        <v>125682</v>
      </c>
      <c r="BR241" s="458">
        <f>BQ241-BP241</f>
        <v>0</v>
      </c>
      <c r="BS241" s="281"/>
      <c r="BT241" s="281"/>
      <c r="BU241" s="281"/>
      <c r="BV241" s="281"/>
      <c r="BW241" s="298" t="s">
        <v>855</v>
      </c>
      <c r="BX241" s="422">
        <v>2196.4469772100001</v>
      </c>
      <c r="BY241" s="422">
        <v>-1.18445376</v>
      </c>
      <c r="BZ241" s="422">
        <v>2024.3968507300001</v>
      </c>
      <c r="CA241" s="422">
        <v>2048.6623085699998</v>
      </c>
      <c r="CB241" s="422">
        <v>2.9417697</v>
      </c>
      <c r="CC241" s="422">
        <v>2.9656685299999999</v>
      </c>
      <c r="CD241" s="422">
        <v>1.545558E-2</v>
      </c>
      <c r="CE241" s="422">
        <v>3.5915346800000001</v>
      </c>
      <c r="CF241" s="422">
        <v>3.5909796799999998</v>
      </c>
      <c r="CG241" s="422">
        <v>-0.82797745</v>
      </c>
      <c r="CH241" s="422">
        <v>-0.80584962000000004</v>
      </c>
      <c r="CI241" s="422">
        <v>0.59138497000000001</v>
      </c>
    </row>
    <row r="242" spans="1:87" ht="15" customHeight="1" x14ac:dyDescent="0.2">
      <c r="A242" s="297">
        <f t="shared" si="246"/>
        <v>62009053</v>
      </c>
      <c r="B242" s="297" t="s">
        <v>842</v>
      </c>
      <c r="C242" s="297" t="s">
        <v>634</v>
      </c>
      <c r="D242" s="326" t="s">
        <v>852</v>
      </c>
      <c r="E242" s="283" t="s">
        <v>968</v>
      </c>
      <c r="F242" s="310" t="str">
        <f t="shared" si="223"/>
        <v>09/25/20</v>
      </c>
      <c r="G242" s="298" t="s">
        <v>969</v>
      </c>
      <c r="H242" s="298" t="s">
        <v>970</v>
      </c>
      <c r="I242" s="306"/>
      <c r="J242" s="299">
        <v>-7.2154319999999998</v>
      </c>
      <c r="K242" s="299">
        <v>10.957136999999999</v>
      </c>
      <c r="L242" s="299">
        <v>29.268208000000001</v>
      </c>
      <c r="M242" s="299">
        <v>9.0967009999999995</v>
      </c>
      <c r="N242" s="284">
        <v>3875</v>
      </c>
      <c r="O242" s="284">
        <v>28.39</v>
      </c>
      <c r="P242" s="284">
        <v>0.20169999999999999</v>
      </c>
      <c r="Q242" s="284">
        <v>1.932E-2</v>
      </c>
      <c r="R242" s="285">
        <v>3.8534935099999998</v>
      </c>
      <c r="S242" s="285">
        <f>R242+R241</f>
        <v>7.4450678799999999</v>
      </c>
      <c r="T242" s="314">
        <v>16.123650999999999</v>
      </c>
      <c r="U242" s="314">
        <v>14.015390999999999</v>
      </c>
      <c r="V242" s="289">
        <v>157537.342676</v>
      </c>
      <c r="W242" s="289">
        <v>158857</v>
      </c>
      <c r="X242" s="289">
        <f>W242-V242</f>
        <v>1319.6573239999998</v>
      </c>
      <c r="Y242" s="289">
        <f t="shared" si="235"/>
        <v>342.45738849058029</v>
      </c>
      <c r="Z242" s="308">
        <v>5108.2</v>
      </c>
      <c r="AA242" s="289">
        <v>5169.6000000000004</v>
      </c>
      <c r="AB242" s="289">
        <f>AA242-Z242</f>
        <v>61.400000000000546</v>
      </c>
      <c r="AC242" s="289">
        <f t="shared" si="236"/>
        <v>15.933593722336527</v>
      </c>
      <c r="AD242" s="308">
        <v>4383.13</v>
      </c>
      <c r="AE242" s="289">
        <v>4437.3429800000004</v>
      </c>
      <c r="AF242" s="289">
        <f>AE242-AD242</f>
        <v>54.212980000000243</v>
      </c>
      <c r="AG242" s="289">
        <f t="shared" si="237"/>
        <v>14.068527651419412</v>
      </c>
      <c r="AH242" s="308">
        <v>-141.04</v>
      </c>
      <c r="AI242" s="289">
        <v>-142.51</v>
      </c>
      <c r="AJ242" s="289">
        <f>AI242-AH242</f>
        <v>-1.4699999999999989</v>
      </c>
      <c r="AK242" s="307">
        <f t="shared" si="238"/>
        <v>-0.38147203211456787</v>
      </c>
      <c r="AL242" s="308">
        <v>9232.9</v>
      </c>
      <c r="AM242" s="289">
        <v>9229.2999999999993</v>
      </c>
      <c r="AN242" s="289">
        <f>AM242-AL242</f>
        <v>-3.6000000000003638</v>
      </c>
      <c r="AO242" s="307">
        <f t="shared" si="239"/>
        <v>-0.93421722150515929</v>
      </c>
      <c r="AP242" s="308">
        <v>10446.4</v>
      </c>
      <c r="AQ242" s="289">
        <v>11060.529736</v>
      </c>
      <c r="AR242" s="289">
        <f>AQ242-AP242</f>
        <v>614.12973600000078</v>
      </c>
      <c r="AS242" s="307">
        <f t="shared" si="240"/>
        <v>159.36960433598884</v>
      </c>
      <c r="AT242" s="308">
        <v>398.6</v>
      </c>
      <c r="AU242" s="289">
        <v>400.5</v>
      </c>
      <c r="AV242" s="289">
        <f>AU242-AT242</f>
        <v>1.8999999999999773</v>
      </c>
      <c r="AW242" s="307">
        <f t="shared" si="241"/>
        <v>0.49305908912766727</v>
      </c>
      <c r="AX242" s="308">
        <v>50236</v>
      </c>
      <c r="AY242" s="289">
        <v>51555</v>
      </c>
      <c r="AZ242" s="289">
        <f>AY242-AX242</f>
        <v>1319</v>
      </c>
      <c r="BA242" s="307">
        <f t="shared" si="242"/>
        <v>342.28680976810574</v>
      </c>
      <c r="BB242" s="308">
        <v>125682</v>
      </c>
      <c r="BC242" s="289">
        <v>125684</v>
      </c>
      <c r="BD242" s="289">
        <f>BC242-BB242</f>
        <v>2</v>
      </c>
      <c r="BE242" s="307">
        <f t="shared" si="243"/>
        <v>0.5190095675028138</v>
      </c>
      <c r="BF242" s="308">
        <v>-125225</v>
      </c>
      <c r="BG242" s="289">
        <v>-125225</v>
      </c>
      <c r="BH242" s="289">
        <f>BG242-BF242</f>
        <v>0</v>
      </c>
      <c r="BI242" s="307">
        <f t="shared" si="244"/>
        <v>0</v>
      </c>
      <c r="BJ242" s="281">
        <v>16.123650999999999</v>
      </c>
      <c r="BK242" s="281">
        <v>14.015390999999999</v>
      </c>
      <c r="BL242" s="281">
        <f>BK242-BJ242</f>
        <v>-2.1082599999999996</v>
      </c>
      <c r="BM242" s="408">
        <v>-125225</v>
      </c>
      <c r="BN242" s="458">
        <v>-125225</v>
      </c>
      <c r="BO242" s="458">
        <f>BN242-BM242</f>
        <v>0</v>
      </c>
      <c r="BP242" s="408">
        <v>125682</v>
      </c>
      <c r="BQ242" s="458">
        <v>125684</v>
      </c>
      <c r="BR242" s="458">
        <f>BQ242-BP242</f>
        <v>2</v>
      </c>
      <c r="BS242" s="281"/>
      <c r="BT242" s="281"/>
      <c r="BU242" s="281"/>
      <c r="BV242" s="281"/>
      <c r="BW242" s="298" t="s">
        <v>855</v>
      </c>
      <c r="BX242" s="422">
        <v>1348.7778451500001</v>
      </c>
      <c r="BY242" s="422">
        <v>-1.4692518400000001</v>
      </c>
      <c r="BZ242" s="422">
        <v>3365.8693690800001</v>
      </c>
      <c r="CA242" s="422">
        <v>3416.05989185</v>
      </c>
      <c r="CB242" s="422">
        <v>2.7060898799999999</v>
      </c>
      <c r="CC242" s="422">
        <v>2.74155624</v>
      </c>
      <c r="CD242" s="422">
        <v>-0.16651473</v>
      </c>
      <c r="CE242" s="422">
        <v>3.8534024800000002</v>
      </c>
      <c r="CF242" s="422">
        <v>3.8598296599999999</v>
      </c>
      <c r="CG242" s="422">
        <v>-1.14191584</v>
      </c>
      <c r="CH242" s="422">
        <v>-1.2936580799999999</v>
      </c>
      <c r="CI242" s="422">
        <v>0.71728069000000005</v>
      </c>
    </row>
    <row r="243" spans="1:87" ht="15" customHeight="1" x14ac:dyDescent="0.2">
      <c r="A243" s="297">
        <f t="shared" si="246"/>
        <v>62009053</v>
      </c>
      <c r="B243" s="297" t="s">
        <v>843</v>
      </c>
      <c r="C243" s="297" t="s">
        <v>635</v>
      </c>
      <c r="D243" s="326" t="s">
        <v>852</v>
      </c>
      <c r="E243" s="283" t="s">
        <v>968</v>
      </c>
      <c r="F243" s="310" t="str">
        <f t="shared" si="223"/>
        <v>09/25/20</v>
      </c>
      <c r="G243" s="298" t="s">
        <v>969</v>
      </c>
      <c r="H243" s="298" t="s">
        <v>970</v>
      </c>
      <c r="I243" s="306"/>
      <c r="J243" s="300">
        <f>AVERAGE(J241:J242)</f>
        <v>-7.3908494999999998</v>
      </c>
      <c r="K243" s="300">
        <f>AVERAGE(K241:K242)</f>
        <v>11.671018999999999</v>
      </c>
      <c r="L243" s="300">
        <f>AVERAGE(L241:L242)</f>
        <v>29.269797000000001</v>
      </c>
      <c r="M243" s="300">
        <f>AVERAGE(M241:M242)</f>
        <v>8.7050529999999995</v>
      </c>
      <c r="N243" s="286"/>
      <c r="O243" s="284"/>
      <c r="P243" s="302"/>
      <c r="Q243" s="301"/>
      <c r="R243" s="287">
        <f>R242+R241</f>
        <v>7.4450678799999999</v>
      </c>
      <c r="S243" s="287">
        <f>S242</f>
        <v>7.4450678799999999</v>
      </c>
      <c r="T243" s="315">
        <f>T241</f>
        <v>17.923221000000002</v>
      </c>
      <c r="U243" s="315">
        <f>U242</f>
        <v>14.015390999999999</v>
      </c>
      <c r="V243" s="290">
        <f>V241</f>
        <v>156411</v>
      </c>
      <c r="W243" s="290">
        <f>W242</f>
        <v>158857</v>
      </c>
      <c r="X243" s="290">
        <f>SUM(X241:X242)</f>
        <v>2445.6573239999998</v>
      </c>
      <c r="Y243" s="290">
        <f t="shared" si="235"/>
        <v>328.49362335162482</v>
      </c>
      <c r="Z243" s="290">
        <f>Z241</f>
        <v>5070.3</v>
      </c>
      <c r="AA243" s="290">
        <f>AA242</f>
        <v>5169.6000000000004</v>
      </c>
      <c r="AB243" s="290">
        <f>SUM(AB241:AB242)</f>
        <v>99.300000000000182</v>
      </c>
      <c r="AC243" s="290">
        <f t="shared" si="236"/>
        <v>13.337689004388256</v>
      </c>
      <c r="AD243" s="290">
        <f>AD241</f>
        <v>4349.5737159999999</v>
      </c>
      <c r="AE243" s="290">
        <f>AE242</f>
        <v>4437.3429800000004</v>
      </c>
      <c r="AF243" s="290">
        <f>SUM(AF241:AF242)</f>
        <v>87.75266400000055</v>
      </c>
      <c r="AG243" s="290">
        <f t="shared" si="237"/>
        <v>11.786684206833659</v>
      </c>
      <c r="AH243" s="290">
        <f>AH241</f>
        <v>-137.973716</v>
      </c>
      <c r="AI243" s="290">
        <f>AI242</f>
        <v>-142.51</v>
      </c>
      <c r="AJ243" s="290">
        <f>SUM(AJ241:AJ242)</f>
        <v>-4.5362839999999949</v>
      </c>
      <c r="AK243" s="288">
        <f t="shared" si="238"/>
        <v>-0.60930055616900503</v>
      </c>
      <c r="AL243" s="290">
        <f>AL241</f>
        <v>9235</v>
      </c>
      <c r="AM243" s="290">
        <f>AM242</f>
        <v>9229.2999999999993</v>
      </c>
      <c r="AN243" s="290">
        <f>SUM(AN241:AN242)</f>
        <v>-5.7000000000007276</v>
      </c>
      <c r="AO243" s="288">
        <f t="shared" si="239"/>
        <v>-0.76560752593174852</v>
      </c>
      <c r="AP243" s="290">
        <f>AP241</f>
        <v>10121.200000000001</v>
      </c>
      <c r="AQ243" s="290">
        <f>AQ242</f>
        <v>11060.529736</v>
      </c>
      <c r="AR243" s="290">
        <f>SUM(AR241:AR242)</f>
        <v>939.16367100000025</v>
      </c>
      <c r="AS243" s="288">
        <f t="shared" si="240"/>
        <v>126.14574992968369</v>
      </c>
      <c r="AT243" s="290">
        <f>AT241</f>
        <v>397.5</v>
      </c>
      <c r="AU243" s="290">
        <f>AU242</f>
        <v>400.5</v>
      </c>
      <c r="AV243" s="290">
        <f>SUM(AV241:AV242)</f>
        <v>3</v>
      </c>
      <c r="AW243" s="288">
        <f t="shared" si="241"/>
        <v>0.40295132943771095</v>
      </c>
      <c r="AX243" s="290">
        <f>AX241</f>
        <v>49110</v>
      </c>
      <c r="AY243" s="290">
        <f>AY242</f>
        <v>51555</v>
      </c>
      <c r="AZ243" s="290">
        <f>SUM(AZ241:AZ242)</f>
        <v>2445</v>
      </c>
      <c r="BA243" s="288">
        <f t="shared" si="242"/>
        <v>328.40533349173438</v>
      </c>
      <c r="BB243" s="290">
        <f>BB241</f>
        <v>125682</v>
      </c>
      <c r="BC243" s="290">
        <f>BC242</f>
        <v>125684</v>
      </c>
      <c r="BD243" s="290">
        <f>SUM(BD241:BD242)</f>
        <v>2</v>
      </c>
      <c r="BE243" s="288">
        <f t="shared" si="243"/>
        <v>0.26863421962514061</v>
      </c>
      <c r="BF243" s="290">
        <f>BF241</f>
        <v>-125225</v>
      </c>
      <c r="BG243" s="290">
        <f>BG242</f>
        <v>-125225</v>
      </c>
      <c r="BH243" s="290">
        <f>SUM(BH241:BH242)</f>
        <v>0</v>
      </c>
      <c r="BI243" s="288">
        <f t="shared" si="244"/>
        <v>0</v>
      </c>
      <c r="BJ243" s="282"/>
      <c r="BK243" s="282"/>
      <c r="BL243" s="282">
        <f>SUM(BL241:BL242)</f>
        <v>-3.9072960000000005</v>
      </c>
      <c r="BM243" s="459">
        <f>BM241</f>
        <v>-125225</v>
      </c>
      <c r="BN243" s="459">
        <f>BN242</f>
        <v>-125225</v>
      </c>
      <c r="BO243" s="459">
        <f>SUM(BO241:BO242)</f>
        <v>0</v>
      </c>
      <c r="BP243" s="459">
        <f>BP241</f>
        <v>125682</v>
      </c>
      <c r="BQ243" s="459">
        <f>BQ242</f>
        <v>125684</v>
      </c>
      <c r="BR243" s="459">
        <f>SUM(BR241:BR242)</f>
        <v>2</v>
      </c>
      <c r="BS243" s="282"/>
      <c r="BT243" s="282"/>
      <c r="BU243" s="282"/>
      <c r="BV243" s="282"/>
      <c r="BW243" s="298" t="s">
        <v>855</v>
      </c>
    </row>
    <row r="244" spans="1:87" ht="15" customHeight="1" x14ac:dyDescent="0.2">
      <c r="A244" s="297">
        <f>A243+1</f>
        <v>62009054</v>
      </c>
      <c r="B244" s="297" t="s">
        <v>833</v>
      </c>
      <c r="C244" s="297" t="s">
        <v>626</v>
      </c>
      <c r="D244" s="326" t="s">
        <v>943</v>
      </c>
      <c r="E244" s="283" t="s">
        <v>971</v>
      </c>
      <c r="F244" s="310" t="str">
        <f t="shared" si="223"/>
        <v>09/25/20</v>
      </c>
      <c r="G244" s="298" t="s">
        <v>972</v>
      </c>
      <c r="H244" s="298" t="s">
        <v>973</v>
      </c>
      <c r="I244" s="306"/>
      <c r="J244" s="299">
        <v>-0.27164899999999997</v>
      </c>
      <c r="K244" s="299">
        <v>8.1694960000000005</v>
      </c>
      <c r="L244" s="299">
        <v>29.258251999999999</v>
      </c>
      <c r="M244" s="299">
        <v>10.453747</v>
      </c>
      <c r="N244" s="284">
        <v>3875</v>
      </c>
      <c r="O244" s="284">
        <v>28.39</v>
      </c>
      <c r="P244" s="284">
        <v>0.20169999999999999</v>
      </c>
      <c r="Q244" s="284">
        <v>1.932E-2</v>
      </c>
      <c r="R244" s="285">
        <v>19.608482299999999</v>
      </c>
      <c r="S244" s="285">
        <f>R244+R243</f>
        <v>27.053550179999998</v>
      </c>
      <c r="T244" s="314">
        <v>14.004709999999999</v>
      </c>
      <c r="U244" s="314">
        <v>2.5116309999999999</v>
      </c>
      <c r="V244" s="289">
        <v>158863</v>
      </c>
      <c r="W244" s="289">
        <v>165597</v>
      </c>
      <c r="X244" s="289">
        <f>W244-V244</f>
        <v>6734</v>
      </c>
      <c r="Y244" s="289">
        <f t="shared" si="235"/>
        <v>343.42280534378739</v>
      </c>
      <c r="Z244" s="308">
        <v>5171.2</v>
      </c>
      <c r="AA244" s="289">
        <v>5258.5</v>
      </c>
      <c r="AB244" s="289">
        <f>AA244-Z244</f>
        <v>87.300000000000182</v>
      </c>
      <c r="AC244" s="289">
        <f t="shared" si="236"/>
        <v>4.4521548717720076</v>
      </c>
      <c r="AD244" s="308">
        <v>4438.6733850000001</v>
      </c>
      <c r="AE244" s="289">
        <v>4516.38</v>
      </c>
      <c r="AF244" s="289">
        <f>AE244-AD244</f>
        <v>77.706615000000056</v>
      </c>
      <c r="AG244" s="289">
        <f t="shared" si="237"/>
        <v>3.9629081848930277</v>
      </c>
      <c r="AH244" s="308">
        <v>-139.31</v>
      </c>
      <c r="AI244" s="289">
        <v>-142.91999999999999</v>
      </c>
      <c r="AJ244" s="289">
        <f>AI244-AH244</f>
        <v>-3.6099999999999852</v>
      </c>
      <c r="AK244" s="307">
        <f t="shared" si="238"/>
        <v>-0.18410399870672223</v>
      </c>
      <c r="AL244" s="308">
        <v>9229.2000000000007</v>
      </c>
      <c r="AM244" s="289">
        <v>9224.7000000000007</v>
      </c>
      <c r="AN244" s="289">
        <f>AM244-AL244</f>
        <v>-4.5</v>
      </c>
      <c r="AO244" s="307">
        <f t="shared" si="239"/>
        <v>-0.22949251916350508</v>
      </c>
      <c r="AP244" s="308">
        <v>11064.8</v>
      </c>
      <c r="AQ244" s="289">
        <v>11859.8</v>
      </c>
      <c r="AR244" s="289">
        <f>AQ244-AP244</f>
        <v>795</v>
      </c>
      <c r="AS244" s="307">
        <f t="shared" si="240"/>
        <v>40.543678385552568</v>
      </c>
      <c r="AT244" s="308">
        <v>400.5</v>
      </c>
      <c r="AU244" s="289">
        <v>402.9</v>
      </c>
      <c r="AV244" s="289">
        <f>AU244-AT244</f>
        <v>2.3999999999999773</v>
      </c>
      <c r="AW244" s="307">
        <f t="shared" si="241"/>
        <v>0.12239601022053488</v>
      </c>
      <c r="AX244" s="308">
        <v>51561</v>
      </c>
      <c r="AY244" s="289">
        <v>58297</v>
      </c>
      <c r="AZ244" s="289">
        <f>AY244-AX244</f>
        <v>6736</v>
      </c>
      <c r="BA244" s="307">
        <f t="shared" si="242"/>
        <v>343.52480201897117</v>
      </c>
      <c r="BB244" s="308">
        <v>125684</v>
      </c>
      <c r="BC244" s="289">
        <v>125686</v>
      </c>
      <c r="BD244" s="289">
        <f>BC244-BB244</f>
        <v>2</v>
      </c>
      <c r="BE244" s="307">
        <f t="shared" si="243"/>
        <v>0.10199667518378004</v>
      </c>
      <c r="BF244" s="308">
        <v>-125225</v>
      </c>
      <c r="BG244" s="289">
        <v>-125225</v>
      </c>
      <c r="BH244" s="289">
        <f>BG244-BF244</f>
        <v>0</v>
      </c>
      <c r="BI244" s="307">
        <f t="shared" si="244"/>
        <v>0</v>
      </c>
      <c r="BJ244" s="281">
        <v>14.004709999999999</v>
      </c>
      <c r="BK244" s="281">
        <v>2.5116309999999999</v>
      </c>
      <c r="BL244" s="281">
        <f>BK244-BJ244</f>
        <v>-11.493079</v>
      </c>
      <c r="BM244" s="408">
        <v>-125225</v>
      </c>
      <c r="BN244" s="458">
        <v>-125225</v>
      </c>
      <c r="BO244" s="458">
        <f>BN244-BM244</f>
        <v>0</v>
      </c>
      <c r="BP244" s="408">
        <v>125684</v>
      </c>
      <c r="BQ244" s="458">
        <v>125686</v>
      </c>
      <c r="BR244" s="458">
        <f>BQ244-BP244</f>
        <v>2</v>
      </c>
      <c r="BS244" s="281"/>
      <c r="BT244" s="281"/>
      <c r="BU244" s="281"/>
      <c r="BV244" s="281"/>
      <c r="BW244" s="298" t="s">
        <v>855</v>
      </c>
      <c r="BX244" s="422">
        <v>103.11197683</v>
      </c>
      <c r="BY244" s="422">
        <v>24.208202150000002</v>
      </c>
      <c r="BZ244" s="422">
        <v>721.83845095000004</v>
      </c>
      <c r="CA244" s="422">
        <v>581.15200000000004</v>
      </c>
      <c r="CB244" s="422">
        <v>17.386117429999999</v>
      </c>
      <c r="CC244" s="422">
        <v>19.29209487</v>
      </c>
      <c r="CD244" s="422">
        <v>-7.2692340299999998</v>
      </c>
      <c r="CE244" s="422">
        <v>19.60862689</v>
      </c>
      <c r="CF244" s="422">
        <v>21.145761799999999</v>
      </c>
      <c r="CG244" s="422">
        <v>-2.8965059000000002</v>
      </c>
      <c r="CH244" s="422">
        <v>-9.8795773899999997</v>
      </c>
      <c r="CI244" s="422">
        <v>3.9040999999999999E-2</v>
      </c>
    </row>
    <row r="245" spans="1:87" ht="15.75" customHeight="1" x14ac:dyDescent="0.2">
      <c r="A245" s="297">
        <f>A244+1</f>
        <v>62009055</v>
      </c>
      <c r="B245" s="339" t="s">
        <v>616</v>
      </c>
      <c r="C245" s="339" t="s">
        <v>626</v>
      </c>
      <c r="D245" s="326" t="s">
        <v>858</v>
      </c>
      <c r="E245" s="283" t="s">
        <v>975</v>
      </c>
      <c r="F245" s="310" t="str">
        <f t="shared" si="223"/>
        <v>09/25/20</v>
      </c>
      <c r="G245" s="298" t="s">
        <v>976</v>
      </c>
      <c r="H245" s="298" t="s">
        <v>977</v>
      </c>
      <c r="I245" s="306"/>
      <c r="J245" s="299">
        <v>-342.95312000000001</v>
      </c>
      <c r="K245" s="299">
        <v>434.58696700000002</v>
      </c>
      <c r="L245" s="299">
        <v>1478.613973</v>
      </c>
      <c r="M245" s="299">
        <v>-330.09672599999999</v>
      </c>
      <c r="N245" s="284">
        <v>3875</v>
      </c>
      <c r="O245" s="284">
        <v>28.39</v>
      </c>
      <c r="P245" s="284">
        <v>0.20169999999999999</v>
      </c>
      <c r="Q245" s="284">
        <v>1.932E-2</v>
      </c>
      <c r="R245" s="285">
        <v>1.1515539999999999E-2</v>
      </c>
      <c r="S245" s="285">
        <f>R245+R244</f>
        <v>19.61999784</v>
      </c>
      <c r="T245" s="314" t="s">
        <v>1011</v>
      </c>
      <c r="U245" s="314" t="s">
        <v>1012</v>
      </c>
      <c r="V245" s="289">
        <v>0</v>
      </c>
      <c r="W245" s="289">
        <v>-147</v>
      </c>
      <c r="X245" s="289">
        <f>W245-V245</f>
        <v>-147</v>
      </c>
      <c r="Y245" s="289">
        <f t="shared" si="235"/>
        <v>-12765.358810789594</v>
      </c>
      <c r="Z245" s="308">
        <v>1.4</v>
      </c>
      <c r="AA245" s="289">
        <v>601.6</v>
      </c>
      <c r="AB245" s="289">
        <f>AA245-Z245</f>
        <v>600.20000000000005</v>
      </c>
      <c r="AC245" s="289">
        <f t="shared" si="236"/>
        <v>52120.873185278331</v>
      </c>
      <c r="AD245" s="308">
        <v>1.22</v>
      </c>
      <c r="AE245" s="289">
        <v>407.89</v>
      </c>
      <c r="AF245" s="289">
        <f>AE245-AD245</f>
        <v>406.66999999999996</v>
      </c>
      <c r="AG245" s="289">
        <f t="shared" si="237"/>
        <v>35314.8875345837</v>
      </c>
      <c r="AH245" s="308">
        <v>0.362952</v>
      </c>
      <c r="AI245" s="289">
        <v>16.88</v>
      </c>
      <c r="AJ245" s="289">
        <f>AI245-AH245</f>
        <v>16.517047999999999</v>
      </c>
      <c r="AK245" s="307">
        <f t="shared" si="238"/>
        <v>1434.3268313947935</v>
      </c>
      <c r="AL245" s="308">
        <v>0</v>
      </c>
      <c r="AM245" s="289">
        <v>-0.4</v>
      </c>
      <c r="AN245" s="289">
        <f>AM245-AL245</f>
        <v>-0.4</v>
      </c>
      <c r="AO245" s="307">
        <f t="shared" si="239"/>
        <v>-34.735670233441077</v>
      </c>
      <c r="AP245" s="308">
        <v>0</v>
      </c>
      <c r="AQ245" s="289">
        <v>-0.3</v>
      </c>
      <c r="AR245" s="289">
        <f>AQ245-AP245</f>
        <v>-0.3</v>
      </c>
      <c r="AS245" s="307">
        <f t="shared" si="240"/>
        <v>-26.051752675080802</v>
      </c>
      <c r="AT245" s="308">
        <v>0.1</v>
      </c>
      <c r="AU245" s="289">
        <v>384.2</v>
      </c>
      <c r="AV245" s="289">
        <f>AU245-AT245</f>
        <v>384.09999999999997</v>
      </c>
      <c r="AW245" s="307">
        <f t="shared" si="241"/>
        <v>33354.927341661787</v>
      </c>
      <c r="AX245" s="308">
        <v>-46</v>
      </c>
      <c r="AY245" s="289">
        <v>-64967</v>
      </c>
      <c r="AZ245" s="289">
        <f>AY245-AX245</f>
        <v>-64921</v>
      </c>
      <c r="BA245" s="307">
        <f t="shared" si="242"/>
        <v>-5637686.1180630699</v>
      </c>
      <c r="BB245" s="308">
        <v>50.1</v>
      </c>
      <c r="BC245" s="289">
        <v>69891.3</v>
      </c>
      <c r="BD245" s="289">
        <f>BC245-BB245</f>
        <v>69841.2</v>
      </c>
      <c r="BE245" s="307">
        <f t="shared" si="243"/>
        <v>6064952.2297695111</v>
      </c>
      <c r="BF245" s="308">
        <v>-49.9</v>
      </c>
      <c r="BG245" s="289">
        <v>-69774.7</v>
      </c>
      <c r="BH245" s="289">
        <f>BG245-BF245</f>
        <v>-69724.800000000003</v>
      </c>
      <c r="BI245" s="307">
        <f t="shared" si="244"/>
        <v>-6054844.1497315811</v>
      </c>
      <c r="BJ245" s="281" t="s">
        <v>1011</v>
      </c>
      <c r="BK245" s="281" t="s">
        <v>1013</v>
      </c>
      <c r="BL245" s="281" t="e">
        <f>BK245-BJ245</f>
        <v>#VALUE!</v>
      </c>
      <c r="BM245" s="408">
        <v>-49.9</v>
      </c>
      <c r="BN245" s="458">
        <v>-69774.7</v>
      </c>
      <c r="BO245" s="458">
        <f>BN245-BM245</f>
        <v>-69724.800000000003</v>
      </c>
      <c r="BP245" s="408">
        <v>50.1</v>
      </c>
      <c r="BQ245" s="458">
        <v>69891.3</v>
      </c>
      <c r="BR245" s="458">
        <f>BQ245-BP245</f>
        <v>69841.2</v>
      </c>
      <c r="BS245" s="281"/>
      <c r="BT245" s="281"/>
      <c r="BU245" s="281"/>
      <c r="BV245" s="281"/>
      <c r="BW245" s="298" t="s">
        <v>855</v>
      </c>
      <c r="BX245" s="422">
        <v>0</v>
      </c>
      <c r="BY245" s="422" t="s">
        <v>777</v>
      </c>
      <c r="BZ245" s="422">
        <v>0</v>
      </c>
      <c r="CA245" s="422">
        <v>0</v>
      </c>
      <c r="CB245" s="422">
        <v>0</v>
      </c>
      <c r="CC245" s="422">
        <v>0</v>
      </c>
      <c r="CD245" s="422" t="s">
        <v>777</v>
      </c>
      <c r="CE245" s="422">
        <v>0</v>
      </c>
      <c r="CF245" s="422">
        <v>0</v>
      </c>
      <c r="CG245" s="422" t="s">
        <v>777</v>
      </c>
      <c r="CH245" s="422" t="s">
        <v>777</v>
      </c>
      <c r="CI245" s="422" t="s">
        <v>777</v>
      </c>
    </row>
    <row r="246" spans="1:87" ht="15" customHeight="1" x14ac:dyDescent="0.2">
      <c r="A246" s="457" t="s">
        <v>978</v>
      </c>
      <c r="B246" s="334"/>
      <c r="C246" s="334"/>
      <c r="D246" s="335"/>
      <c r="E246" s="334"/>
      <c r="F246" s="334"/>
      <c r="G246" s="335"/>
      <c r="H246" s="335"/>
      <c r="I246" s="335"/>
      <c r="J246" s="335"/>
      <c r="K246" s="335"/>
      <c r="L246" s="335"/>
      <c r="M246" s="335"/>
      <c r="N246" s="335"/>
      <c r="O246" s="335"/>
      <c r="P246" s="336"/>
      <c r="Q246" s="337"/>
      <c r="R246" s="334"/>
      <c r="S246" s="334"/>
      <c r="T246" s="334"/>
      <c r="U246" s="334"/>
      <c r="V246" s="501"/>
      <c r="W246" s="341"/>
      <c r="X246" s="334"/>
      <c r="Y246" s="334"/>
      <c r="Z246" s="341"/>
      <c r="AA246" s="341"/>
      <c r="AB246" s="334"/>
      <c r="AC246" s="334"/>
      <c r="AD246" s="341"/>
      <c r="AE246" s="341"/>
      <c r="AF246" s="334"/>
      <c r="AG246" s="334"/>
      <c r="AH246" s="334"/>
      <c r="AI246" s="334"/>
      <c r="AJ246" s="334"/>
      <c r="AK246" s="334"/>
      <c r="AL246" s="341"/>
      <c r="AM246" s="341"/>
      <c r="AN246" s="334"/>
      <c r="AO246" s="334"/>
      <c r="AP246" s="334"/>
      <c r="AQ246" s="334"/>
      <c r="AR246" s="334"/>
      <c r="AS246" s="334"/>
      <c r="AT246" s="334"/>
      <c r="AU246" s="334"/>
      <c r="AV246" s="334"/>
      <c r="AW246" s="334"/>
      <c r="AX246" s="334"/>
      <c r="AY246" s="334"/>
      <c r="AZ246" s="334"/>
      <c r="BA246" s="334"/>
      <c r="BB246" s="334"/>
      <c r="BC246" s="334"/>
      <c r="BD246" s="334"/>
      <c r="BE246" s="334"/>
      <c r="BF246" s="334"/>
      <c r="BG246" s="334"/>
      <c r="BH246" s="334"/>
      <c r="BI246" s="334"/>
      <c r="BJ246" s="334"/>
      <c r="BK246" s="334"/>
      <c r="BL246" s="338"/>
    </row>
    <row r="247" spans="1:87" ht="15" customHeight="1" x14ac:dyDescent="0.2">
      <c r="A247" s="297">
        <v>62009056</v>
      </c>
      <c r="B247" s="297" t="s">
        <v>833</v>
      </c>
      <c r="C247" s="297" t="s">
        <v>626</v>
      </c>
      <c r="D247" s="326" t="s">
        <v>986</v>
      </c>
      <c r="E247" s="283" t="s">
        <v>987</v>
      </c>
      <c r="F247" s="310" t="str">
        <f t="shared" si="223"/>
        <v>09/28/20</v>
      </c>
      <c r="G247" s="298" t="s">
        <v>988</v>
      </c>
      <c r="H247" s="298" t="s">
        <v>775</v>
      </c>
      <c r="I247" s="306"/>
      <c r="J247" s="299">
        <v>-2.367982</v>
      </c>
      <c r="K247" s="299">
        <v>-20.086441000000001</v>
      </c>
      <c r="L247" s="299">
        <v>-91.379249000000002</v>
      </c>
      <c r="M247" s="299">
        <v>-34.575723000000004</v>
      </c>
      <c r="N247" s="284">
        <v>3875</v>
      </c>
      <c r="O247" s="284">
        <v>28.39</v>
      </c>
      <c r="P247" s="284">
        <v>0.20169999999999999</v>
      </c>
      <c r="Q247" s="284">
        <v>1.932E-2</v>
      </c>
      <c r="R247" s="285">
        <v>178.99226486000001</v>
      </c>
      <c r="S247" s="285">
        <f>R247+R246</f>
        <v>178.99226486000001</v>
      </c>
      <c r="T247" s="314">
        <v>97.002988999999999</v>
      </c>
      <c r="U247" s="314">
        <v>2.2415470000000002</v>
      </c>
      <c r="V247" s="289">
        <v>-107</v>
      </c>
      <c r="W247" s="289">
        <v>62364</v>
      </c>
      <c r="X247" s="289">
        <f>W247-V247</f>
        <v>62471</v>
      </c>
      <c r="Y247" s="289">
        <f>X247/$R247</f>
        <v>349.01508201408654</v>
      </c>
      <c r="Z247" s="308">
        <v>452.6</v>
      </c>
      <c r="AA247" s="289">
        <v>1615.1</v>
      </c>
      <c r="AB247" s="289">
        <f>AA247-Z247</f>
        <v>1162.5</v>
      </c>
      <c r="AC247" s="289">
        <f>AB247/$R247</f>
        <v>6.4946940635074766</v>
      </c>
      <c r="AD247" s="308">
        <v>402.47220600000003</v>
      </c>
      <c r="AE247" s="289">
        <v>1443.88</v>
      </c>
      <c r="AF247" s="289">
        <f>AE247-AD247</f>
        <v>1041.4077940000002</v>
      </c>
      <c r="AG247" s="289">
        <f>AF247/$R247</f>
        <v>5.8181720579631993</v>
      </c>
      <c r="AH247" s="308">
        <v>-26.322206000000001</v>
      </c>
      <c r="AI247" s="289">
        <v>-102.49</v>
      </c>
      <c r="AJ247" s="289">
        <f>AI247-AH247</f>
        <v>-76.167793999999986</v>
      </c>
      <c r="AK247" s="307">
        <f>AJ247/$R247</f>
        <v>-0.42553679098689062</v>
      </c>
      <c r="AL247" s="308">
        <v>-14.5</v>
      </c>
      <c r="AM247" s="289">
        <v>-59.8</v>
      </c>
      <c r="AN247" s="289">
        <f>AM247-AL247</f>
        <v>-45.3</v>
      </c>
      <c r="AO247" s="307">
        <f>AN247/$R247</f>
        <v>-0.25308356221667844</v>
      </c>
      <c r="AP247" s="308">
        <v>1973.6</v>
      </c>
      <c r="AQ247" s="289">
        <v>9851.2000000000007</v>
      </c>
      <c r="AR247" s="289">
        <f>AQ247-AP247</f>
        <v>7877.6</v>
      </c>
      <c r="AS247" s="307">
        <f>AR247/$R247</f>
        <v>44.010840391128177</v>
      </c>
      <c r="AT247" s="308">
        <v>146.4</v>
      </c>
      <c r="AU247" s="289">
        <v>170.7</v>
      </c>
      <c r="AV247" s="289">
        <f>AU247-AT247</f>
        <v>24.299999999999983</v>
      </c>
      <c r="AW247" s="307">
        <f>AV247/$R247</f>
        <v>0.13576005655331749</v>
      </c>
      <c r="AX247" s="308">
        <v>-336</v>
      </c>
      <c r="AY247" s="289">
        <v>62161</v>
      </c>
      <c r="AZ247" s="289">
        <f>AY247-AX247</f>
        <v>62497</v>
      </c>
      <c r="BA247" s="307">
        <f>AZ247/$R247</f>
        <v>349.16033968776497</v>
      </c>
      <c r="BB247" s="308">
        <v>3147.5220720000002</v>
      </c>
      <c r="BC247" s="289">
        <v>3162.1</v>
      </c>
      <c r="BD247" s="289">
        <f>BC247-BB247</f>
        <v>14.577927999999702</v>
      </c>
      <c r="BE247" s="307">
        <f>BD247/$R247</f>
        <v>8.1444458012763427E-2</v>
      </c>
      <c r="BF247" s="308">
        <v>-3130.4</v>
      </c>
      <c r="BG247" s="289">
        <v>-3130.4</v>
      </c>
      <c r="BH247" s="289">
        <f>BG247-BF247</f>
        <v>0</v>
      </c>
      <c r="BI247" s="307">
        <f>BH247/$R247</f>
        <v>0</v>
      </c>
      <c r="BJ247" s="281">
        <v>97.002988999999999</v>
      </c>
      <c r="BK247" s="281">
        <v>2.2415470000000002</v>
      </c>
      <c r="BL247" s="281">
        <f>BK247-BJ247</f>
        <v>-94.761442000000002</v>
      </c>
      <c r="BM247" s="408">
        <v>-3130.4</v>
      </c>
      <c r="BN247" s="458">
        <v>-3130.4</v>
      </c>
      <c r="BO247" s="458">
        <f>BN247-BM247</f>
        <v>0</v>
      </c>
      <c r="BP247" s="408">
        <v>3147.5220720000002</v>
      </c>
      <c r="BQ247" s="458">
        <v>3162.1</v>
      </c>
      <c r="BR247" s="458">
        <f>BQ247-BP247</f>
        <v>14.577927999999702</v>
      </c>
      <c r="BS247" s="281"/>
      <c r="BT247" s="281"/>
      <c r="BU247" s="281"/>
      <c r="BV247" s="281"/>
      <c r="BW247" s="298" t="s">
        <v>713</v>
      </c>
      <c r="BX247" s="422">
        <v>12.357916230000001</v>
      </c>
      <c r="BY247" s="422">
        <v>234.26379983999999</v>
      </c>
      <c r="BZ247" s="422">
        <v>1942.5807580600001</v>
      </c>
      <c r="CA247" s="422">
        <v>581.15200000000004</v>
      </c>
      <c r="CB247" s="422">
        <v>158.72324165000001</v>
      </c>
      <c r="CC247" s="422">
        <v>158.60082191999999</v>
      </c>
      <c r="CD247" s="422">
        <v>-0.10324953000000001</v>
      </c>
      <c r="CE247" s="422">
        <v>178.99381609</v>
      </c>
      <c r="CF247" s="422">
        <v>179.17881738</v>
      </c>
      <c r="CG247" s="422">
        <v>0.18029769000000001</v>
      </c>
      <c r="CH247" s="422">
        <v>7.7187329999999998E-2</v>
      </c>
      <c r="CI247" s="422">
        <v>4.7489200000000002E-3</v>
      </c>
    </row>
    <row r="248" spans="1:87" ht="15" customHeight="1" x14ac:dyDescent="0.2">
      <c r="A248" s="297">
        <v>62009057</v>
      </c>
      <c r="B248" s="339" t="s">
        <v>616</v>
      </c>
      <c r="C248" s="297" t="s">
        <v>627</v>
      </c>
      <c r="D248" s="326" t="s">
        <v>858</v>
      </c>
      <c r="E248" s="283" t="s">
        <v>989</v>
      </c>
      <c r="F248" s="310" t="str">
        <f t="shared" si="223"/>
        <v>09/28/20</v>
      </c>
      <c r="G248" s="298" t="s">
        <v>990</v>
      </c>
      <c r="H248" s="298" t="s">
        <v>775</v>
      </c>
      <c r="I248" s="306"/>
      <c r="J248" s="299" t="s">
        <v>777</v>
      </c>
      <c r="K248" s="299" t="s">
        <v>777</v>
      </c>
      <c r="L248" s="299" t="s">
        <v>777</v>
      </c>
      <c r="M248" s="299" t="s">
        <v>777</v>
      </c>
      <c r="N248" s="284">
        <v>3875</v>
      </c>
      <c r="O248" s="284">
        <v>28.39</v>
      </c>
      <c r="P248" s="284">
        <v>0.20169999999999999</v>
      </c>
      <c r="Q248" s="284">
        <v>1.932E-2</v>
      </c>
      <c r="R248" s="285" t="s">
        <v>1014</v>
      </c>
      <c r="S248" s="285" t="e">
        <f>R248+R247</f>
        <v>#VALUE!</v>
      </c>
      <c r="T248" s="314" t="s">
        <v>1015</v>
      </c>
      <c r="U248" s="314" t="s">
        <v>1016</v>
      </c>
      <c r="V248" s="289">
        <v>-148</v>
      </c>
      <c r="W248" s="289">
        <v>0</v>
      </c>
      <c r="X248" s="289">
        <f>W248-V248</f>
        <v>148</v>
      </c>
      <c r="Y248" s="289" t="e">
        <f>X248/$R248</f>
        <v>#VALUE!</v>
      </c>
      <c r="Z248" s="308">
        <v>583.70000000000005</v>
      </c>
      <c r="AA248" s="289">
        <v>0</v>
      </c>
      <c r="AB248" s="289">
        <f>AA248-Z248</f>
        <v>-583.70000000000005</v>
      </c>
      <c r="AC248" s="289" t="e">
        <f>AB248/$R248</f>
        <v>#VALUE!</v>
      </c>
      <c r="AD248" s="308">
        <v>390.01</v>
      </c>
      <c r="AE248" s="289">
        <v>-0.02</v>
      </c>
      <c r="AF248" s="289">
        <f>AE248-AD248</f>
        <v>-390.03</v>
      </c>
      <c r="AG248" s="289" t="e">
        <f>AF248/$R248</f>
        <v>#VALUE!</v>
      </c>
      <c r="AH248" s="308">
        <v>-46.33</v>
      </c>
      <c r="AI248" s="289">
        <v>-0.01</v>
      </c>
      <c r="AJ248" s="289">
        <f>AI248-AH248</f>
        <v>46.32</v>
      </c>
      <c r="AK248" s="307" t="e">
        <f>AJ248/$R248</f>
        <v>#VALUE!</v>
      </c>
      <c r="AL248" s="308">
        <v>-0.4</v>
      </c>
      <c r="AM248" s="289">
        <v>0</v>
      </c>
      <c r="AN248" s="289">
        <f>AM248-AL248</f>
        <v>0.4</v>
      </c>
      <c r="AO248" s="307" t="e">
        <f>AN248/$R248</f>
        <v>#VALUE!</v>
      </c>
      <c r="AP248" s="308">
        <v>-0.3</v>
      </c>
      <c r="AQ248" s="289">
        <v>0</v>
      </c>
      <c r="AR248" s="289">
        <f>AQ248-AP248</f>
        <v>0.3</v>
      </c>
      <c r="AS248" s="307" t="e">
        <f>AR248/$R248</f>
        <v>#VALUE!</v>
      </c>
      <c r="AT248" s="308">
        <v>114.4</v>
      </c>
      <c r="AU248" s="289">
        <v>0</v>
      </c>
      <c r="AV248" s="289">
        <f>AU248-AT248</f>
        <v>-114.4</v>
      </c>
      <c r="AW248" s="307" t="e">
        <f>AV248/$R248</f>
        <v>#VALUE!</v>
      </c>
      <c r="AX248" s="308">
        <v>-65133</v>
      </c>
      <c r="AY248" s="289">
        <v>0</v>
      </c>
      <c r="AZ248" s="289">
        <f>AY248-AX248</f>
        <v>65133</v>
      </c>
      <c r="BA248" s="307" t="e">
        <f>AZ248/$R248</f>
        <v>#VALUE!</v>
      </c>
      <c r="BB248" s="308">
        <v>69741.600000000006</v>
      </c>
      <c r="BC248" s="289">
        <v>0.1</v>
      </c>
      <c r="BD248" s="289">
        <f>BC248-BB248</f>
        <v>-69741.5</v>
      </c>
      <c r="BE248" s="307" t="e">
        <f>BD248/$R248</f>
        <v>#VALUE!</v>
      </c>
      <c r="BF248" s="308">
        <v>-69624.100000000006</v>
      </c>
      <c r="BG248" s="289">
        <v>0</v>
      </c>
      <c r="BH248" s="289">
        <f>BG248-BF248</f>
        <v>69624.100000000006</v>
      </c>
      <c r="BI248" s="307" t="e">
        <f>BH248/$R248</f>
        <v>#VALUE!</v>
      </c>
      <c r="BJ248" s="281" t="s">
        <v>1017</v>
      </c>
      <c r="BK248" s="281" t="s">
        <v>1018</v>
      </c>
      <c r="BL248" s="281" t="e">
        <f>BK248-BJ248</f>
        <v>#VALUE!</v>
      </c>
      <c r="BM248" s="408">
        <v>-69624.100000000006</v>
      </c>
      <c r="BN248" s="458">
        <v>0</v>
      </c>
      <c r="BO248" s="458">
        <f>BN248-BM248</f>
        <v>69624.100000000006</v>
      </c>
      <c r="BP248" s="408">
        <v>69741.600000000006</v>
      </c>
      <c r="BQ248" s="458">
        <v>0.1</v>
      </c>
      <c r="BR248" s="458">
        <f>BQ248-BP248</f>
        <v>-69741.5</v>
      </c>
      <c r="BS248" s="281"/>
      <c r="BT248" s="281"/>
      <c r="BU248" s="281"/>
      <c r="BV248" s="281"/>
      <c r="BW248" s="298" t="s">
        <v>825</v>
      </c>
    </row>
    <row r="249" spans="1:87" s="503" customFormat="1" ht="15" customHeight="1" x14ac:dyDescent="0.2">
      <c r="A249" s="478" t="s">
        <v>979</v>
      </c>
      <c r="B249" s="479"/>
      <c r="C249" s="479"/>
      <c r="D249" s="480"/>
      <c r="E249" s="479"/>
      <c r="F249" s="479"/>
      <c r="G249" s="480"/>
      <c r="H249" s="480"/>
      <c r="I249" s="480"/>
      <c r="J249" s="480"/>
      <c r="K249" s="480"/>
      <c r="L249" s="480"/>
      <c r="M249" s="480"/>
      <c r="N249" s="480"/>
      <c r="O249" s="480"/>
      <c r="P249" s="481"/>
      <c r="Q249" s="482"/>
      <c r="R249" s="479"/>
      <c r="S249" s="479"/>
      <c r="T249" s="479"/>
      <c r="U249" s="479"/>
      <c r="V249" s="502"/>
      <c r="W249" s="483"/>
      <c r="X249" s="479"/>
      <c r="Y249" s="479"/>
      <c r="Z249" s="483"/>
      <c r="AA249" s="483"/>
      <c r="AB249" s="479"/>
      <c r="AC249" s="479"/>
      <c r="AD249" s="483"/>
      <c r="AE249" s="483"/>
      <c r="AF249" s="479"/>
      <c r="AG249" s="479"/>
      <c r="AH249" s="479"/>
      <c r="AI249" s="479"/>
      <c r="AJ249" s="479"/>
      <c r="AK249" s="479"/>
      <c r="AL249" s="483"/>
      <c r="AM249" s="483"/>
      <c r="AN249" s="479"/>
      <c r="AO249" s="479"/>
      <c r="AP249" s="479"/>
      <c r="AQ249" s="479"/>
      <c r="AR249" s="479"/>
      <c r="AS249" s="479"/>
      <c r="AT249" s="479"/>
      <c r="AU249" s="479"/>
      <c r="AV249" s="479"/>
      <c r="AW249" s="479"/>
      <c r="AX249" s="479"/>
      <c r="AY249" s="479"/>
      <c r="AZ249" s="479"/>
      <c r="BA249" s="479"/>
      <c r="BB249" s="479"/>
      <c r="BC249" s="479"/>
      <c r="BD249" s="479"/>
      <c r="BE249" s="479"/>
      <c r="BF249" s="479"/>
      <c r="BG249" s="479"/>
      <c r="BH249" s="479"/>
      <c r="BI249" s="479"/>
      <c r="BJ249" s="479"/>
      <c r="BK249" s="479"/>
      <c r="BL249" s="484"/>
    </row>
    <row r="250" spans="1:87" ht="15" customHeight="1" x14ac:dyDescent="0.2">
      <c r="A250" s="457" t="s">
        <v>978</v>
      </c>
      <c r="B250" s="334"/>
      <c r="C250" s="334"/>
      <c r="D250" s="335"/>
      <c r="E250" s="334"/>
      <c r="F250" s="334"/>
      <c r="G250" s="335"/>
      <c r="H250" s="335"/>
      <c r="I250" s="335"/>
      <c r="J250" s="335"/>
      <c r="K250" s="335"/>
      <c r="L250" s="335"/>
      <c r="M250" s="335"/>
      <c r="N250" s="335"/>
      <c r="O250" s="335"/>
      <c r="P250" s="336"/>
      <c r="Q250" s="337"/>
      <c r="R250" s="334"/>
      <c r="S250" s="334"/>
      <c r="T250" s="334"/>
      <c r="U250" s="334"/>
      <c r="V250" s="501"/>
      <c r="W250" s="341"/>
      <c r="X250" s="334"/>
      <c r="Y250" s="334"/>
      <c r="Z250" s="341"/>
      <c r="AA250" s="341"/>
      <c r="AB250" s="334"/>
      <c r="AC250" s="334"/>
      <c r="AD250" s="341"/>
      <c r="AE250" s="341"/>
      <c r="AF250" s="334"/>
      <c r="AG250" s="334"/>
      <c r="AH250" s="334"/>
      <c r="AI250" s="334"/>
      <c r="AJ250" s="334"/>
      <c r="AK250" s="334"/>
      <c r="AL250" s="341"/>
      <c r="AM250" s="341"/>
      <c r="AN250" s="334"/>
      <c r="AO250" s="334"/>
      <c r="AP250" s="334"/>
      <c r="AQ250" s="334"/>
      <c r="AR250" s="334"/>
      <c r="AS250" s="334"/>
      <c r="AT250" s="334"/>
      <c r="AU250" s="334"/>
      <c r="AV250" s="334"/>
      <c r="AW250" s="334"/>
      <c r="AX250" s="334"/>
      <c r="AY250" s="334"/>
      <c r="AZ250" s="334"/>
      <c r="BA250" s="334"/>
      <c r="BB250" s="334"/>
      <c r="BC250" s="334"/>
      <c r="BD250" s="334"/>
      <c r="BE250" s="334"/>
      <c r="BF250" s="334"/>
      <c r="BG250" s="334"/>
      <c r="BH250" s="334"/>
      <c r="BI250" s="334"/>
      <c r="BJ250" s="334"/>
      <c r="BK250" s="334"/>
      <c r="BL250" s="338"/>
    </row>
    <row r="251" spans="1:87" ht="15" customHeight="1" x14ac:dyDescent="0.2">
      <c r="A251" s="297">
        <v>62009058</v>
      </c>
      <c r="B251" s="297" t="s">
        <v>982</v>
      </c>
      <c r="C251" s="297" t="s">
        <v>811</v>
      </c>
      <c r="D251" s="326" t="s">
        <v>991</v>
      </c>
      <c r="E251" s="283" t="s">
        <v>992</v>
      </c>
      <c r="F251" s="310" t="str">
        <f t="shared" ref="F251:F285" si="247">LEFT(E251,8)</f>
        <v>09/29/20</v>
      </c>
      <c r="G251" s="298" t="s">
        <v>993</v>
      </c>
      <c r="H251" s="298" t="s">
        <v>775</v>
      </c>
      <c r="I251" s="306"/>
      <c r="J251" s="299">
        <v>-6.6711109999999998</v>
      </c>
      <c r="K251" s="299">
        <v>6.1910949999999998</v>
      </c>
      <c r="L251" s="299">
        <v>29.184947000000001</v>
      </c>
      <c r="M251" s="299">
        <v>-6.89412</v>
      </c>
      <c r="N251" s="284">
        <v>3875</v>
      </c>
      <c r="O251" s="284">
        <v>28.39</v>
      </c>
      <c r="P251" s="284">
        <v>0.20169999999999999</v>
      </c>
      <c r="Q251" s="284">
        <v>1.932E-2</v>
      </c>
      <c r="R251" s="285">
        <v>1.1400500000000001E-3</v>
      </c>
      <c r="S251" s="285">
        <f>R251+R250</f>
        <v>1.1400500000000001E-3</v>
      </c>
      <c r="T251" s="314">
        <v>97.477541000000002</v>
      </c>
      <c r="U251" s="314">
        <v>97.154053000000005</v>
      </c>
      <c r="V251" s="289">
        <v>0</v>
      </c>
      <c r="W251" s="289">
        <v>267.49714999999998</v>
      </c>
      <c r="X251" s="289">
        <f>W251-V251</f>
        <v>267.49714999999998</v>
      </c>
      <c r="Y251" s="289">
        <f t="shared" ref="Y251:Y261" si="248">X251/$R251</f>
        <v>234636.33173983594</v>
      </c>
      <c r="Z251" s="308">
        <v>2.8</v>
      </c>
      <c r="AA251" s="289">
        <v>179.7</v>
      </c>
      <c r="AB251" s="289">
        <f>AA251-Z251</f>
        <v>176.89999999999998</v>
      </c>
      <c r="AC251" s="289">
        <f t="shared" ref="AC251:AC261" si="249">AB251/$R251</f>
        <v>155168.63295469494</v>
      </c>
      <c r="AD251" s="308">
        <v>1.885497</v>
      </c>
      <c r="AE251" s="289">
        <v>159.719943</v>
      </c>
      <c r="AF251" s="289">
        <f>AE251-AD251</f>
        <v>157.83444600000001</v>
      </c>
      <c r="AG251" s="289">
        <f t="shared" ref="AG251:AG261" si="250">AF251/$R251</f>
        <v>138445.19626332179</v>
      </c>
      <c r="AH251" s="308">
        <v>-0.26</v>
      </c>
      <c r="AI251" s="289">
        <v>-4.5199999999999996</v>
      </c>
      <c r="AJ251" s="289">
        <f>AI251-AH251</f>
        <v>-4.26</v>
      </c>
      <c r="AK251" s="307">
        <f t="shared" ref="AK251:AK261" si="251">AJ251/$R251</f>
        <v>-3736.6782158677247</v>
      </c>
      <c r="AL251" s="308">
        <v>0</v>
      </c>
      <c r="AM251" s="289">
        <v>-6.3</v>
      </c>
      <c r="AN251" s="289">
        <f>AM251-AL251</f>
        <v>-6.3</v>
      </c>
      <c r="AO251" s="307">
        <f t="shared" ref="AO251:AO261" si="252">AN251/$R251</f>
        <v>-5526.0734178325511</v>
      </c>
      <c r="AP251" s="308">
        <v>0</v>
      </c>
      <c r="AQ251" s="289">
        <v>1071.549694</v>
      </c>
      <c r="AR251" s="289">
        <f>AQ251-AP251</f>
        <v>1071.549694</v>
      </c>
      <c r="AS251" s="307">
        <f t="shared" ref="AS251:AS261" si="253">AR251/$R251</f>
        <v>939914.64760317525</v>
      </c>
      <c r="AT251" s="308">
        <v>0.4</v>
      </c>
      <c r="AU251" s="289">
        <v>3.8</v>
      </c>
      <c r="AV251" s="289">
        <f>AU251-AT251</f>
        <v>3.4</v>
      </c>
      <c r="AW251" s="307">
        <f t="shared" ref="AW251:AW261" si="254">AV251/$R251</f>
        <v>2982.325336608043</v>
      </c>
      <c r="AX251" s="308">
        <v>-78</v>
      </c>
      <c r="AY251" s="289">
        <v>185</v>
      </c>
      <c r="AZ251" s="289">
        <f>AY251-AX251</f>
        <v>263</v>
      </c>
      <c r="BA251" s="307">
        <f t="shared" ref="BA251:BA261" si="255">AZ251/$R251</f>
        <v>230691.63633173981</v>
      </c>
      <c r="BB251" s="308">
        <v>84.1</v>
      </c>
      <c r="BC251" s="289">
        <v>1126.5</v>
      </c>
      <c r="BD251" s="289">
        <f>BC251-BB251</f>
        <v>1042.4000000000001</v>
      </c>
      <c r="BE251" s="307">
        <f t="shared" ref="BE251:BE261" si="256">BD251/$R251</f>
        <v>914345.86202359549</v>
      </c>
      <c r="BF251" s="308">
        <v>-83.654910999999998</v>
      </c>
      <c r="BG251" s="289">
        <v>-1122.7</v>
      </c>
      <c r="BH251" s="289">
        <f>BG251-BF251</f>
        <v>-1039.045089</v>
      </c>
      <c r="BI251" s="307">
        <f t="shared" ref="BI251:BI261" si="257">BH251/$R251</f>
        <v>-911403.08670672332</v>
      </c>
      <c r="BJ251" s="281">
        <v>97.477541000000002</v>
      </c>
      <c r="BK251" s="281">
        <v>97.154053000000005</v>
      </c>
      <c r="BL251" s="281">
        <f>BK251-BJ251</f>
        <v>-0.32348799999999756</v>
      </c>
      <c r="BM251" s="408">
        <v>-83.654910999999998</v>
      </c>
      <c r="BN251" s="458">
        <v>-1122.7</v>
      </c>
      <c r="BO251" s="458">
        <f>BN251-BM251</f>
        <v>-1039.045089</v>
      </c>
      <c r="BP251" s="408">
        <v>84.1</v>
      </c>
      <c r="BQ251" s="458">
        <v>1126.5</v>
      </c>
      <c r="BR251" s="458">
        <f>BQ251-BP251</f>
        <v>1042.4000000000001</v>
      </c>
      <c r="BS251" s="281"/>
      <c r="BT251" s="281"/>
      <c r="BU251" s="281"/>
      <c r="BV251" s="281"/>
      <c r="BW251" s="298" t="s">
        <v>713</v>
      </c>
      <c r="BX251" s="422">
        <v>0</v>
      </c>
      <c r="BY251" s="422" t="s">
        <v>777</v>
      </c>
      <c r="BZ251" s="422">
        <v>0</v>
      </c>
      <c r="CA251" s="422">
        <v>0</v>
      </c>
      <c r="CB251" s="422">
        <v>0</v>
      </c>
      <c r="CC251" s="422">
        <v>0</v>
      </c>
      <c r="CD251" s="422" t="s">
        <v>777</v>
      </c>
      <c r="CE251" s="422">
        <v>0</v>
      </c>
      <c r="CF251" s="422">
        <v>0</v>
      </c>
      <c r="CG251" s="422" t="s">
        <v>777</v>
      </c>
      <c r="CH251" s="422" t="s">
        <v>777</v>
      </c>
      <c r="CI251" s="422" t="s">
        <v>777</v>
      </c>
    </row>
    <row r="252" spans="1:87" ht="15" customHeight="1" x14ac:dyDescent="0.2">
      <c r="A252" s="297">
        <v>62009058</v>
      </c>
      <c r="B252" s="297" t="s">
        <v>607</v>
      </c>
      <c r="C252" s="297" t="s">
        <v>626</v>
      </c>
      <c r="D252" s="326" t="s">
        <v>991</v>
      </c>
      <c r="E252" s="283" t="s">
        <v>992</v>
      </c>
      <c r="F252" s="310" t="str">
        <f t="shared" si="247"/>
        <v>09/29/20</v>
      </c>
      <c r="G252" s="298" t="s">
        <v>993</v>
      </c>
      <c r="H252" s="298" t="s">
        <v>775</v>
      </c>
      <c r="I252" s="306"/>
      <c r="J252" s="299">
        <v>-5.6491879999999997</v>
      </c>
      <c r="K252" s="299">
        <v>6.0969959999999999</v>
      </c>
      <c r="L252" s="299">
        <v>29.185222</v>
      </c>
      <c r="M252" s="299">
        <v>5.3734890000000002</v>
      </c>
      <c r="N252" s="284">
        <v>3875</v>
      </c>
      <c r="O252" s="284">
        <v>28.39</v>
      </c>
      <c r="P252" s="284">
        <v>0.20169999999999999</v>
      </c>
      <c r="Q252" s="284">
        <v>1.932E-2</v>
      </c>
      <c r="R252" s="285">
        <v>3.5952902899999999</v>
      </c>
      <c r="S252" s="285">
        <f>R252+R251</f>
        <v>3.5964303399999999</v>
      </c>
      <c r="T252" s="314">
        <v>97.152527000000006</v>
      </c>
      <c r="U252" s="314">
        <v>95.257097000000002</v>
      </c>
      <c r="V252" s="289">
        <v>268</v>
      </c>
      <c r="W252" s="289">
        <v>1683</v>
      </c>
      <c r="X252" s="289">
        <f>W252-V252</f>
        <v>1415</v>
      </c>
      <c r="Y252" s="289">
        <f t="shared" si="248"/>
        <v>393.57044518371839</v>
      </c>
      <c r="Z252" s="308">
        <v>179.74921900000001</v>
      </c>
      <c r="AA252" s="289">
        <v>237.4</v>
      </c>
      <c r="AB252" s="289">
        <f>AA252-Z252</f>
        <v>57.650780999999995</v>
      </c>
      <c r="AC252" s="289">
        <f t="shared" si="249"/>
        <v>16.035083776225481</v>
      </c>
      <c r="AD252" s="308">
        <v>159.73984400000001</v>
      </c>
      <c r="AE252" s="289">
        <v>210.98929699999999</v>
      </c>
      <c r="AF252" s="289">
        <f>AE252-AD252</f>
        <v>51.249452999999988</v>
      </c>
      <c r="AG252" s="289">
        <f t="shared" si="250"/>
        <v>14.254607796913108</v>
      </c>
      <c r="AH252" s="308">
        <v>-4.5249220000000001</v>
      </c>
      <c r="AI252" s="289">
        <v>-6.26</v>
      </c>
      <c r="AJ252" s="289">
        <f>AI252-AH252</f>
        <v>-1.7350779999999997</v>
      </c>
      <c r="AK252" s="307">
        <f t="shared" si="251"/>
        <v>-0.48259747059256231</v>
      </c>
      <c r="AL252" s="308">
        <v>-6.3</v>
      </c>
      <c r="AM252" s="289">
        <v>-8.8000000000000007</v>
      </c>
      <c r="AN252" s="289">
        <f>AM252-AL252</f>
        <v>-2.5000000000000009</v>
      </c>
      <c r="AO252" s="307">
        <f t="shared" si="252"/>
        <v>-0.69535414343413171</v>
      </c>
      <c r="AP252" s="308">
        <v>1071.749196</v>
      </c>
      <c r="AQ252" s="289">
        <v>1524.446428</v>
      </c>
      <c r="AR252" s="289">
        <f>AQ252-AP252</f>
        <v>452.69723199999999</v>
      </c>
      <c r="AS252" s="307">
        <f t="shared" si="253"/>
        <v>125.91395839694491</v>
      </c>
      <c r="AT252" s="308">
        <v>3.8</v>
      </c>
      <c r="AU252" s="289">
        <v>5.2</v>
      </c>
      <c r="AV252" s="289">
        <f>AU252-AT252</f>
        <v>1.4000000000000004</v>
      </c>
      <c r="AW252" s="307">
        <f t="shared" si="254"/>
        <v>0.38939832032311372</v>
      </c>
      <c r="AX252" s="308">
        <v>185</v>
      </c>
      <c r="AY252" s="289">
        <v>1600</v>
      </c>
      <c r="AZ252" s="289">
        <f>AY252-AX252</f>
        <v>1415</v>
      </c>
      <c r="BA252" s="307">
        <f t="shared" si="255"/>
        <v>393.57044518371839</v>
      </c>
      <c r="BB252" s="308">
        <v>1126.5</v>
      </c>
      <c r="BC252" s="289">
        <v>1127.3</v>
      </c>
      <c r="BD252" s="289">
        <f>BC252-BB252</f>
        <v>0.79999999999995453</v>
      </c>
      <c r="BE252" s="307">
        <f t="shared" si="256"/>
        <v>0.22251332589890943</v>
      </c>
      <c r="BF252" s="308">
        <v>-1122.7</v>
      </c>
      <c r="BG252" s="289">
        <v>-1122.7</v>
      </c>
      <c r="BH252" s="289">
        <f>BG252-BF252</f>
        <v>0</v>
      </c>
      <c r="BI252" s="307">
        <f t="shared" si="257"/>
        <v>0</v>
      </c>
      <c r="BJ252" s="281">
        <v>97.152527000000006</v>
      </c>
      <c r="BK252" s="281">
        <v>95.257097000000002</v>
      </c>
      <c r="BL252" s="281">
        <f>BK252-BJ252</f>
        <v>-1.8954300000000046</v>
      </c>
      <c r="BM252" s="408">
        <v>-1122.7</v>
      </c>
      <c r="BN252" s="458">
        <v>-1122.7</v>
      </c>
      <c r="BO252" s="458">
        <f>BN252-BM252</f>
        <v>0</v>
      </c>
      <c r="BP252" s="408">
        <v>1126.5</v>
      </c>
      <c r="BQ252" s="458">
        <v>1127.3</v>
      </c>
      <c r="BR252" s="458">
        <f>BQ252-BP252</f>
        <v>0.79999999999995453</v>
      </c>
      <c r="BS252" s="281"/>
      <c r="BT252" s="281"/>
      <c r="BU252" s="281"/>
      <c r="BV252" s="281"/>
      <c r="BW252" s="298" t="s">
        <v>713</v>
      </c>
      <c r="BX252" s="422">
        <v>2198.47266945</v>
      </c>
      <c r="BY252" s="422">
        <v>-1.1376487900000001</v>
      </c>
      <c r="BZ252" s="422">
        <v>2025.4006523</v>
      </c>
      <c r="CA252" s="422">
        <v>2048.7077512000001</v>
      </c>
      <c r="CB252" s="422">
        <v>2.9477662200000001</v>
      </c>
      <c r="CC252" s="422">
        <v>2.9657385399999998</v>
      </c>
      <c r="CD252" s="422">
        <v>0.11848293999999999</v>
      </c>
      <c r="CE252" s="422">
        <v>3.5952343099999999</v>
      </c>
      <c r="CF252" s="422">
        <v>3.5909796100000002</v>
      </c>
      <c r="CG252" s="422">
        <v>-0.72889817000000001</v>
      </c>
      <c r="CH252" s="422">
        <v>-0.60599811999999997</v>
      </c>
      <c r="CI252" s="422">
        <v>0.59138988000000003</v>
      </c>
    </row>
    <row r="253" spans="1:87" ht="15" customHeight="1" x14ac:dyDescent="0.2">
      <c r="A253" s="297">
        <v>62009058</v>
      </c>
      <c r="B253" s="297" t="s">
        <v>980</v>
      </c>
      <c r="C253" s="297" t="s">
        <v>627</v>
      </c>
      <c r="D253" s="326" t="s">
        <v>991</v>
      </c>
      <c r="E253" s="283" t="s">
        <v>992</v>
      </c>
      <c r="F253" s="310" t="str">
        <f t="shared" si="247"/>
        <v>09/29/20</v>
      </c>
      <c r="G253" s="298" t="s">
        <v>993</v>
      </c>
      <c r="H253" s="298" t="s">
        <v>775</v>
      </c>
      <c r="I253" s="306"/>
      <c r="J253" s="299">
        <v>-7.2016600000000004</v>
      </c>
      <c r="K253" s="299">
        <v>6.8355839999999999</v>
      </c>
      <c r="L253" s="299">
        <v>29.188312</v>
      </c>
      <c r="M253" s="299">
        <v>8.5960219999999996</v>
      </c>
      <c r="N253" s="284">
        <v>3875</v>
      </c>
      <c r="O253" s="284">
        <v>28.39</v>
      </c>
      <c r="P253" s="284">
        <v>0.20169999999999999</v>
      </c>
      <c r="Q253" s="284">
        <v>1.932E-2</v>
      </c>
      <c r="R253" s="285">
        <v>3.8592891499999999</v>
      </c>
      <c r="S253" s="285">
        <f>R253+R252</f>
        <v>7.4545794399999998</v>
      </c>
      <c r="T253" s="314">
        <v>95.255832999999996</v>
      </c>
      <c r="U253" s="314">
        <v>93.171453999999997</v>
      </c>
      <c r="V253" s="289">
        <v>1683</v>
      </c>
      <c r="W253" s="289">
        <v>3236</v>
      </c>
      <c r="X253" s="289">
        <f>W253-V253</f>
        <v>1553</v>
      </c>
      <c r="Y253" s="289">
        <f t="shared" si="248"/>
        <v>402.40571246132208</v>
      </c>
      <c r="Z253" s="308">
        <v>237.4</v>
      </c>
      <c r="AA253" s="289">
        <v>333.8</v>
      </c>
      <c r="AB253" s="289">
        <f>AA253-Z253</f>
        <v>96.4</v>
      </c>
      <c r="AC253" s="289">
        <f t="shared" si="249"/>
        <v>24.978693291224371</v>
      </c>
      <c r="AD253" s="308">
        <v>211.00941399999999</v>
      </c>
      <c r="AE253" s="289">
        <v>296.88228800000002</v>
      </c>
      <c r="AF253" s="289">
        <f>AE253-AD253</f>
        <v>85.872874000000024</v>
      </c>
      <c r="AG253" s="289">
        <f t="shared" si="250"/>
        <v>22.250956241514068</v>
      </c>
      <c r="AH253" s="308">
        <v>-6.26</v>
      </c>
      <c r="AI253" s="289">
        <v>-8.31</v>
      </c>
      <c r="AJ253" s="289">
        <f>AI253-AH253</f>
        <v>-2.0500000000000007</v>
      </c>
      <c r="AK253" s="307">
        <f t="shared" si="251"/>
        <v>-0.53118590505197072</v>
      </c>
      <c r="AL253" s="308">
        <v>-8.8000000000000007</v>
      </c>
      <c r="AM253" s="289">
        <v>-13.2</v>
      </c>
      <c r="AN253" s="289">
        <f>AM253-AL253</f>
        <v>-4.3999999999999986</v>
      </c>
      <c r="AO253" s="307">
        <f t="shared" si="252"/>
        <v>-1.1401063327944729</v>
      </c>
      <c r="AP253" s="308">
        <v>1524.6470340000001</v>
      </c>
      <c r="AQ253" s="289">
        <v>2271.5436599999998</v>
      </c>
      <c r="AR253" s="289">
        <f>AQ253-AP253</f>
        <v>746.89662599999974</v>
      </c>
      <c r="AS253" s="307">
        <f t="shared" si="253"/>
        <v>193.53217573759659</v>
      </c>
      <c r="AT253" s="308">
        <v>5.2</v>
      </c>
      <c r="AU253" s="289">
        <v>7.5</v>
      </c>
      <c r="AV253" s="289">
        <f>AU253-AT253</f>
        <v>2.2999999999999998</v>
      </c>
      <c r="AW253" s="307">
        <f t="shared" si="254"/>
        <v>0.59596467396074737</v>
      </c>
      <c r="AX253" s="308">
        <v>1600</v>
      </c>
      <c r="AY253" s="289">
        <v>3152</v>
      </c>
      <c r="AZ253" s="289">
        <f>AY253-AX253</f>
        <v>1552</v>
      </c>
      <c r="BA253" s="307">
        <f t="shared" si="255"/>
        <v>402.14659738568696</v>
      </c>
      <c r="BB253" s="308">
        <v>1127.3</v>
      </c>
      <c r="BC253" s="289">
        <v>1128.5999999999999</v>
      </c>
      <c r="BD253" s="289">
        <f>BC253-BB253</f>
        <v>1.2999999999999545</v>
      </c>
      <c r="BE253" s="307">
        <f t="shared" si="256"/>
        <v>0.33684959832562805</v>
      </c>
      <c r="BF253" s="308">
        <v>-1122.7</v>
      </c>
      <c r="BG253" s="289">
        <v>-1122.7</v>
      </c>
      <c r="BH253" s="289">
        <f>BG253-BF253</f>
        <v>0</v>
      </c>
      <c r="BI253" s="307">
        <f t="shared" si="257"/>
        <v>0</v>
      </c>
      <c r="BJ253" s="281">
        <v>95.255832999999996</v>
      </c>
      <c r="BK253" s="281">
        <v>93.171453999999997</v>
      </c>
      <c r="BL253" s="281">
        <f>BK253-BJ253</f>
        <v>-2.0843789999999984</v>
      </c>
      <c r="BM253" s="408">
        <v>-1122.7</v>
      </c>
      <c r="BN253" s="458">
        <v>-1122.7</v>
      </c>
      <c r="BO253" s="458">
        <f>BN253-BM253</f>
        <v>0</v>
      </c>
      <c r="BP253" s="408">
        <v>1127.3</v>
      </c>
      <c r="BQ253" s="458">
        <v>1128.5999999999999</v>
      </c>
      <c r="BR253" s="458">
        <f>BQ253-BP253</f>
        <v>1.2999999999999545</v>
      </c>
      <c r="BS253" s="281"/>
      <c r="BT253" s="281"/>
      <c r="BU253" s="281"/>
      <c r="BV253" s="281"/>
      <c r="BW253" s="298" t="s">
        <v>713</v>
      </c>
      <c r="BX253" s="422">
        <v>1348.5580140300001</v>
      </c>
      <c r="BY253" s="422">
        <v>-1.4819331099999999</v>
      </c>
      <c r="BZ253" s="422">
        <v>3365.3908839599999</v>
      </c>
      <c r="CA253" s="422">
        <v>3416.0139254199999</v>
      </c>
      <c r="CB253" s="422">
        <v>2.7103234399999998</v>
      </c>
      <c r="CC253" s="422">
        <v>2.7415222799999999</v>
      </c>
      <c r="CD253" s="422">
        <v>-1.9720330000000001E-2</v>
      </c>
      <c r="CE253" s="422">
        <v>3.8590682100000002</v>
      </c>
      <c r="CF253" s="422">
        <v>3.8598293799999999</v>
      </c>
      <c r="CG253" s="422">
        <v>-1.1311641699999999</v>
      </c>
      <c r="CH253" s="422">
        <v>-1.1380117199999999</v>
      </c>
      <c r="CI253" s="422">
        <v>0.71727651999999997</v>
      </c>
    </row>
    <row r="254" spans="1:87" ht="15" customHeight="1" x14ac:dyDescent="0.2">
      <c r="A254" s="297">
        <v>62009058</v>
      </c>
      <c r="B254" s="297" t="s">
        <v>609</v>
      </c>
      <c r="C254" s="297" t="s">
        <v>628</v>
      </c>
      <c r="D254" s="326" t="s">
        <v>991</v>
      </c>
      <c r="E254" s="283" t="s">
        <v>992</v>
      </c>
      <c r="F254" s="310" t="str">
        <f t="shared" si="247"/>
        <v>09/29/20</v>
      </c>
      <c r="G254" s="298" t="s">
        <v>993</v>
      </c>
      <c r="H254" s="298" t="s">
        <v>775</v>
      </c>
      <c r="I254" s="306"/>
      <c r="J254" s="300">
        <f>AVERAGE(J252:J253)</f>
        <v>-6.4254239999999996</v>
      </c>
      <c r="K254" s="300">
        <f>AVERAGE(K252:K253)</f>
        <v>6.4662899999999999</v>
      </c>
      <c r="L254" s="300">
        <f>AVERAGE(L252:L253)</f>
        <v>29.186767</v>
      </c>
      <c r="M254" s="300">
        <f>AVERAGE(M252:M253)</f>
        <v>6.9847555000000003</v>
      </c>
      <c r="N254" s="286"/>
      <c r="O254" s="284"/>
      <c r="P254" s="302"/>
      <c r="Q254" s="301"/>
      <c r="R254" s="287">
        <f>R253+R252</f>
        <v>7.4545794399999998</v>
      </c>
      <c r="S254" s="287">
        <f>S253</f>
        <v>7.4545794399999998</v>
      </c>
      <c r="T254" s="315">
        <f>T252</f>
        <v>97.152527000000006</v>
      </c>
      <c r="U254" s="315">
        <f>U253</f>
        <v>93.171453999999997</v>
      </c>
      <c r="V254" s="290">
        <f>V252</f>
        <v>268</v>
      </c>
      <c r="W254" s="290">
        <f>W253</f>
        <v>3236</v>
      </c>
      <c r="X254" s="290">
        <f>SUM(X252:X253)</f>
        <v>2968</v>
      </c>
      <c r="Y254" s="290">
        <f t="shared" si="248"/>
        <v>398.14452631280835</v>
      </c>
      <c r="Z254" s="290">
        <f>Z252</f>
        <v>179.74921900000001</v>
      </c>
      <c r="AA254" s="290">
        <f>AA253</f>
        <v>333.8</v>
      </c>
      <c r="AB254" s="290">
        <f>SUM(AB252:AB253)</f>
        <v>154.050781</v>
      </c>
      <c r="AC254" s="290">
        <f t="shared" si="249"/>
        <v>20.665254457332605</v>
      </c>
      <c r="AD254" s="290">
        <f>AD252</f>
        <v>159.73984400000001</v>
      </c>
      <c r="AE254" s="290">
        <f>AE253</f>
        <v>296.88228800000002</v>
      </c>
      <c r="AF254" s="290">
        <f>SUM(AF252:AF253)</f>
        <v>137.12232700000001</v>
      </c>
      <c r="AG254" s="290">
        <f t="shared" si="250"/>
        <v>18.394374639597377</v>
      </c>
      <c r="AH254" s="290">
        <f>AH252</f>
        <v>-4.5249220000000001</v>
      </c>
      <c r="AI254" s="290">
        <f>AI253</f>
        <v>-8.31</v>
      </c>
      <c r="AJ254" s="290">
        <f>SUM(AJ252:AJ253)</f>
        <v>-3.7850780000000004</v>
      </c>
      <c r="AK254" s="288">
        <f t="shared" si="251"/>
        <v>-0.50775205099967391</v>
      </c>
      <c r="AL254" s="290">
        <f>AL252</f>
        <v>-6.3</v>
      </c>
      <c r="AM254" s="290">
        <f>AM253</f>
        <v>-13.2</v>
      </c>
      <c r="AN254" s="290">
        <f>SUM(AN252:AN253)</f>
        <v>-6.8999999999999995</v>
      </c>
      <c r="AO254" s="288">
        <f t="shared" si="252"/>
        <v>-0.92560553623934549</v>
      </c>
      <c r="AP254" s="290">
        <f>AP252</f>
        <v>1071.749196</v>
      </c>
      <c r="AQ254" s="290">
        <f>AQ253</f>
        <v>2271.5436599999998</v>
      </c>
      <c r="AR254" s="290">
        <f>SUM(AR252:AR253)</f>
        <v>1199.5938579999997</v>
      </c>
      <c r="AS254" s="288">
        <f t="shared" si="253"/>
        <v>160.92039365268334</v>
      </c>
      <c r="AT254" s="290">
        <f>AT252</f>
        <v>3.8</v>
      </c>
      <c r="AU254" s="290">
        <f>AU253</f>
        <v>7.5</v>
      </c>
      <c r="AV254" s="290">
        <f>SUM(AV252:AV253)</f>
        <v>3.7</v>
      </c>
      <c r="AW254" s="288">
        <f t="shared" si="254"/>
        <v>0.49633920059211284</v>
      </c>
      <c r="AX254" s="290">
        <f>AX252</f>
        <v>185</v>
      </c>
      <c r="AY254" s="290">
        <f>AY253</f>
        <v>3152</v>
      </c>
      <c r="AZ254" s="290">
        <f>SUM(AZ252:AZ253)</f>
        <v>2967</v>
      </c>
      <c r="BA254" s="288">
        <f t="shared" si="255"/>
        <v>398.01038058291857</v>
      </c>
      <c r="BB254" s="290">
        <f>BB252</f>
        <v>1126.5</v>
      </c>
      <c r="BC254" s="290">
        <f>BC253</f>
        <v>1128.5999999999999</v>
      </c>
      <c r="BD254" s="290">
        <f>SUM(BD252:BD253)</f>
        <v>2.0999999999999091</v>
      </c>
      <c r="BE254" s="288">
        <f t="shared" si="256"/>
        <v>0.28170603276848427</v>
      </c>
      <c r="BF254" s="290">
        <f>BF252</f>
        <v>-1122.7</v>
      </c>
      <c r="BG254" s="290">
        <f>BG253</f>
        <v>-1122.7</v>
      </c>
      <c r="BH254" s="290">
        <f>SUM(BH252:BH253)</f>
        <v>0</v>
      </c>
      <c r="BI254" s="288">
        <f t="shared" si="257"/>
        <v>0</v>
      </c>
      <c r="BJ254" s="282"/>
      <c r="BK254" s="282"/>
      <c r="BL254" s="282">
        <f>SUM(BL252:BL253)</f>
        <v>-3.979809000000003</v>
      </c>
      <c r="BM254" s="459">
        <f>BM252</f>
        <v>-1122.7</v>
      </c>
      <c r="BN254" s="459">
        <f>BN253</f>
        <v>-1122.7</v>
      </c>
      <c r="BO254" s="459">
        <f>SUM(BO252:BO253)</f>
        <v>0</v>
      </c>
      <c r="BP254" s="459">
        <f>BP252</f>
        <v>1126.5</v>
      </c>
      <c r="BQ254" s="459">
        <f>BQ253</f>
        <v>1128.5999999999999</v>
      </c>
      <c r="BR254" s="459">
        <f>SUM(BR252:BR253)</f>
        <v>2.0999999999999091</v>
      </c>
      <c r="BS254" s="282"/>
      <c r="BT254" s="282"/>
      <c r="BU254" s="282"/>
      <c r="BV254" s="282"/>
      <c r="BW254" s="298" t="s">
        <v>713</v>
      </c>
    </row>
    <row r="255" spans="1:87" ht="15" customHeight="1" x14ac:dyDescent="0.2">
      <c r="A255" s="297">
        <v>62009058</v>
      </c>
      <c r="B255" s="297" t="s">
        <v>610</v>
      </c>
      <c r="C255" s="297" t="s">
        <v>629</v>
      </c>
      <c r="D255" s="326" t="s">
        <v>991</v>
      </c>
      <c r="E255" s="283" t="s">
        <v>992</v>
      </c>
      <c r="F255" s="310" t="str">
        <f t="shared" si="247"/>
        <v>09/29/20</v>
      </c>
      <c r="G255" s="298" t="s">
        <v>993</v>
      </c>
      <c r="H255" s="298" t="s">
        <v>775</v>
      </c>
      <c r="I255" s="306"/>
      <c r="J255" s="299">
        <v>-4.2482990000000003</v>
      </c>
      <c r="K255" s="299">
        <v>6.0497379999999996</v>
      </c>
      <c r="L255" s="299">
        <v>29.190607</v>
      </c>
      <c r="M255" s="299">
        <v>8.9689110000000003</v>
      </c>
      <c r="N255" s="284">
        <v>3875</v>
      </c>
      <c r="O255" s="284">
        <v>28.39</v>
      </c>
      <c r="P255" s="284">
        <v>0.20169999999999999</v>
      </c>
      <c r="Q255" s="284">
        <v>1.932E-2</v>
      </c>
      <c r="R255" s="285">
        <v>10.2840636</v>
      </c>
      <c r="S255" s="285">
        <f>R255+R254</f>
        <v>17.738643039999999</v>
      </c>
      <c r="T255" s="314">
        <v>93.151617000000002</v>
      </c>
      <c r="U255" s="314">
        <v>88.72193</v>
      </c>
      <c r="V255" s="289">
        <v>3251</v>
      </c>
      <c r="W255" s="289">
        <v>6491</v>
      </c>
      <c r="X255" s="289">
        <f>W255-V255</f>
        <v>3240</v>
      </c>
      <c r="Y255" s="289">
        <f t="shared" si="248"/>
        <v>315.05056036409576</v>
      </c>
      <c r="Z255" s="308">
        <v>335.6</v>
      </c>
      <c r="AA255" s="289">
        <v>420.7</v>
      </c>
      <c r="AB255" s="289">
        <f>AA255-Z255</f>
        <v>85.099999999999966</v>
      </c>
      <c r="AC255" s="289">
        <f t="shared" si="249"/>
        <v>8.2749391009211539</v>
      </c>
      <c r="AD255" s="308">
        <v>298.49853400000001</v>
      </c>
      <c r="AE255" s="289">
        <v>374.36790100000002</v>
      </c>
      <c r="AF255" s="289">
        <f>AE255-AD255</f>
        <v>75.869367000000011</v>
      </c>
      <c r="AG255" s="289">
        <f t="shared" si="250"/>
        <v>7.3773724036479136</v>
      </c>
      <c r="AH255" s="308">
        <v>-8.34</v>
      </c>
      <c r="AI255" s="289">
        <v>-9.73</v>
      </c>
      <c r="AJ255" s="289">
        <f>AI255-AH255</f>
        <v>-1.3900000000000006</v>
      </c>
      <c r="AK255" s="307">
        <f t="shared" si="251"/>
        <v>-0.13516057990928806</v>
      </c>
      <c r="AL255" s="308">
        <v>-13.3</v>
      </c>
      <c r="AM255" s="289">
        <v>-17.100000000000001</v>
      </c>
      <c r="AN255" s="289">
        <f>AM255-AL255</f>
        <v>-3.8000000000000007</v>
      </c>
      <c r="AO255" s="307">
        <f t="shared" si="252"/>
        <v>-0.36950374363690253</v>
      </c>
      <c r="AP255" s="308">
        <v>2284.7854080000002</v>
      </c>
      <c r="AQ255" s="289">
        <v>2946.1</v>
      </c>
      <c r="AR255" s="289">
        <f>AQ255-AP255</f>
        <v>661.31459199999972</v>
      </c>
      <c r="AS255" s="307">
        <f t="shared" si="253"/>
        <v>64.304794069923858</v>
      </c>
      <c r="AT255" s="308">
        <v>7.6</v>
      </c>
      <c r="AU255" s="289">
        <v>9.6999999999999993</v>
      </c>
      <c r="AV255" s="289">
        <f>AU255-AT255</f>
        <v>2.0999999999999996</v>
      </c>
      <c r="AW255" s="307">
        <f t="shared" si="254"/>
        <v>0.204199437273025</v>
      </c>
      <c r="AX255" s="308">
        <v>3167.42704</v>
      </c>
      <c r="AY255" s="289">
        <v>6408</v>
      </c>
      <c r="AZ255" s="289">
        <f>AY255-AX255</f>
        <v>3240.57296</v>
      </c>
      <c r="BA255" s="307">
        <f t="shared" si="255"/>
        <v>315.10627374961001</v>
      </c>
      <c r="BB255" s="308">
        <v>1128.5999999999999</v>
      </c>
      <c r="BC255" s="289">
        <v>1129.7</v>
      </c>
      <c r="BD255" s="289">
        <f>BC255-BB255</f>
        <v>1.1000000000001364</v>
      </c>
      <c r="BE255" s="307">
        <f t="shared" si="256"/>
        <v>0.10696161000016924</v>
      </c>
      <c r="BF255" s="308">
        <v>-1122.7</v>
      </c>
      <c r="BG255" s="289">
        <v>-1122.7</v>
      </c>
      <c r="BH255" s="289">
        <f>BG255-BF255</f>
        <v>0</v>
      </c>
      <c r="BI255" s="307">
        <f t="shared" si="257"/>
        <v>0</v>
      </c>
      <c r="BJ255" s="281">
        <v>93.151617000000002</v>
      </c>
      <c r="BK255" s="281">
        <v>88.72193</v>
      </c>
      <c r="BL255" s="281">
        <f>BK255-BJ255</f>
        <v>-4.4296870000000013</v>
      </c>
      <c r="BM255" s="408">
        <v>-1122.7</v>
      </c>
      <c r="BN255" s="458">
        <v>-1122.7</v>
      </c>
      <c r="BO255" s="458">
        <f>BN255-BM255</f>
        <v>0</v>
      </c>
      <c r="BP255" s="408">
        <v>1128.5999999999999</v>
      </c>
      <c r="BQ255" s="458">
        <v>1129.7</v>
      </c>
      <c r="BR255" s="458">
        <f>BQ255-BP255</f>
        <v>1.1000000000001364</v>
      </c>
      <c r="BS255" s="281"/>
      <c r="BT255" s="281"/>
      <c r="BU255" s="281"/>
      <c r="BV255" s="281"/>
      <c r="BW255" s="298" t="s">
        <v>713</v>
      </c>
      <c r="BX255" s="422">
        <v>1771.97625113</v>
      </c>
      <c r="BY255" s="422">
        <v>1.4245489</v>
      </c>
      <c r="BZ255" s="422">
        <v>1325.3170560900001</v>
      </c>
      <c r="CA255" s="422">
        <v>1306.7024407900001</v>
      </c>
      <c r="CB255" s="422">
        <v>7.3530889200000003</v>
      </c>
      <c r="CC255" s="422">
        <v>7.31534116</v>
      </c>
      <c r="CD255" s="422">
        <v>0.26771898</v>
      </c>
      <c r="CE255" s="422">
        <v>10.28413941</v>
      </c>
      <c r="CF255" s="422">
        <v>10.25668033</v>
      </c>
      <c r="CG255" s="422">
        <v>0.2470146</v>
      </c>
      <c r="CH255" s="422">
        <v>0.51600818999999998</v>
      </c>
      <c r="CI255" s="422">
        <v>0.28264795999999998</v>
      </c>
    </row>
    <row r="256" spans="1:87" ht="15" customHeight="1" x14ac:dyDescent="0.2">
      <c r="A256" s="297">
        <v>62009058</v>
      </c>
      <c r="B256" s="297" t="s">
        <v>611</v>
      </c>
      <c r="C256" s="297" t="s">
        <v>630</v>
      </c>
      <c r="D256" s="326" t="s">
        <v>991</v>
      </c>
      <c r="E256" s="283" t="s">
        <v>992</v>
      </c>
      <c r="F256" s="310" t="str">
        <f t="shared" si="247"/>
        <v>09/29/20</v>
      </c>
      <c r="G256" s="298" t="s">
        <v>993</v>
      </c>
      <c r="H256" s="298" t="s">
        <v>775</v>
      </c>
      <c r="I256" s="306"/>
      <c r="J256" s="299">
        <v>-6.2696800000000001</v>
      </c>
      <c r="K256" s="299">
        <v>7.5947839999999998</v>
      </c>
      <c r="L256" s="299">
        <v>29.189374999999998</v>
      </c>
      <c r="M256" s="299">
        <v>8.4162020000000002</v>
      </c>
      <c r="N256" s="284">
        <v>3875</v>
      </c>
      <c r="O256" s="284">
        <v>28.39</v>
      </c>
      <c r="P256" s="284">
        <v>0.20169999999999999</v>
      </c>
      <c r="Q256" s="284">
        <v>1.932E-2</v>
      </c>
      <c r="R256" s="285">
        <v>3.59488429</v>
      </c>
      <c r="S256" s="285">
        <f>R256+R255</f>
        <v>13.878947889999999</v>
      </c>
      <c r="T256" s="314">
        <v>88.705145000000002</v>
      </c>
      <c r="U256" s="314">
        <v>87.073958000000005</v>
      </c>
      <c r="V256" s="289">
        <v>6504</v>
      </c>
      <c r="W256" s="289">
        <v>7688.3449019999998</v>
      </c>
      <c r="X256" s="289">
        <f>W256-V256</f>
        <v>1184.3449019999998</v>
      </c>
      <c r="Y256" s="289">
        <f t="shared" si="248"/>
        <v>329.45285757723229</v>
      </c>
      <c r="Z256" s="308">
        <v>426.3</v>
      </c>
      <c r="AA256" s="289">
        <v>482.7</v>
      </c>
      <c r="AB256" s="289">
        <f>AA256-Z256</f>
        <v>56.399999999999977</v>
      </c>
      <c r="AC256" s="289">
        <f t="shared" si="249"/>
        <v>15.688961159859746</v>
      </c>
      <c r="AD256" s="308">
        <v>379.193625</v>
      </c>
      <c r="AE256" s="289">
        <v>429.39</v>
      </c>
      <c r="AF256" s="289">
        <f>AE256-AD256</f>
        <v>50.196374999999989</v>
      </c>
      <c r="AG256" s="289">
        <f t="shared" si="250"/>
        <v>13.963279747176506</v>
      </c>
      <c r="AH256" s="308">
        <v>-6.78</v>
      </c>
      <c r="AI256" s="289">
        <v>-9.8800000000000008</v>
      </c>
      <c r="AJ256" s="289">
        <f>AI256-AH256</f>
        <v>-3.1000000000000005</v>
      </c>
      <c r="AK256" s="307">
        <f t="shared" si="251"/>
        <v>-0.86233651765186592</v>
      </c>
      <c r="AL256" s="308">
        <v>-17.3</v>
      </c>
      <c r="AM256" s="289">
        <v>-19.899999999999999</v>
      </c>
      <c r="AN256" s="289">
        <f>AM256-AL256</f>
        <v>-2.5999999999999979</v>
      </c>
      <c r="AO256" s="307">
        <f t="shared" si="252"/>
        <v>-0.72324998254672557</v>
      </c>
      <c r="AP256" s="308">
        <v>2953.2</v>
      </c>
      <c r="AQ256" s="289">
        <v>3285.2345319999999</v>
      </c>
      <c r="AR256" s="289">
        <f>AQ256-AP256</f>
        <v>332.03453200000013</v>
      </c>
      <c r="AS256" s="307">
        <f t="shared" si="253"/>
        <v>92.36306518227326</v>
      </c>
      <c r="AT256" s="308">
        <v>9.8000000000000007</v>
      </c>
      <c r="AU256" s="289">
        <v>11.2</v>
      </c>
      <c r="AV256" s="289">
        <f>AU256-AT256</f>
        <v>1.3999999999999986</v>
      </c>
      <c r="AW256" s="307">
        <f t="shared" si="254"/>
        <v>0.38944229829439059</v>
      </c>
      <c r="AX256" s="308">
        <v>6421</v>
      </c>
      <c r="AY256" s="289">
        <v>7606</v>
      </c>
      <c r="AZ256" s="289">
        <f>AY256-AX256</f>
        <v>1185</v>
      </c>
      <c r="BA256" s="307">
        <f t="shared" si="255"/>
        <v>329.63508819918093</v>
      </c>
      <c r="BB256" s="308">
        <v>1130.5999999999999</v>
      </c>
      <c r="BC256" s="289">
        <v>1131.3</v>
      </c>
      <c r="BD256" s="289">
        <f>BC256-BB256</f>
        <v>0.70000000000004547</v>
      </c>
      <c r="BE256" s="307">
        <f t="shared" si="256"/>
        <v>0.19472114914720814</v>
      </c>
      <c r="BF256" s="308">
        <v>-1122.7</v>
      </c>
      <c r="BG256" s="289">
        <v>-1122.7</v>
      </c>
      <c r="BH256" s="289">
        <f>BG256-BF256</f>
        <v>0</v>
      </c>
      <c r="BI256" s="307">
        <f t="shared" si="257"/>
        <v>0</v>
      </c>
      <c r="BJ256" s="281">
        <v>88.705145000000002</v>
      </c>
      <c r="BK256" s="281">
        <v>87.073958000000005</v>
      </c>
      <c r="BL256" s="281">
        <f>BK256-BJ256</f>
        <v>-1.6311869999999971</v>
      </c>
      <c r="BM256" s="408">
        <v>-1122.7</v>
      </c>
      <c r="BN256" s="458">
        <v>-1122.7</v>
      </c>
      <c r="BO256" s="458">
        <f>BN256-BM256</f>
        <v>0</v>
      </c>
      <c r="BP256" s="408">
        <v>1130.5999999999999</v>
      </c>
      <c r="BQ256" s="458">
        <v>1131.3</v>
      </c>
      <c r="BR256" s="458">
        <f>BQ256-BP256</f>
        <v>0.70000000000004547</v>
      </c>
      <c r="BS256" s="281"/>
      <c r="BT256" s="281"/>
      <c r="BU256" s="281"/>
      <c r="BV256" s="281"/>
      <c r="BW256" s="298" t="s">
        <v>713</v>
      </c>
      <c r="BX256" s="422">
        <v>2195.7463713299999</v>
      </c>
      <c r="BY256" s="422">
        <v>-1.1134314700000001</v>
      </c>
      <c r="BZ256" s="422">
        <v>2025.8578161800001</v>
      </c>
      <c r="CA256" s="422">
        <v>2048.6683340899999</v>
      </c>
      <c r="CB256" s="422">
        <v>2.9478043399999998</v>
      </c>
      <c r="CC256" s="422">
        <v>2.9656732699999999</v>
      </c>
      <c r="CD256" s="422">
        <v>0.10700218</v>
      </c>
      <c r="CE256" s="422">
        <v>3.59482195</v>
      </c>
      <c r="CF256" s="422">
        <v>3.5909795299999998</v>
      </c>
      <c r="CG256" s="422">
        <v>-0.71382840999999997</v>
      </c>
      <c r="CH256" s="422">
        <v>-0.60252523000000002</v>
      </c>
      <c r="CI256" s="422">
        <v>0.59138714999999997</v>
      </c>
    </row>
    <row r="257" spans="1:87" ht="15" customHeight="1" x14ac:dyDescent="0.2">
      <c r="A257" s="297">
        <v>62009058</v>
      </c>
      <c r="B257" s="297" t="s">
        <v>981</v>
      </c>
      <c r="C257" s="297" t="s">
        <v>631</v>
      </c>
      <c r="D257" s="326" t="s">
        <v>991</v>
      </c>
      <c r="E257" s="283" t="s">
        <v>992</v>
      </c>
      <c r="F257" s="310" t="str">
        <f t="shared" si="247"/>
        <v>09/29/20</v>
      </c>
      <c r="G257" s="298" t="s">
        <v>993</v>
      </c>
      <c r="H257" s="298" t="s">
        <v>775</v>
      </c>
      <c r="I257" s="306"/>
      <c r="J257" s="299">
        <v>-7.2838029999999998</v>
      </c>
      <c r="K257" s="299">
        <v>8.2836040000000004</v>
      </c>
      <c r="L257" s="299">
        <v>29.189506000000002</v>
      </c>
      <c r="M257" s="299">
        <v>9.1742679999999996</v>
      </c>
      <c r="N257" s="284">
        <v>3875</v>
      </c>
      <c r="O257" s="284">
        <v>28.39</v>
      </c>
      <c r="P257" s="284">
        <v>0.20169999999999999</v>
      </c>
      <c r="Q257" s="284">
        <v>1.932E-2</v>
      </c>
      <c r="R257" s="285">
        <v>3.8593335799999999</v>
      </c>
      <c r="S257" s="285">
        <f>R257+R256</f>
        <v>7.4542178699999999</v>
      </c>
      <c r="T257" s="314">
        <v>87.073958000000005</v>
      </c>
      <c r="U257" s="314">
        <v>85.142167999999998</v>
      </c>
      <c r="V257" s="289">
        <v>7689</v>
      </c>
      <c r="W257" s="289">
        <v>9093</v>
      </c>
      <c r="X257" s="289">
        <f>W257-V257</f>
        <v>1404</v>
      </c>
      <c r="Y257" s="289">
        <f t="shared" si="248"/>
        <v>363.79337802667993</v>
      </c>
      <c r="Z257" s="308">
        <v>482.7</v>
      </c>
      <c r="AA257" s="289">
        <v>575.70000000000005</v>
      </c>
      <c r="AB257" s="289">
        <f>AA257-Z257</f>
        <v>93.000000000000057</v>
      </c>
      <c r="AC257" s="289">
        <f t="shared" si="249"/>
        <v>24.097424612878388</v>
      </c>
      <c r="AD257" s="308">
        <v>429.403413</v>
      </c>
      <c r="AE257" s="289">
        <v>512.35316599999999</v>
      </c>
      <c r="AF257" s="289">
        <f>AE257-AD257</f>
        <v>82.949752999999987</v>
      </c>
      <c r="AG257" s="289">
        <f t="shared" si="250"/>
        <v>21.493284081444958</v>
      </c>
      <c r="AH257" s="308">
        <v>-9.8800000000000008</v>
      </c>
      <c r="AI257" s="289">
        <v>-11.52</v>
      </c>
      <c r="AJ257" s="289">
        <f>AI257-AH257</f>
        <v>-1.6399999999999988</v>
      </c>
      <c r="AK257" s="307">
        <f t="shared" si="251"/>
        <v>-0.42494383188301615</v>
      </c>
      <c r="AL257" s="308">
        <v>-19.899999999999999</v>
      </c>
      <c r="AM257" s="289">
        <v>-24.1</v>
      </c>
      <c r="AN257" s="289">
        <f>AM257-AL257</f>
        <v>-4.2000000000000028</v>
      </c>
      <c r="AO257" s="307">
        <f t="shared" si="252"/>
        <v>-1.0882707889687013</v>
      </c>
      <c r="AP257" s="308">
        <v>3285.3</v>
      </c>
      <c r="AQ257" s="289">
        <v>3918.163423</v>
      </c>
      <c r="AR257" s="289">
        <f>AQ257-AP257</f>
        <v>632.86342299999978</v>
      </c>
      <c r="AS257" s="307">
        <f t="shared" si="253"/>
        <v>163.98256587086721</v>
      </c>
      <c r="AT257" s="308">
        <v>11.2</v>
      </c>
      <c r="AU257" s="289">
        <v>13.5</v>
      </c>
      <c r="AV257" s="289">
        <f>AU257-AT257</f>
        <v>2.3000000000000007</v>
      </c>
      <c r="AW257" s="307">
        <f t="shared" si="254"/>
        <v>0.59595781300666961</v>
      </c>
      <c r="AX257" s="308">
        <v>7606</v>
      </c>
      <c r="AY257" s="289">
        <v>9009</v>
      </c>
      <c r="AZ257" s="289">
        <f>AY257-AX257</f>
        <v>1403</v>
      </c>
      <c r="BA257" s="307">
        <f t="shared" si="255"/>
        <v>363.53426593406834</v>
      </c>
      <c r="BB257" s="308">
        <v>1131.3</v>
      </c>
      <c r="BC257" s="289">
        <v>1132.5999999999999</v>
      </c>
      <c r="BD257" s="289">
        <f>BC257-BB257</f>
        <v>1.2999999999999545</v>
      </c>
      <c r="BE257" s="307">
        <f t="shared" si="256"/>
        <v>0.33684572039506222</v>
      </c>
      <c r="BF257" s="308">
        <v>-1122.7</v>
      </c>
      <c r="BG257" s="289">
        <v>-1122.7</v>
      </c>
      <c r="BH257" s="289">
        <f>BG257-BF257</f>
        <v>0</v>
      </c>
      <c r="BI257" s="307">
        <f t="shared" si="257"/>
        <v>0</v>
      </c>
      <c r="BJ257" s="281">
        <v>87.073958000000005</v>
      </c>
      <c r="BK257" s="281">
        <v>85.142167999999998</v>
      </c>
      <c r="BL257" s="281">
        <f>BK257-BJ257</f>
        <v>-1.9317900000000066</v>
      </c>
      <c r="BM257" s="408">
        <v>-1122.7</v>
      </c>
      <c r="BN257" s="458">
        <v>-1122.7</v>
      </c>
      <c r="BO257" s="458">
        <f>BN257-BM257</f>
        <v>0</v>
      </c>
      <c r="BP257" s="408">
        <v>1131.3</v>
      </c>
      <c r="BQ257" s="458">
        <v>1132.5999999999999</v>
      </c>
      <c r="BR257" s="458">
        <f>BQ257-BP257</f>
        <v>1.2999999999999545</v>
      </c>
      <c r="BS257" s="281"/>
      <c r="BT257" s="281"/>
      <c r="BU257" s="281"/>
      <c r="BV257" s="281"/>
      <c r="BW257" s="298" t="s">
        <v>713</v>
      </c>
      <c r="BX257" s="422">
        <v>1349.0199629799999</v>
      </c>
      <c r="BY257" s="422">
        <v>-1.44278727</v>
      </c>
      <c r="BZ257" s="422">
        <v>3366.78070308</v>
      </c>
      <c r="CA257" s="422">
        <v>3416.0672869599998</v>
      </c>
      <c r="CB257" s="422">
        <v>2.71073136</v>
      </c>
      <c r="CC257" s="422">
        <v>2.7415768599999999</v>
      </c>
      <c r="CD257" s="422">
        <v>-1.789994E-2</v>
      </c>
      <c r="CE257" s="422">
        <v>3.85913883</v>
      </c>
      <c r="CF257" s="422">
        <v>3.8598297399999999</v>
      </c>
      <c r="CG257" s="422">
        <v>-1.1197996400000001</v>
      </c>
      <c r="CH257" s="422">
        <v>-1.1251007099999999</v>
      </c>
      <c r="CI257" s="422">
        <v>0.71727881999999998</v>
      </c>
    </row>
    <row r="258" spans="1:87" ht="15" customHeight="1" x14ac:dyDescent="0.2">
      <c r="A258" s="297">
        <v>62009058</v>
      </c>
      <c r="B258" s="297" t="s">
        <v>612</v>
      </c>
      <c r="C258" s="297" t="s">
        <v>632</v>
      </c>
      <c r="D258" s="326" t="s">
        <v>991</v>
      </c>
      <c r="E258" s="283" t="s">
        <v>992</v>
      </c>
      <c r="F258" s="310" t="str">
        <f t="shared" si="247"/>
        <v>09/29/20</v>
      </c>
      <c r="G258" s="298" t="s">
        <v>993</v>
      </c>
      <c r="H258" s="298" t="s">
        <v>775</v>
      </c>
      <c r="I258" s="306"/>
      <c r="J258" s="300">
        <f>AVERAGE(J256:J257)</f>
        <v>-6.7767415</v>
      </c>
      <c r="K258" s="300">
        <f>AVERAGE(K256:K257)</f>
        <v>7.9391940000000005</v>
      </c>
      <c r="L258" s="300">
        <f>AVERAGE(L256:L257)</f>
        <v>29.1894405</v>
      </c>
      <c r="M258" s="300">
        <f>AVERAGE(M256:M257)</f>
        <v>8.7952349999999999</v>
      </c>
      <c r="N258" s="286"/>
      <c r="O258" s="284"/>
      <c r="P258" s="302"/>
      <c r="Q258" s="301"/>
      <c r="R258" s="287">
        <f>R257+R256</f>
        <v>7.4542178699999999</v>
      </c>
      <c r="S258" s="287">
        <f>S257</f>
        <v>7.4542178699999999</v>
      </c>
      <c r="T258" s="315">
        <f>T256</f>
        <v>88.705145000000002</v>
      </c>
      <c r="U258" s="315">
        <f>U257</f>
        <v>85.142167999999998</v>
      </c>
      <c r="V258" s="290">
        <f>V256</f>
        <v>6504</v>
      </c>
      <c r="W258" s="290">
        <f>W257</f>
        <v>9093</v>
      </c>
      <c r="X258" s="290">
        <f>SUM(X256:X257)</f>
        <v>2588.3449019999998</v>
      </c>
      <c r="Y258" s="290">
        <f t="shared" si="248"/>
        <v>347.23225791628221</v>
      </c>
      <c r="Z258" s="290">
        <f>Z256</f>
        <v>426.3</v>
      </c>
      <c r="AA258" s="290">
        <f>AA257</f>
        <v>575.70000000000005</v>
      </c>
      <c r="AB258" s="290">
        <f>SUM(AB256:AB257)</f>
        <v>149.40000000000003</v>
      </c>
      <c r="AC258" s="290">
        <f t="shared" si="249"/>
        <v>20.042344160783166</v>
      </c>
      <c r="AD258" s="290">
        <f>AD256</f>
        <v>379.193625</v>
      </c>
      <c r="AE258" s="290">
        <f>AE257</f>
        <v>512.35316599999999</v>
      </c>
      <c r="AF258" s="290">
        <f>SUM(AF256:AF257)</f>
        <v>133.14612799999998</v>
      </c>
      <c r="AG258" s="290">
        <f t="shared" si="250"/>
        <v>17.861850877186662</v>
      </c>
      <c r="AH258" s="290">
        <f>AH256</f>
        <v>-6.78</v>
      </c>
      <c r="AI258" s="290">
        <f>AI257</f>
        <v>-11.52</v>
      </c>
      <c r="AJ258" s="290">
        <f>SUM(AJ256:AJ257)</f>
        <v>-4.7399999999999993</v>
      </c>
      <c r="AK258" s="288">
        <f t="shared" si="251"/>
        <v>-0.63588160188830101</v>
      </c>
      <c r="AL258" s="290">
        <f>AL256</f>
        <v>-17.3</v>
      </c>
      <c r="AM258" s="290">
        <f>AM257</f>
        <v>-24.1</v>
      </c>
      <c r="AN258" s="290">
        <f>SUM(AN256:AN257)</f>
        <v>-6.8000000000000007</v>
      </c>
      <c r="AO258" s="288">
        <f t="shared" si="252"/>
        <v>-0.91223520946001013</v>
      </c>
      <c r="AP258" s="290">
        <f>AP256</f>
        <v>2953.2</v>
      </c>
      <c r="AQ258" s="290">
        <f>AQ257</f>
        <v>3918.163423</v>
      </c>
      <c r="AR258" s="290">
        <f>SUM(AR256:AR257)</f>
        <v>964.89795499999991</v>
      </c>
      <c r="AS258" s="288">
        <f t="shared" si="253"/>
        <v>129.4432188363177</v>
      </c>
      <c r="AT258" s="290">
        <f>AT256</f>
        <v>9.8000000000000007</v>
      </c>
      <c r="AU258" s="290">
        <f>AU257</f>
        <v>13.5</v>
      </c>
      <c r="AV258" s="290">
        <f>SUM(AV256:AV257)</f>
        <v>3.6999999999999993</v>
      </c>
      <c r="AW258" s="288">
        <f t="shared" si="254"/>
        <v>0.49636327573559363</v>
      </c>
      <c r="AX258" s="290">
        <f>AX256</f>
        <v>6421</v>
      </c>
      <c r="AY258" s="290">
        <f>AY257</f>
        <v>9009</v>
      </c>
      <c r="AZ258" s="290">
        <f>SUM(AZ256:AZ257)</f>
        <v>2588</v>
      </c>
      <c r="BA258" s="288">
        <f t="shared" si="255"/>
        <v>347.18598854154499</v>
      </c>
      <c r="BB258" s="290">
        <f>BB256</f>
        <v>1130.5999999999999</v>
      </c>
      <c r="BC258" s="290">
        <f>BC257</f>
        <v>1132.5999999999999</v>
      </c>
      <c r="BD258" s="290">
        <f>SUM(BD256:BD257)</f>
        <v>2</v>
      </c>
      <c r="BE258" s="288">
        <f t="shared" si="256"/>
        <v>0.26830447337059121</v>
      </c>
      <c r="BF258" s="290">
        <f>BF256</f>
        <v>-1122.7</v>
      </c>
      <c r="BG258" s="290">
        <f>BG257</f>
        <v>-1122.7</v>
      </c>
      <c r="BH258" s="290">
        <f>SUM(BH256:BH257)</f>
        <v>0</v>
      </c>
      <c r="BI258" s="288">
        <f t="shared" si="257"/>
        <v>0</v>
      </c>
      <c r="BJ258" s="282"/>
      <c r="BK258" s="282"/>
      <c r="BL258" s="282">
        <f>SUM(BL256:BL257)</f>
        <v>-3.5629770000000036</v>
      </c>
      <c r="BM258" s="459">
        <f>BM256</f>
        <v>-1122.7</v>
      </c>
      <c r="BN258" s="459">
        <f>BN257</f>
        <v>-1122.7</v>
      </c>
      <c r="BO258" s="459">
        <f>SUM(BO256:BO257)</f>
        <v>0</v>
      </c>
      <c r="BP258" s="459">
        <f>BP256</f>
        <v>1130.5999999999999</v>
      </c>
      <c r="BQ258" s="459">
        <f>BQ257</f>
        <v>1132.5999999999999</v>
      </c>
      <c r="BR258" s="459">
        <f>SUM(BR256:BR257)</f>
        <v>2</v>
      </c>
      <c r="BS258" s="282"/>
      <c r="BT258" s="282"/>
      <c r="BU258" s="282"/>
      <c r="BV258" s="282"/>
      <c r="BW258" s="298" t="s">
        <v>713</v>
      </c>
    </row>
    <row r="259" spans="1:87" ht="15" customHeight="1" x14ac:dyDescent="0.2">
      <c r="A259" s="297">
        <v>62009058</v>
      </c>
      <c r="B259" s="297" t="s">
        <v>613</v>
      </c>
      <c r="C259" s="297" t="s">
        <v>633</v>
      </c>
      <c r="D259" s="326" t="s">
        <v>991</v>
      </c>
      <c r="E259" s="283" t="s">
        <v>992</v>
      </c>
      <c r="F259" s="310" t="str">
        <f t="shared" si="247"/>
        <v>09/29/20</v>
      </c>
      <c r="G259" s="298" t="s">
        <v>993</v>
      </c>
      <c r="H259" s="298" t="s">
        <v>775</v>
      </c>
      <c r="I259" s="306"/>
      <c r="J259" s="299">
        <v>-4.8281669999999997</v>
      </c>
      <c r="K259" s="299">
        <v>8.0937190000000001</v>
      </c>
      <c r="L259" s="299">
        <v>29.191117999999999</v>
      </c>
      <c r="M259" s="299">
        <v>10.623829000000001</v>
      </c>
      <c r="N259" s="284">
        <v>3875</v>
      </c>
      <c r="O259" s="284">
        <v>28.39</v>
      </c>
      <c r="P259" s="284">
        <v>0.20169999999999999</v>
      </c>
      <c r="Q259" s="284">
        <v>1.932E-2</v>
      </c>
      <c r="R259" s="285">
        <v>1.77096984</v>
      </c>
      <c r="S259" s="285">
        <f>R259+R258</f>
        <v>9.2251877100000002</v>
      </c>
      <c r="T259" s="314">
        <v>85.038407000000007</v>
      </c>
      <c r="U259" s="314">
        <v>80.78725</v>
      </c>
      <c r="V259" s="289">
        <v>9171</v>
      </c>
      <c r="W259" s="289">
        <v>12170.262316</v>
      </c>
      <c r="X259" s="289">
        <f>W259-V259-X260</f>
        <v>716.26231600000028</v>
      </c>
      <c r="Y259" s="289">
        <f t="shared" si="248"/>
        <v>404.44636595279354</v>
      </c>
      <c r="Z259" s="308">
        <v>585.9</v>
      </c>
      <c r="AA259" s="289">
        <v>650.6</v>
      </c>
      <c r="AB259" s="289">
        <f>AA259-Z259-AB260</f>
        <v>25</v>
      </c>
      <c r="AC259" s="289">
        <f t="shared" si="249"/>
        <v>14.116558868105852</v>
      </c>
      <c r="AD259" s="308">
        <v>521.39310399999999</v>
      </c>
      <c r="AE259" s="289">
        <v>579.10262299999999</v>
      </c>
      <c r="AF259" s="289">
        <f>AE259-AD259-AF260</f>
        <v>22.309877999999912</v>
      </c>
      <c r="AG259" s="289">
        <f t="shared" si="250"/>
        <v>12.597548245090335</v>
      </c>
      <c r="AH259" s="308">
        <v>-11.66</v>
      </c>
      <c r="AI259" s="289">
        <v>-12.36</v>
      </c>
      <c r="AJ259" s="289">
        <f>AI259-AH259-AJ260</f>
        <v>-0.28999999999999915</v>
      </c>
      <c r="AK259" s="307">
        <f t="shared" si="251"/>
        <v>-0.16375208287002738</v>
      </c>
      <c r="AL259" s="308">
        <v>-24.6</v>
      </c>
      <c r="AM259" s="289">
        <v>-27.5</v>
      </c>
      <c r="AN259" s="289">
        <f>AM259-AL259-AN260</f>
        <v>-1.0999999999999979</v>
      </c>
      <c r="AO259" s="307">
        <f t="shared" si="252"/>
        <v>-0.62112859019665623</v>
      </c>
      <c r="AP259" s="308">
        <v>3985.0310300000001</v>
      </c>
      <c r="AQ259" s="289">
        <v>4438.6262900000002</v>
      </c>
      <c r="AR259" s="289">
        <f>AQ259-AP259-AR260</f>
        <v>172.46848600000067</v>
      </c>
      <c r="AS259" s="307">
        <f t="shared" si="253"/>
        <v>97.386461420483968</v>
      </c>
      <c r="AT259" s="308">
        <v>13.7</v>
      </c>
      <c r="AU259" s="289">
        <v>15.3</v>
      </c>
      <c r="AV259" s="289">
        <f>AU259-AT259-AV260</f>
        <v>0.70000000000000107</v>
      </c>
      <c r="AW259" s="307">
        <f t="shared" si="254"/>
        <v>0.39526364830696442</v>
      </c>
      <c r="AX259" s="308">
        <v>9086.3102980000003</v>
      </c>
      <c r="AY259" s="289">
        <v>12088</v>
      </c>
      <c r="AZ259" s="289">
        <f>AY259-AX259-AZ260</f>
        <v>717.68970199999967</v>
      </c>
      <c r="BA259" s="307">
        <f t="shared" si="255"/>
        <v>405.25235709265365</v>
      </c>
      <c r="BB259" s="308">
        <v>1132.7</v>
      </c>
      <c r="BC259" s="289">
        <v>1133.5999999999999</v>
      </c>
      <c r="BD259" s="289">
        <f>BC259-BB259-BD260</f>
        <v>0.29999999999995453</v>
      </c>
      <c r="BE259" s="307">
        <f t="shared" si="256"/>
        <v>0.16939870641724453</v>
      </c>
      <c r="BF259" s="308">
        <v>-1122.7</v>
      </c>
      <c r="BG259" s="289">
        <v>-1122.7</v>
      </c>
      <c r="BH259" s="289">
        <f>BG259-BF259-BH260</f>
        <v>0</v>
      </c>
      <c r="BI259" s="307">
        <f t="shared" si="257"/>
        <v>0</v>
      </c>
      <c r="BJ259" s="281">
        <v>85.038407000000007</v>
      </c>
      <c r="BK259" s="281">
        <v>80.78725</v>
      </c>
      <c r="BL259" s="281">
        <f>BK259-BJ259-BL260</f>
        <v>-1.0238780000000105</v>
      </c>
      <c r="BM259" s="408">
        <v>-1122.7</v>
      </c>
      <c r="BN259" s="458">
        <v>-1122.7</v>
      </c>
      <c r="BO259" s="458">
        <f>BN259-BM259-BO260</f>
        <v>0</v>
      </c>
      <c r="BP259" s="408">
        <v>1132.7</v>
      </c>
      <c r="BQ259" s="458">
        <v>1133.5999999999999</v>
      </c>
      <c r="BR259" s="458">
        <f>BQ259-BP259-BR260</f>
        <v>0.29999999999995453</v>
      </c>
      <c r="BS259" s="281"/>
      <c r="BT259" s="281"/>
      <c r="BU259" s="281"/>
      <c r="BV259" s="281"/>
      <c r="BW259" s="298" t="s">
        <v>713</v>
      </c>
      <c r="BX259" s="422">
        <v>5070.5201367299996</v>
      </c>
      <c r="BY259" s="422">
        <v>-3.1370267100000002</v>
      </c>
      <c r="BZ259" s="422">
        <v>2382.26133596</v>
      </c>
      <c r="CA259" s="422">
        <v>2459.4138039999998</v>
      </c>
      <c r="CB259" s="422">
        <v>2.8709390799999999</v>
      </c>
      <c r="CC259" s="422">
        <v>2.9253355499999998</v>
      </c>
      <c r="CD259" s="422">
        <v>-6.6381830000000003E-2</v>
      </c>
      <c r="CE259" s="422">
        <v>1.77092856</v>
      </c>
      <c r="CF259" s="422">
        <v>1.7721049099999999</v>
      </c>
      <c r="CG259" s="422">
        <v>-1.8270876700000001</v>
      </c>
      <c r="CH259" s="422">
        <v>-1.8594949000000001</v>
      </c>
      <c r="CI259" s="422">
        <v>0.81464813000000003</v>
      </c>
    </row>
    <row r="260" spans="1:87" ht="15" customHeight="1" x14ac:dyDescent="0.2">
      <c r="A260" s="297">
        <v>62009058</v>
      </c>
      <c r="B260" s="297" t="s">
        <v>614</v>
      </c>
      <c r="C260" s="297" t="s">
        <v>634</v>
      </c>
      <c r="D260" s="326" t="s">
        <v>991</v>
      </c>
      <c r="E260" s="283" t="s">
        <v>992</v>
      </c>
      <c r="F260" s="310" t="str">
        <f t="shared" si="247"/>
        <v>09/29/20</v>
      </c>
      <c r="G260" s="298" t="s">
        <v>993</v>
      </c>
      <c r="H260" s="298" t="s">
        <v>775</v>
      </c>
      <c r="I260" s="306"/>
      <c r="J260" s="299">
        <v>-3.7569999999999999E-2</v>
      </c>
      <c r="K260" s="299">
        <v>5.9324680000000001</v>
      </c>
      <c r="L260" s="299">
        <v>29.188497000000002</v>
      </c>
      <c r="M260" s="299">
        <v>10.106375999999999</v>
      </c>
      <c r="N260" s="284">
        <v>3875</v>
      </c>
      <c r="O260" s="284">
        <v>28.39</v>
      </c>
      <c r="P260" s="284">
        <v>0.20169999999999999</v>
      </c>
      <c r="Q260" s="284">
        <v>1.932E-2</v>
      </c>
      <c r="R260" s="285">
        <v>6.2511243600000004</v>
      </c>
      <c r="S260" s="285">
        <f>R260+R259</f>
        <v>8.0220941999999997</v>
      </c>
      <c r="T260" s="314">
        <v>84.357855999999998</v>
      </c>
      <c r="U260" s="314">
        <v>81.130577000000002</v>
      </c>
      <c r="V260" s="289">
        <v>9652</v>
      </c>
      <c r="W260" s="289">
        <v>11935</v>
      </c>
      <c r="X260" s="289">
        <f>W260-V260</f>
        <v>2283</v>
      </c>
      <c r="Y260" s="289">
        <f t="shared" si="248"/>
        <v>365.21429882415583</v>
      </c>
      <c r="Z260" s="308">
        <v>600</v>
      </c>
      <c r="AA260" s="289">
        <v>639.70000000000005</v>
      </c>
      <c r="AB260" s="289">
        <f>AA260-Z260</f>
        <v>39.700000000000045</v>
      </c>
      <c r="AC260" s="289">
        <f t="shared" si="249"/>
        <v>6.3508574959785387</v>
      </c>
      <c r="AD260" s="308">
        <v>534.00303299999996</v>
      </c>
      <c r="AE260" s="289">
        <v>569.40267400000005</v>
      </c>
      <c r="AF260" s="289">
        <f>AE260-AD260</f>
        <v>35.399641000000088</v>
      </c>
      <c r="AG260" s="289">
        <f t="shared" si="250"/>
        <v>5.6629238135969651</v>
      </c>
      <c r="AH260" s="308">
        <v>-11.84</v>
      </c>
      <c r="AI260" s="289">
        <v>-12.25</v>
      </c>
      <c r="AJ260" s="289">
        <f>AI260-AH260</f>
        <v>-0.41000000000000014</v>
      </c>
      <c r="AK260" s="307">
        <f t="shared" si="251"/>
        <v>-6.5588200840080574E-2</v>
      </c>
      <c r="AL260" s="308">
        <v>-25.2</v>
      </c>
      <c r="AM260" s="289">
        <v>-27</v>
      </c>
      <c r="AN260" s="289">
        <f>AM260-AL260</f>
        <v>-1.8000000000000007</v>
      </c>
      <c r="AO260" s="307">
        <f t="shared" si="252"/>
        <v>-0.28794819881010986</v>
      </c>
      <c r="AP260" s="308">
        <v>4078.8</v>
      </c>
      <c r="AQ260" s="289">
        <v>4359.9267739999996</v>
      </c>
      <c r="AR260" s="289">
        <f>AQ260-AP260</f>
        <v>281.12677399999939</v>
      </c>
      <c r="AS260" s="307">
        <f t="shared" si="253"/>
        <v>44.972193450331446</v>
      </c>
      <c r="AT260" s="308">
        <v>14.1</v>
      </c>
      <c r="AU260" s="289">
        <v>15</v>
      </c>
      <c r="AV260" s="289">
        <f>AU260-AT260</f>
        <v>0.90000000000000036</v>
      </c>
      <c r="AW260" s="307">
        <f t="shared" si="254"/>
        <v>0.14397409940505493</v>
      </c>
      <c r="AX260" s="308">
        <v>9568</v>
      </c>
      <c r="AY260" s="289">
        <v>11852</v>
      </c>
      <c r="AZ260" s="289">
        <f>AY260-AX260</f>
        <v>2284</v>
      </c>
      <c r="BA260" s="307">
        <f t="shared" si="255"/>
        <v>365.37427004571703</v>
      </c>
      <c r="BB260" s="308">
        <v>1132.9000000000001</v>
      </c>
      <c r="BC260" s="289">
        <v>1133.5</v>
      </c>
      <c r="BD260" s="289">
        <f>BC260-BB260</f>
        <v>0.59999999999990905</v>
      </c>
      <c r="BE260" s="307">
        <f t="shared" si="256"/>
        <v>9.5982732936688686E-2</v>
      </c>
      <c r="BF260" s="308">
        <v>-1122.7</v>
      </c>
      <c r="BG260" s="289">
        <v>-1122.7</v>
      </c>
      <c r="BH260" s="289">
        <f>BG260-BF260</f>
        <v>0</v>
      </c>
      <c r="BI260" s="307">
        <f t="shared" si="257"/>
        <v>0</v>
      </c>
      <c r="BJ260" s="281">
        <v>84.357855999999998</v>
      </c>
      <c r="BK260" s="281">
        <v>81.130577000000002</v>
      </c>
      <c r="BL260" s="281">
        <f>BK260-BJ260</f>
        <v>-3.2272789999999958</v>
      </c>
      <c r="BM260" s="408">
        <v>-1122.7</v>
      </c>
      <c r="BN260" s="458">
        <v>-1122.7</v>
      </c>
      <c r="BO260" s="458">
        <f>BN260-BM260</f>
        <v>0</v>
      </c>
      <c r="BP260" s="408">
        <v>1132.9000000000001</v>
      </c>
      <c r="BQ260" s="458">
        <v>1133.5</v>
      </c>
      <c r="BR260" s="458">
        <f>BQ260-BP260</f>
        <v>0.59999999999990905</v>
      </c>
      <c r="BS260" s="281"/>
      <c r="BT260" s="281"/>
      <c r="BU260" s="281"/>
      <c r="BV260" s="281"/>
      <c r="BW260" s="298" t="s">
        <v>713</v>
      </c>
      <c r="BX260" s="422">
        <v>10806.347728860001</v>
      </c>
      <c r="BY260" s="422">
        <v>-7.4333601099999997</v>
      </c>
      <c r="BZ260" s="422">
        <v>1054.1054935499999</v>
      </c>
      <c r="CA260" s="422">
        <v>1138.75311326</v>
      </c>
      <c r="CB260" s="422">
        <v>6.4334360899999998</v>
      </c>
      <c r="CC260" s="422">
        <v>6.5101390200000004</v>
      </c>
      <c r="CD260" s="422">
        <v>0.26233248999999997</v>
      </c>
      <c r="CE260" s="422">
        <v>6.2512144899999997</v>
      </c>
      <c r="CF260" s="422">
        <v>6.2348584300000001</v>
      </c>
      <c r="CG260" s="422">
        <v>-1.4577146599999999</v>
      </c>
      <c r="CH260" s="422">
        <v>-1.1782072699999999</v>
      </c>
      <c r="CI260" s="422">
        <v>0.3463676</v>
      </c>
    </row>
    <row r="261" spans="1:87" ht="15" customHeight="1" x14ac:dyDescent="0.2">
      <c r="A261" s="297">
        <v>62009058</v>
      </c>
      <c r="B261" s="297" t="s">
        <v>615</v>
      </c>
      <c r="C261" s="297" t="s">
        <v>635</v>
      </c>
      <c r="D261" s="326" t="s">
        <v>991</v>
      </c>
      <c r="E261" s="283" t="s">
        <v>992</v>
      </c>
      <c r="F261" s="310" t="str">
        <f t="shared" si="247"/>
        <v>09/29/20</v>
      </c>
      <c r="G261" s="298" t="s">
        <v>993</v>
      </c>
      <c r="H261" s="298" t="s">
        <v>775</v>
      </c>
      <c r="I261" s="306"/>
      <c r="J261" s="300">
        <f>AVERAGE(J259:J260)</f>
        <v>-2.4328684999999997</v>
      </c>
      <c r="K261" s="300">
        <f>AVERAGE(K259:K260)</f>
        <v>7.0130935000000001</v>
      </c>
      <c r="L261" s="300">
        <f>AVERAGE(L259:L260)</f>
        <v>29.189807500000001</v>
      </c>
      <c r="M261" s="300">
        <f>AVERAGE(M259:M260)</f>
        <v>10.365102499999999</v>
      </c>
      <c r="N261" s="286"/>
      <c r="O261" s="284"/>
      <c r="P261" s="302"/>
      <c r="Q261" s="301"/>
      <c r="R261" s="287">
        <f>R260+R259</f>
        <v>8.0220941999999997</v>
      </c>
      <c r="S261" s="287">
        <f>S260</f>
        <v>8.0220941999999997</v>
      </c>
      <c r="T261" s="315">
        <f>T259</f>
        <v>85.038407000000007</v>
      </c>
      <c r="U261" s="315">
        <f>U260</f>
        <v>81.130577000000002</v>
      </c>
      <c r="V261" s="290">
        <f>V259</f>
        <v>9171</v>
      </c>
      <c r="W261" s="290">
        <f>W260</f>
        <v>11935</v>
      </c>
      <c r="X261" s="290">
        <f>SUM(X259:X260)</f>
        <v>2999.2623160000003</v>
      </c>
      <c r="Y261" s="290">
        <f t="shared" si="248"/>
        <v>373.875230236015</v>
      </c>
      <c r="Z261" s="290">
        <f>Z259</f>
        <v>585.9</v>
      </c>
      <c r="AA261" s="290">
        <f>AA260</f>
        <v>639.70000000000005</v>
      </c>
      <c r="AB261" s="290">
        <f>SUM(AB259:AB260)</f>
        <v>64.700000000000045</v>
      </c>
      <c r="AC261" s="290">
        <f t="shared" si="249"/>
        <v>8.0652256613989959</v>
      </c>
      <c r="AD261" s="290">
        <f>AD259</f>
        <v>521.39310399999999</v>
      </c>
      <c r="AE261" s="290">
        <f>AE260</f>
        <v>569.40267400000005</v>
      </c>
      <c r="AF261" s="290">
        <f>SUM(AF259:AF260)</f>
        <v>57.709519</v>
      </c>
      <c r="AG261" s="290">
        <f t="shared" si="250"/>
        <v>7.1938221568128684</v>
      </c>
      <c r="AH261" s="290">
        <f>AH259</f>
        <v>-11.66</v>
      </c>
      <c r="AI261" s="290">
        <f>AI260</f>
        <v>-12.25</v>
      </c>
      <c r="AJ261" s="290">
        <f>SUM(AJ259:AJ260)</f>
        <v>-0.69999999999999929</v>
      </c>
      <c r="AK261" s="288">
        <f t="shared" si="251"/>
        <v>-8.7259010246975077E-2</v>
      </c>
      <c r="AL261" s="290">
        <f>AL259</f>
        <v>-24.6</v>
      </c>
      <c r="AM261" s="290">
        <f>AM260</f>
        <v>-27</v>
      </c>
      <c r="AN261" s="290">
        <f>SUM(AN259:AN260)</f>
        <v>-2.8999999999999986</v>
      </c>
      <c r="AO261" s="288">
        <f t="shared" si="252"/>
        <v>-0.36150161388032548</v>
      </c>
      <c r="AP261" s="290">
        <f>AP259</f>
        <v>3985.0310300000001</v>
      </c>
      <c r="AQ261" s="290">
        <f>AQ260</f>
        <v>4359.9267739999996</v>
      </c>
      <c r="AR261" s="290">
        <f>SUM(AR259:AR260)</f>
        <v>453.59526000000005</v>
      </c>
      <c r="AS261" s="288">
        <f t="shared" si="253"/>
        <v>56.543247771884815</v>
      </c>
      <c r="AT261" s="290">
        <f>AT259</f>
        <v>13.7</v>
      </c>
      <c r="AU261" s="290">
        <f>AU260</f>
        <v>15</v>
      </c>
      <c r="AV261" s="290">
        <f>SUM(AV259:AV260)</f>
        <v>1.6000000000000014</v>
      </c>
      <c r="AW261" s="288">
        <f t="shared" si="254"/>
        <v>0.19944916627880055</v>
      </c>
      <c r="AX261" s="290">
        <f>AX259</f>
        <v>9086.3102980000003</v>
      </c>
      <c r="AY261" s="290">
        <f>AY260</f>
        <v>11852</v>
      </c>
      <c r="AZ261" s="290">
        <f>SUM(AZ259:AZ260)</f>
        <v>3001.6897019999997</v>
      </c>
      <c r="BA261" s="288">
        <f t="shared" si="255"/>
        <v>374.17781780722544</v>
      </c>
      <c r="BB261" s="290">
        <f>BB259</f>
        <v>1132.7</v>
      </c>
      <c r="BC261" s="290">
        <f>BC260</f>
        <v>1133.5</v>
      </c>
      <c r="BD261" s="290">
        <f>SUM(BD259:BD260)</f>
        <v>0.89999999999986358</v>
      </c>
      <c r="BE261" s="288">
        <f t="shared" si="256"/>
        <v>0.11219015603180821</v>
      </c>
      <c r="BF261" s="290">
        <f>BF259</f>
        <v>-1122.7</v>
      </c>
      <c r="BG261" s="290">
        <f>BG260</f>
        <v>-1122.7</v>
      </c>
      <c r="BH261" s="290">
        <f>SUM(BH259:BH260)</f>
        <v>0</v>
      </c>
      <c r="BI261" s="288">
        <f t="shared" si="257"/>
        <v>0</v>
      </c>
      <c r="BJ261" s="282"/>
      <c r="BK261" s="282"/>
      <c r="BL261" s="282">
        <f>SUM(BL259:BL260)</f>
        <v>-4.2511570000000063</v>
      </c>
      <c r="BM261" s="459">
        <f>BM259</f>
        <v>-1122.7</v>
      </c>
      <c r="BN261" s="459">
        <f>BN260</f>
        <v>-1122.7</v>
      </c>
      <c r="BO261" s="459">
        <f>SUM(BO259:BO260)</f>
        <v>0</v>
      </c>
      <c r="BP261" s="459">
        <f>BP259</f>
        <v>1132.7</v>
      </c>
      <c r="BQ261" s="459">
        <f>BQ260</f>
        <v>1133.5</v>
      </c>
      <c r="BR261" s="459">
        <f>SUM(BR259:BR260)</f>
        <v>0.89999999999986358</v>
      </c>
      <c r="BS261" s="282"/>
      <c r="BT261" s="282"/>
      <c r="BU261" s="282"/>
      <c r="BV261" s="282"/>
      <c r="BW261" s="298" t="s">
        <v>713</v>
      </c>
    </row>
    <row r="262" spans="1:87" ht="15" customHeight="1" x14ac:dyDescent="0.2">
      <c r="A262" s="457" t="s">
        <v>994</v>
      </c>
      <c r="B262" s="334"/>
      <c r="C262" s="334"/>
      <c r="D262" s="335"/>
      <c r="E262" s="334"/>
      <c r="F262" s="334"/>
      <c r="G262" s="335"/>
      <c r="H262" s="335"/>
      <c r="I262" s="335"/>
      <c r="J262" s="335"/>
      <c r="K262" s="335"/>
      <c r="L262" s="335"/>
      <c r="M262" s="335"/>
      <c r="N262" s="335"/>
      <c r="O262" s="335"/>
      <c r="P262" s="336"/>
      <c r="Q262" s="337"/>
      <c r="R262" s="334"/>
      <c r="S262" s="334"/>
      <c r="T262" s="334"/>
      <c r="U262" s="334"/>
      <c r="V262" s="341"/>
      <c r="W262" s="341"/>
      <c r="X262" s="334"/>
      <c r="Y262" s="334"/>
      <c r="Z262" s="341"/>
      <c r="AA262" s="341"/>
      <c r="AB262" s="334"/>
      <c r="AC262" s="334"/>
      <c r="AD262" s="341"/>
      <c r="AE262" s="341"/>
      <c r="AF262" s="334"/>
      <c r="AG262" s="334"/>
      <c r="AH262" s="334"/>
      <c r="AI262" s="334"/>
      <c r="AJ262" s="334"/>
      <c r="AK262" s="334"/>
      <c r="AL262" s="341"/>
      <c r="AM262" s="341"/>
      <c r="AN262" s="334"/>
      <c r="AO262" s="334"/>
      <c r="AP262" s="334"/>
      <c r="AQ262" s="334"/>
      <c r="AR262" s="334"/>
      <c r="AS262" s="334"/>
      <c r="AT262" s="334"/>
      <c r="AU262" s="334"/>
      <c r="AV262" s="334"/>
      <c r="AW262" s="334"/>
      <c r="AX262" s="334"/>
      <c r="AY262" s="334"/>
      <c r="AZ262" s="334"/>
      <c r="BA262" s="334"/>
      <c r="BB262" s="334"/>
      <c r="BC262" s="334"/>
      <c r="BD262" s="334"/>
      <c r="BE262" s="334"/>
      <c r="BF262" s="334"/>
      <c r="BG262" s="334"/>
      <c r="BH262" s="334"/>
      <c r="BI262" s="334"/>
      <c r="BJ262" s="334"/>
      <c r="BK262" s="334"/>
      <c r="BL262" s="338"/>
    </row>
    <row r="263" spans="1:87" ht="15" customHeight="1" x14ac:dyDescent="0.2">
      <c r="A263" s="297">
        <v>62009059</v>
      </c>
      <c r="B263" s="297" t="s">
        <v>607</v>
      </c>
      <c r="C263" s="297" t="s">
        <v>626</v>
      </c>
      <c r="D263" s="326" t="s">
        <v>778</v>
      </c>
      <c r="E263" s="283" t="s">
        <v>996</v>
      </c>
      <c r="F263" s="310" t="str">
        <f t="shared" si="247"/>
        <v>09/30/20</v>
      </c>
      <c r="G263" s="298" t="s">
        <v>997</v>
      </c>
      <c r="H263" s="298" t="s">
        <v>775</v>
      </c>
      <c r="I263" s="306"/>
      <c r="J263" s="299">
        <v>-16.531697000000001</v>
      </c>
      <c r="K263" s="299">
        <v>16.038378999999999</v>
      </c>
      <c r="L263" s="299">
        <v>28.881903999999999</v>
      </c>
      <c r="M263" s="299">
        <v>-1.9968239999999999</v>
      </c>
      <c r="N263" s="284">
        <v>3875</v>
      </c>
      <c r="O263" s="284">
        <v>28.39</v>
      </c>
      <c r="P263" s="284">
        <v>0.20169999999999999</v>
      </c>
      <c r="Q263" s="284">
        <v>1.932E-2</v>
      </c>
      <c r="R263" s="285">
        <v>3.59574996</v>
      </c>
      <c r="S263" s="285">
        <f>R263+R262</f>
        <v>3.59574996</v>
      </c>
      <c r="T263" s="314">
        <v>97.212036999999995</v>
      </c>
      <c r="U263" s="314">
        <v>94.635429999999999</v>
      </c>
      <c r="V263" s="289">
        <v>5</v>
      </c>
      <c r="W263" s="289">
        <v>1910.7397739999999</v>
      </c>
      <c r="X263" s="289">
        <f>W263-V263</f>
        <v>1905.7397739999999</v>
      </c>
      <c r="Y263" s="289">
        <f t="shared" ref="Y263:Y285" si="258">X263/$R263</f>
        <v>529.99785724811625</v>
      </c>
      <c r="Z263" s="308">
        <v>4.4000000000000004</v>
      </c>
      <c r="AA263" s="289">
        <v>70.900000000000006</v>
      </c>
      <c r="AB263" s="289">
        <f>AA263-Z263</f>
        <v>66.5</v>
      </c>
      <c r="AC263" s="289">
        <f t="shared" ref="AC263:AC285" si="259">AB263/$R263</f>
        <v>18.494055687898832</v>
      </c>
      <c r="AD263" s="308">
        <v>3.7676219999999998</v>
      </c>
      <c r="AE263" s="289">
        <v>62.847397999999998</v>
      </c>
      <c r="AF263" s="289">
        <f>AE263-AD263</f>
        <v>59.079775999999995</v>
      </c>
      <c r="AG263" s="289">
        <f t="shared" ref="AG263:AG285" si="260">AF263/$R263</f>
        <v>16.430446125903593</v>
      </c>
      <c r="AH263" s="308">
        <v>0.22</v>
      </c>
      <c r="AI263" s="289">
        <v>-2.8</v>
      </c>
      <c r="AJ263" s="289">
        <f>AI263-AH263</f>
        <v>-3.02</v>
      </c>
      <c r="AK263" s="307">
        <f t="shared" ref="AK263:AK285" si="261">AJ263/$R263</f>
        <v>-0.83988042372111993</v>
      </c>
      <c r="AL263" s="308">
        <v>-0.2</v>
      </c>
      <c r="AM263" s="289">
        <v>-2.9</v>
      </c>
      <c r="AN263" s="289">
        <f>AM263-AL263</f>
        <v>-2.6999999999999997</v>
      </c>
      <c r="AO263" s="307">
        <f t="shared" ref="AO263:AO285" si="262">AN263/$R263</f>
        <v>-0.75088647153874954</v>
      </c>
      <c r="AP263" s="308">
        <v>0</v>
      </c>
      <c r="AQ263" s="289">
        <v>817.273955</v>
      </c>
      <c r="AR263" s="289">
        <f>AQ263-AP263</f>
        <v>817.273955</v>
      </c>
      <c r="AS263" s="307">
        <f t="shared" ref="AS263:AS285" si="263">AR263/$R263</f>
        <v>227.28887272239587</v>
      </c>
      <c r="AT263" s="308">
        <v>0.1</v>
      </c>
      <c r="AU263" s="289">
        <v>1.7</v>
      </c>
      <c r="AV263" s="289">
        <f>AU263-AT263</f>
        <v>1.5999999999999999</v>
      </c>
      <c r="AW263" s="307">
        <f t="shared" ref="AW263:AW285" si="264">AV263/$R263</f>
        <v>0.44496976091185159</v>
      </c>
      <c r="AX263" s="308">
        <v>5</v>
      </c>
      <c r="AY263" s="289">
        <v>1911</v>
      </c>
      <c r="AZ263" s="289">
        <f>AY263-AX263</f>
        <v>1906</v>
      </c>
      <c r="BA263" s="307">
        <f t="shared" ref="BA263:BA285" si="265">AZ263/$R263</f>
        <v>530.07022768624324</v>
      </c>
      <c r="BB263" s="308">
        <v>0.9</v>
      </c>
      <c r="BC263" s="289">
        <v>1.7</v>
      </c>
      <c r="BD263" s="289">
        <f>BC263-BB263</f>
        <v>0.79999999999999993</v>
      </c>
      <c r="BE263" s="307">
        <f t="shared" ref="BE263:BE285" si="266">BD263/$R263</f>
        <v>0.22248488045592579</v>
      </c>
      <c r="BF263" s="308">
        <v>0</v>
      </c>
      <c r="BG263" s="289">
        <v>0</v>
      </c>
      <c r="BH263" s="289">
        <f>BG263-BF263</f>
        <v>0</v>
      </c>
      <c r="BI263" s="307">
        <f t="shared" ref="BI263:BI285" si="267">BH263/$R263</f>
        <v>0</v>
      </c>
      <c r="BJ263" s="281">
        <v>97.212036999999995</v>
      </c>
      <c r="BK263" s="281">
        <v>94.635429999999999</v>
      </c>
      <c r="BL263" s="281">
        <f>BK263-BJ263</f>
        <v>-2.5766069999999957</v>
      </c>
      <c r="BM263" s="408">
        <v>0</v>
      </c>
      <c r="BN263" s="458">
        <v>0</v>
      </c>
      <c r="BO263" s="458">
        <f>BN263-BM263</f>
        <v>0</v>
      </c>
      <c r="BP263" s="408">
        <v>0.9</v>
      </c>
      <c r="BQ263" s="458">
        <v>1.7</v>
      </c>
      <c r="BR263" s="458">
        <f>BQ263-BP263</f>
        <v>0.79999999999999993</v>
      </c>
      <c r="BS263" s="281"/>
      <c r="BT263" s="281"/>
      <c r="BU263" s="281"/>
      <c r="BV263" s="281"/>
      <c r="BW263" s="298" t="s">
        <v>713</v>
      </c>
      <c r="BX263" s="422">
        <v>2200.9703286099998</v>
      </c>
      <c r="BY263" s="422">
        <v>-0.87471032999999998</v>
      </c>
      <c r="BZ263" s="422">
        <v>2030.8536844400001</v>
      </c>
      <c r="CA263" s="422">
        <v>2048.7745268600002</v>
      </c>
      <c r="CB263" s="422">
        <v>2.9541275499999999</v>
      </c>
      <c r="CC263" s="422">
        <v>2.9658148600000001</v>
      </c>
      <c r="CD263" s="422">
        <v>0.13042555</v>
      </c>
      <c r="CE263" s="422">
        <v>3.5956635299999999</v>
      </c>
      <c r="CF263" s="422">
        <v>3.5909799800000002</v>
      </c>
      <c r="CG263" s="422">
        <v>-0.52656811999999997</v>
      </c>
      <c r="CH263" s="422">
        <v>-0.39406753</v>
      </c>
      <c r="CI263" s="422">
        <v>0.59140276000000003</v>
      </c>
    </row>
    <row r="264" spans="1:87" ht="15" customHeight="1" x14ac:dyDescent="0.2">
      <c r="A264" s="297">
        <f>A263</f>
        <v>62009059</v>
      </c>
      <c r="B264" s="297" t="s">
        <v>608</v>
      </c>
      <c r="C264" s="297" t="s">
        <v>627</v>
      </c>
      <c r="D264" s="326" t="s">
        <v>778</v>
      </c>
      <c r="E264" s="283" t="s">
        <v>996</v>
      </c>
      <c r="F264" s="310" t="str">
        <f t="shared" si="247"/>
        <v>09/30/20</v>
      </c>
      <c r="G264" s="298" t="s">
        <v>997</v>
      </c>
      <c r="H264" s="298" t="s">
        <v>775</v>
      </c>
      <c r="I264" s="306"/>
      <c r="J264" s="299">
        <v>-17.863061999999999</v>
      </c>
      <c r="K264" s="299">
        <v>16.895949999999999</v>
      </c>
      <c r="L264" s="299">
        <v>28.886680999999999</v>
      </c>
      <c r="M264" s="299">
        <v>2.0467249999999999</v>
      </c>
      <c r="N264" s="284">
        <v>3875</v>
      </c>
      <c r="O264" s="284">
        <v>28.39</v>
      </c>
      <c r="P264" s="284">
        <v>0.20169999999999999</v>
      </c>
      <c r="Q264" s="284">
        <v>1.932E-2</v>
      </c>
      <c r="R264" s="285">
        <v>3.8573544599999998</v>
      </c>
      <c r="S264" s="285">
        <f>R264+R263</f>
        <v>7.4531044199999998</v>
      </c>
      <c r="T264" s="314">
        <v>94.634792000000004</v>
      </c>
      <c r="U264" s="314">
        <v>91.795091999999997</v>
      </c>
      <c r="V264" s="289">
        <v>1911</v>
      </c>
      <c r="W264" s="289">
        <v>3997</v>
      </c>
      <c r="X264" s="289">
        <f>W264-V264</f>
        <v>2086</v>
      </c>
      <c r="Y264" s="289">
        <f t="shared" si="258"/>
        <v>540.78514734163173</v>
      </c>
      <c r="Z264" s="308">
        <v>71</v>
      </c>
      <c r="AA264" s="289">
        <v>178.4</v>
      </c>
      <c r="AB264" s="289">
        <f>AA264-Z264</f>
        <v>107.4</v>
      </c>
      <c r="AC264" s="289">
        <f t="shared" si="259"/>
        <v>27.842916982018814</v>
      </c>
      <c r="AD264" s="308">
        <v>62.875022999999999</v>
      </c>
      <c r="AE264" s="289">
        <v>158.367119</v>
      </c>
      <c r="AF264" s="289">
        <f>AE264-AD264</f>
        <v>95.492096000000004</v>
      </c>
      <c r="AG264" s="289">
        <f t="shared" si="260"/>
        <v>24.75585196803511</v>
      </c>
      <c r="AH264" s="308">
        <v>-2.8</v>
      </c>
      <c r="AI264" s="289">
        <v>-6.08</v>
      </c>
      <c r="AJ264" s="289">
        <f>AI264-AH264</f>
        <v>-3.2800000000000002</v>
      </c>
      <c r="AK264" s="307">
        <f t="shared" si="261"/>
        <v>-0.85032372161100289</v>
      </c>
      <c r="AL264" s="308">
        <v>-2.9</v>
      </c>
      <c r="AM264" s="289">
        <v>-7.7</v>
      </c>
      <c r="AN264" s="289">
        <f>AM264-AL264</f>
        <v>-4.8000000000000007</v>
      </c>
      <c r="AO264" s="307">
        <f t="shared" si="262"/>
        <v>-1.2443761779673215</v>
      </c>
      <c r="AP264" s="308">
        <v>817.57513700000004</v>
      </c>
      <c r="AQ264" s="289">
        <v>2019.1423139999999</v>
      </c>
      <c r="AR264" s="289">
        <f>AQ264-AP264</f>
        <v>1201.5671769999999</v>
      </c>
      <c r="AS264" s="307">
        <f t="shared" si="263"/>
        <v>311.50032735130077</v>
      </c>
      <c r="AT264" s="308">
        <v>1.7</v>
      </c>
      <c r="AU264" s="289">
        <v>4.4000000000000004</v>
      </c>
      <c r="AV264" s="289">
        <f>AU264-AT264</f>
        <v>2.7</v>
      </c>
      <c r="AW264" s="307">
        <f t="shared" si="264"/>
        <v>0.69996160010661823</v>
      </c>
      <c r="AX264" s="308">
        <v>1911</v>
      </c>
      <c r="AY264" s="289">
        <v>3997</v>
      </c>
      <c r="AZ264" s="289">
        <f>AY264-AX264</f>
        <v>2086</v>
      </c>
      <c r="BA264" s="307">
        <f t="shared" si="265"/>
        <v>540.78514734163173</v>
      </c>
      <c r="BB264" s="308">
        <v>1.7</v>
      </c>
      <c r="BC264" s="289">
        <v>3</v>
      </c>
      <c r="BD264" s="289">
        <f>BC264-BB264</f>
        <v>1.3</v>
      </c>
      <c r="BE264" s="307">
        <f t="shared" si="266"/>
        <v>0.33701854819948285</v>
      </c>
      <c r="BF264" s="308">
        <v>0</v>
      </c>
      <c r="BG264" s="289">
        <v>0</v>
      </c>
      <c r="BH264" s="289">
        <f>BG264-BF264</f>
        <v>0</v>
      </c>
      <c r="BI264" s="307">
        <f t="shared" si="267"/>
        <v>0</v>
      </c>
      <c r="BJ264" s="281">
        <v>94.634792000000004</v>
      </c>
      <c r="BK264" s="281">
        <v>91.795091999999997</v>
      </c>
      <c r="BL264" s="281">
        <f>BK264-BJ264</f>
        <v>-2.8397000000000077</v>
      </c>
      <c r="BM264" s="408">
        <v>0</v>
      </c>
      <c r="BN264" s="458">
        <v>0</v>
      </c>
      <c r="BO264" s="458">
        <f>BN264-BM264</f>
        <v>0</v>
      </c>
      <c r="BP264" s="408">
        <v>1.7</v>
      </c>
      <c r="BQ264" s="458">
        <v>3</v>
      </c>
      <c r="BR264" s="458">
        <f>BQ264-BP264</f>
        <v>1.3</v>
      </c>
      <c r="BS264" s="281"/>
      <c r="BT264" s="281"/>
      <c r="BU264" s="281"/>
      <c r="BV264" s="281"/>
      <c r="BW264" s="298" t="s">
        <v>713</v>
      </c>
      <c r="BX264" s="422">
        <v>1349.0318237900001</v>
      </c>
      <c r="BY264" s="422">
        <v>-1.0053433700000001</v>
      </c>
      <c r="BZ264" s="422">
        <v>3381.7258718899998</v>
      </c>
      <c r="CA264" s="422">
        <v>3416.0690961099999</v>
      </c>
      <c r="CB264" s="422">
        <v>2.72180958</v>
      </c>
      <c r="CC264" s="422">
        <v>2.7415882499999999</v>
      </c>
      <c r="CD264" s="422">
        <v>-6.9384539999999995E-2</v>
      </c>
      <c r="CE264" s="422">
        <v>3.8571521099999999</v>
      </c>
      <c r="CF264" s="422">
        <v>3.85983024</v>
      </c>
      <c r="CG264" s="422">
        <v>-0.65678473999999998</v>
      </c>
      <c r="CH264" s="422">
        <v>-0.72143102000000003</v>
      </c>
      <c r="CI264" s="422">
        <v>0.71727430999999997</v>
      </c>
    </row>
    <row r="265" spans="1:87" ht="15" customHeight="1" x14ac:dyDescent="0.2">
      <c r="A265" s="297">
        <f>A264</f>
        <v>62009059</v>
      </c>
      <c r="B265" s="297" t="s">
        <v>609</v>
      </c>
      <c r="C265" s="297" t="s">
        <v>628</v>
      </c>
      <c r="D265" s="326" t="s">
        <v>778</v>
      </c>
      <c r="E265" s="283" t="s">
        <v>996</v>
      </c>
      <c r="F265" s="310" t="str">
        <f t="shared" si="247"/>
        <v>09/30/20</v>
      </c>
      <c r="G265" s="298" t="s">
        <v>997</v>
      </c>
      <c r="H265" s="298" t="s">
        <v>775</v>
      </c>
      <c r="I265" s="306"/>
      <c r="J265" s="300">
        <f>AVERAGE(J263:J264)</f>
        <v>-17.1973795</v>
      </c>
      <c r="K265" s="300">
        <f>AVERAGE(K263:K264)</f>
        <v>16.467164499999999</v>
      </c>
      <c r="L265" s="300">
        <f>AVERAGE(L263:L264)</f>
        <v>28.884292500000001</v>
      </c>
      <c r="M265" s="300">
        <f>AVERAGE(M263:M264)</f>
        <v>2.4950499999999987E-2</v>
      </c>
      <c r="N265" s="286"/>
      <c r="O265" s="284"/>
      <c r="P265" s="302"/>
      <c r="Q265" s="301"/>
      <c r="R265" s="287">
        <f>R264+R263</f>
        <v>7.4531044199999998</v>
      </c>
      <c r="S265" s="287">
        <f>S264</f>
        <v>7.4531044199999998</v>
      </c>
      <c r="T265" s="315">
        <f>T263</f>
        <v>97.212036999999995</v>
      </c>
      <c r="U265" s="315">
        <f>U264</f>
        <v>91.795091999999997</v>
      </c>
      <c r="V265" s="290">
        <f>V263</f>
        <v>5</v>
      </c>
      <c r="W265" s="290">
        <f>W264</f>
        <v>3997</v>
      </c>
      <c r="X265" s="290">
        <f>SUM(X263:X264)</f>
        <v>3991.7397739999997</v>
      </c>
      <c r="Y265" s="290">
        <f t="shared" si="258"/>
        <v>535.58081962307995</v>
      </c>
      <c r="Z265" s="290">
        <f>Z263</f>
        <v>4.4000000000000004</v>
      </c>
      <c r="AA265" s="290">
        <f>AA264</f>
        <v>178.4</v>
      </c>
      <c r="AB265" s="290">
        <f>SUM(AB263:AB264)</f>
        <v>173.9</v>
      </c>
      <c r="AC265" s="290">
        <f t="shared" si="259"/>
        <v>23.332559186122339</v>
      </c>
      <c r="AD265" s="290">
        <f>AD263</f>
        <v>3.7676219999999998</v>
      </c>
      <c r="AE265" s="290">
        <f>AE264</f>
        <v>158.367119</v>
      </c>
      <c r="AF265" s="290">
        <f>SUM(AF263:AF264)</f>
        <v>154.57187199999998</v>
      </c>
      <c r="AG265" s="290">
        <f t="shared" si="260"/>
        <v>20.73926021822729</v>
      </c>
      <c r="AH265" s="290">
        <f>AH263</f>
        <v>0.22</v>
      </c>
      <c r="AI265" s="290">
        <f>AI264</f>
        <v>-6.08</v>
      </c>
      <c r="AJ265" s="290">
        <f>SUM(AJ263:AJ264)</f>
        <v>-6.3000000000000007</v>
      </c>
      <c r="AK265" s="288">
        <f t="shared" si="261"/>
        <v>-0.84528535291875073</v>
      </c>
      <c r="AL265" s="290">
        <f>AL263</f>
        <v>-0.2</v>
      </c>
      <c r="AM265" s="290">
        <f>AM264</f>
        <v>-7.7</v>
      </c>
      <c r="AN265" s="290">
        <f>SUM(AN263:AN264)</f>
        <v>-7.5</v>
      </c>
      <c r="AO265" s="288">
        <f t="shared" si="262"/>
        <v>-1.0062920868080365</v>
      </c>
      <c r="AP265" s="290">
        <f>AP263</f>
        <v>0</v>
      </c>
      <c r="AQ265" s="290">
        <f>AQ264</f>
        <v>2019.1423139999999</v>
      </c>
      <c r="AR265" s="290">
        <f>SUM(AR263:AR264)</f>
        <v>2018.841132</v>
      </c>
      <c r="AS265" s="288">
        <f t="shared" si="263"/>
        <v>270.87251408722381</v>
      </c>
      <c r="AT265" s="290">
        <f>AT263</f>
        <v>0.1</v>
      </c>
      <c r="AU265" s="290">
        <f>AU264</f>
        <v>4.4000000000000004</v>
      </c>
      <c r="AV265" s="290">
        <f>SUM(AV263:AV264)</f>
        <v>4.3</v>
      </c>
      <c r="AW265" s="288">
        <f t="shared" si="264"/>
        <v>0.57694079643660756</v>
      </c>
      <c r="AX265" s="290">
        <f>AX263</f>
        <v>5</v>
      </c>
      <c r="AY265" s="290">
        <f>AY264</f>
        <v>3997</v>
      </c>
      <c r="AZ265" s="290">
        <f>SUM(AZ263:AZ264)</f>
        <v>3992</v>
      </c>
      <c r="BA265" s="288">
        <f t="shared" si="265"/>
        <v>535.61573473835756</v>
      </c>
      <c r="BB265" s="290">
        <f>BB263</f>
        <v>0.9</v>
      </c>
      <c r="BC265" s="290">
        <f>BC264</f>
        <v>3</v>
      </c>
      <c r="BD265" s="290">
        <f>SUM(BD263:BD264)</f>
        <v>2.1</v>
      </c>
      <c r="BE265" s="288">
        <f t="shared" si="266"/>
        <v>0.28176178430625021</v>
      </c>
      <c r="BF265" s="290">
        <f>BF263</f>
        <v>0</v>
      </c>
      <c r="BG265" s="290">
        <f>BG264</f>
        <v>0</v>
      </c>
      <c r="BH265" s="290">
        <f>SUM(BH263:BH264)</f>
        <v>0</v>
      </c>
      <c r="BI265" s="288">
        <f t="shared" si="267"/>
        <v>0</v>
      </c>
      <c r="BJ265" s="282"/>
      <c r="BK265" s="282"/>
      <c r="BL265" s="282">
        <f>SUM(BL263:BL264)</f>
        <v>-5.4163070000000033</v>
      </c>
      <c r="BM265" s="459">
        <f>BM263</f>
        <v>0</v>
      </c>
      <c r="BN265" s="459">
        <f>BN264</f>
        <v>0</v>
      </c>
      <c r="BO265" s="459">
        <f>SUM(BO263:BO264)</f>
        <v>0</v>
      </c>
      <c r="BP265" s="459">
        <f>BP263</f>
        <v>0.9</v>
      </c>
      <c r="BQ265" s="459">
        <f>BQ264</f>
        <v>3</v>
      </c>
      <c r="BR265" s="459">
        <f>SUM(BR263:BR264)</f>
        <v>2.1</v>
      </c>
      <c r="BS265" s="282"/>
      <c r="BT265" s="282"/>
      <c r="BU265" s="282"/>
      <c r="BV265" s="282"/>
      <c r="BW265" s="298" t="s">
        <v>713</v>
      </c>
    </row>
    <row r="266" spans="1:87" ht="15" customHeight="1" x14ac:dyDescent="0.2">
      <c r="A266" s="297">
        <f t="shared" ref="A266:A272" si="268">A265</f>
        <v>62009059</v>
      </c>
      <c r="B266" s="297" t="s">
        <v>610</v>
      </c>
      <c r="C266" s="297" t="s">
        <v>629</v>
      </c>
      <c r="D266" s="326" t="s">
        <v>778</v>
      </c>
      <c r="E266" s="283" t="s">
        <v>996</v>
      </c>
      <c r="F266" s="310" t="str">
        <f t="shared" si="247"/>
        <v>09/30/20</v>
      </c>
      <c r="G266" s="298" t="s">
        <v>997</v>
      </c>
      <c r="H266" s="298" t="s">
        <v>775</v>
      </c>
      <c r="I266" s="306"/>
      <c r="J266" s="299">
        <v>-12.982208999999999</v>
      </c>
      <c r="K266" s="299">
        <v>12.582153</v>
      </c>
      <c r="L266" s="299">
        <v>28.887398999999998</v>
      </c>
      <c r="M266" s="299">
        <v>2.2537600000000002</v>
      </c>
      <c r="N266" s="284">
        <v>3875</v>
      </c>
      <c r="O266" s="284">
        <v>28.39</v>
      </c>
      <c r="P266" s="284">
        <v>0.20169999999999999</v>
      </c>
      <c r="Q266" s="284">
        <v>1.932E-2</v>
      </c>
      <c r="R266" s="285">
        <v>10.283108479999999</v>
      </c>
      <c r="S266" s="285">
        <f>R266+R265</f>
        <v>17.736212899999998</v>
      </c>
      <c r="T266" s="314">
        <v>91.766751999999997</v>
      </c>
      <c r="U266" s="314">
        <v>86.590247000000005</v>
      </c>
      <c r="V266" s="289">
        <v>4019</v>
      </c>
      <c r="W266" s="289">
        <v>7752</v>
      </c>
      <c r="X266" s="289">
        <f>W266-V266</f>
        <v>3733</v>
      </c>
      <c r="Y266" s="289">
        <f t="shared" si="258"/>
        <v>363.02252448862623</v>
      </c>
      <c r="Z266" s="308">
        <v>180.4</v>
      </c>
      <c r="AA266" s="289">
        <v>273.2</v>
      </c>
      <c r="AB266" s="289">
        <f>AA266-Z266</f>
        <v>92.799999999999983</v>
      </c>
      <c r="AC266" s="289">
        <f t="shared" si="259"/>
        <v>9.024508511262928</v>
      </c>
      <c r="AD266" s="308">
        <v>160.127014</v>
      </c>
      <c r="AE266" s="289">
        <v>242.68673200000001</v>
      </c>
      <c r="AF266" s="289">
        <f>AE266-AD266</f>
        <v>82.559718000000004</v>
      </c>
      <c r="AG266" s="289">
        <f t="shared" si="260"/>
        <v>8.0286732519231396</v>
      </c>
      <c r="AH266" s="308">
        <v>-6.13</v>
      </c>
      <c r="AI266" s="289">
        <v>-8.17</v>
      </c>
      <c r="AJ266" s="289">
        <f>AI266-AH266</f>
        <v>-2.04</v>
      </c>
      <c r="AK266" s="307">
        <f t="shared" si="261"/>
        <v>-0.19838359227345234</v>
      </c>
      <c r="AL266" s="308">
        <v>-7.8</v>
      </c>
      <c r="AM266" s="289">
        <v>-11.8</v>
      </c>
      <c r="AN266" s="289">
        <f>AM266-AL266</f>
        <v>-4.0000000000000009</v>
      </c>
      <c r="AO266" s="307">
        <f t="shared" si="262"/>
        <v>-0.38898743583029877</v>
      </c>
      <c r="AP266" s="308">
        <v>2038.370185</v>
      </c>
      <c r="AQ266" s="289">
        <v>3035.4018390000001</v>
      </c>
      <c r="AR266" s="289">
        <f>AQ266-AP266</f>
        <v>997.03165400000012</v>
      </c>
      <c r="AS266" s="307">
        <f t="shared" si="263"/>
        <v>96.958196632775397</v>
      </c>
      <c r="AT266" s="308">
        <v>4.4000000000000004</v>
      </c>
      <c r="AU266" s="289">
        <v>6.8</v>
      </c>
      <c r="AV266" s="289">
        <f>AU266-AT266</f>
        <v>2.3999999999999995</v>
      </c>
      <c r="AW266" s="307">
        <f t="shared" si="264"/>
        <v>0.23339246149817916</v>
      </c>
      <c r="AX266" s="308">
        <v>4018</v>
      </c>
      <c r="AY266" s="289">
        <v>7753</v>
      </c>
      <c r="AZ266" s="289">
        <f>AY266-AX266</f>
        <v>3735</v>
      </c>
      <c r="BA266" s="307">
        <f t="shared" si="265"/>
        <v>363.21701820654141</v>
      </c>
      <c r="BB266" s="308">
        <v>3</v>
      </c>
      <c r="BC266" s="289">
        <v>4.0999999999999996</v>
      </c>
      <c r="BD266" s="289">
        <f>BC266-BB266</f>
        <v>1.0999999999999996</v>
      </c>
      <c r="BE266" s="307">
        <f t="shared" si="266"/>
        <v>0.1069715448533321</v>
      </c>
      <c r="BF266" s="308">
        <v>0</v>
      </c>
      <c r="BG266" s="289">
        <v>0</v>
      </c>
      <c r="BH266" s="289">
        <f>BG266-BF266</f>
        <v>0</v>
      </c>
      <c r="BI266" s="307">
        <f t="shared" si="267"/>
        <v>0</v>
      </c>
      <c r="BJ266" s="281">
        <v>91.766751999999997</v>
      </c>
      <c r="BK266" s="281">
        <v>86.590247000000005</v>
      </c>
      <c r="BL266" s="281">
        <f>BK266-BJ266</f>
        <v>-5.1765049999999917</v>
      </c>
      <c r="BM266" s="408">
        <v>0</v>
      </c>
      <c r="BN266" s="458">
        <v>0</v>
      </c>
      <c r="BO266" s="458">
        <f>BN266-BM266</f>
        <v>0</v>
      </c>
      <c r="BP266" s="408">
        <v>3</v>
      </c>
      <c r="BQ266" s="458">
        <v>4.0999999999999996</v>
      </c>
      <c r="BR266" s="458">
        <f>BQ266-BP266</f>
        <v>1.0999999999999996</v>
      </c>
      <c r="BS266" s="281"/>
      <c r="BT266" s="281"/>
      <c r="BU266" s="281"/>
      <c r="BV266" s="281"/>
      <c r="BW266" s="298" t="s">
        <v>713</v>
      </c>
      <c r="BX266" s="422">
        <v>1772.7065214300001</v>
      </c>
      <c r="BY266" s="422">
        <v>1.9849242499999999</v>
      </c>
      <c r="BZ266" s="422">
        <v>1332.64764077</v>
      </c>
      <c r="CA266" s="422">
        <v>1306.7104285299999</v>
      </c>
      <c r="CB266" s="422">
        <v>7.3513291900000004</v>
      </c>
      <c r="CC266" s="422">
        <v>7.3153678400000004</v>
      </c>
      <c r="CD266" s="422">
        <v>0.25849285</v>
      </c>
      <c r="CE266" s="422">
        <v>10.28319305</v>
      </c>
      <c r="CF266" s="422">
        <v>10.25668026</v>
      </c>
      <c r="CG266" s="422">
        <v>0.23195323000000001</v>
      </c>
      <c r="CH266" s="422">
        <v>0.49158632000000002</v>
      </c>
      <c r="CI266" s="422">
        <v>0.28264877999999999</v>
      </c>
    </row>
    <row r="267" spans="1:87" ht="15" customHeight="1" x14ac:dyDescent="0.2">
      <c r="A267" s="297">
        <f t="shared" si="268"/>
        <v>62009059</v>
      </c>
      <c r="B267" s="297" t="s">
        <v>611</v>
      </c>
      <c r="C267" s="297" t="s">
        <v>630</v>
      </c>
      <c r="D267" s="326" t="s">
        <v>778</v>
      </c>
      <c r="E267" s="283" t="s">
        <v>996</v>
      </c>
      <c r="F267" s="310" t="str">
        <f t="shared" si="247"/>
        <v>09/30/20</v>
      </c>
      <c r="G267" s="298" t="s">
        <v>997</v>
      </c>
      <c r="H267" s="298" t="s">
        <v>775</v>
      </c>
      <c r="I267" s="306"/>
      <c r="J267" s="299">
        <v>-16.327776</v>
      </c>
      <c r="K267" s="299">
        <v>15.348307999999999</v>
      </c>
      <c r="L267" s="299">
        <v>28.879687000000001</v>
      </c>
      <c r="M267" s="299">
        <v>2.4621270000000002</v>
      </c>
      <c r="N267" s="284">
        <v>3875</v>
      </c>
      <c r="O267" s="284">
        <v>28.39</v>
      </c>
      <c r="P267" s="284">
        <v>0.20169999999999999</v>
      </c>
      <c r="Q267" s="284">
        <v>1.932E-2</v>
      </c>
      <c r="R267" s="285">
        <v>3.5914377800000001</v>
      </c>
      <c r="S267" s="285">
        <f>R267+R266</f>
        <v>13.874546259999999</v>
      </c>
      <c r="T267" s="314">
        <v>86.567358999999996</v>
      </c>
      <c r="U267" s="314">
        <v>84.583689000000007</v>
      </c>
      <c r="V267" s="289">
        <v>7769</v>
      </c>
      <c r="W267" s="289">
        <v>9196</v>
      </c>
      <c r="X267" s="289">
        <f>W267-V267</f>
        <v>1427</v>
      </c>
      <c r="Y267" s="289">
        <f t="shared" si="258"/>
        <v>397.33390564265881</v>
      </c>
      <c r="Z267" s="308">
        <v>278.39999999999998</v>
      </c>
      <c r="AA267" s="289">
        <v>337.6</v>
      </c>
      <c r="AB267" s="289">
        <f>AA267-Z267</f>
        <v>59.200000000000045</v>
      </c>
      <c r="AC267" s="289">
        <f t="shared" si="259"/>
        <v>16.483649063801973</v>
      </c>
      <c r="AD267" s="308">
        <v>247.146512</v>
      </c>
      <c r="AE267" s="289">
        <v>299.69646499999999</v>
      </c>
      <c r="AF267" s="289">
        <f>AE267-AD267</f>
        <v>52.549952999999988</v>
      </c>
      <c r="AG267" s="289">
        <f t="shared" si="260"/>
        <v>14.632009857623089</v>
      </c>
      <c r="AH267" s="308">
        <v>-5</v>
      </c>
      <c r="AI267" s="289">
        <v>-7.6</v>
      </c>
      <c r="AJ267" s="289">
        <f>AI267-AH267</f>
        <v>-2.5999999999999996</v>
      </c>
      <c r="AK267" s="307">
        <f t="shared" si="261"/>
        <v>-0.72394404672103208</v>
      </c>
      <c r="AL267" s="308">
        <v>-12.1</v>
      </c>
      <c r="AM267" s="289">
        <v>-14.8</v>
      </c>
      <c r="AN267" s="289">
        <f>AM267-AL267</f>
        <v>-2.7000000000000011</v>
      </c>
      <c r="AO267" s="307">
        <f t="shared" si="262"/>
        <v>-0.75178804851799519</v>
      </c>
      <c r="AP267" s="308">
        <v>3046.8</v>
      </c>
      <c r="AQ267" s="289">
        <v>3569.5646310000002</v>
      </c>
      <c r="AR267" s="289">
        <f>AQ267-AP267</f>
        <v>522.76463100000001</v>
      </c>
      <c r="AS267" s="307">
        <f t="shared" si="263"/>
        <v>145.55859324952581</v>
      </c>
      <c r="AT267" s="308">
        <v>6.9</v>
      </c>
      <c r="AU267" s="289">
        <v>8.4</v>
      </c>
      <c r="AV267" s="289">
        <f>AU267-AT267</f>
        <v>1.5</v>
      </c>
      <c r="AW267" s="307">
        <f t="shared" si="264"/>
        <v>0.4176600269544416</v>
      </c>
      <c r="AX267" s="308">
        <v>7770</v>
      </c>
      <c r="AY267" s="289">
        <v>9197</v>
      </c>
      <c r="AZ267" s="289">
        <f>AY267-AX267</f>
        <v>1427</v>
      </c>
      <c r="BA267" s="307">
        <f t="shared" si="265"/>
        <v>397.33390564265881</v>
      </c>
      <c r="BB267" s="308">
        <v>5</v>
      </c>
      <c r="BC267" s="289">
        <v>5.8</v>
      </c>
      <c r="BD267" s="289">
        <f>BC267-BB267</f>
        <v>0.79999999999999982</v>
      </c>
      <c r="BE267" s="307">
        <f t="shared" si="266"/>
        <v>0.22275201437570213</v>
      </c>
      <c r="BF267" s="308">
        <v>0</v>
      </c>
      <c r="BG267" s="289">
        <v>0</v>
      </c>
      <c r="BH267" s="289">
        <f>BG267-BF267</f>
        <v>0</v>
      </c>
      <c r="BI267" s="307">
        <f t="shared" si="267"/>
        <v>0</v>
      </c>
      <c r="BJ267" s="281">
        <v>86.567358999999996</v>
      </c>
      <c r="BK267" s="281">
        <v>84.583689000000007</v>
      </c>
      <c r="BL267" s="281">
        <f>BK267-BJ267</f>
        <v>-1.9836699999999894</v>
      </c>
      <c r="BM267" s="408">
        <v>0</v>
      </c>
      <c r="BN267" s="458">
        <v>0</v>
      </c>
      <c r="BO267" s="458">
        <f>BN267-BM267</f>
        <v>0</v>
      </c>
      <c r="BP267" s="408">
        <v>5</v>
      </c>
      <c r="BQ267" s="458">
        <v>5.8</v>
      </c>
      <c r="BR267" s="458">
        <f>BQ267-BP267</f>
        <v>0.79999999999999982</v>
      </c>
      <c r="BS267" s="281"/>
      <c r="BT267" s="281"/>
      <c r="BU267" s="281"/>
      <c r="BV267" s="281"/>
      <c r="BW267" s="298" t="s">
        <v>713</v>
      </c>
      <c r="BX267" s="422">
        <v>2195.3226479800001</v>
      </c>
      <c r="BY267" s="422">
        <v>-1.16979802</v>
      </c>
      <c r="BZ267" s="422">
        <v>2024.6834381900001</v>
      </c>
      <c r="CA267" s="422">
        <v>2048.6484876899999</v>
      </c>
      <c r="CB267" s="422">
        <v>2.9449041600000001</v>
      </c>
      <c r="CC267" s="422">
        <v>2.96565857</v>
      </c>
      <c r="CD267" s="422">
        <v>1.041768E-2</v>
      </c>
      <c r="CE267" s="422">
        <v>3.5913536399999999</v>
      </c>
      <c r="CF267" s="422">
        <v>3.5909795500000001</v>
      </c>
      <c r="CG267" s="422">
        <v>-0.71524779999999999</v>
      </c>
      <c r="CH267" s="422">
        <v>-0.69982465000000005</v>
      </c>
      <c r="CI267" s="422">
        <v>0.59138159000000001</v>
      </c>
    </row>
    <row r="268" spans="1:87" ht="15" customHeight="1" x14ac:dyDescent="0.2">
      <c r="A268" s="297">
        <f t="shared" si="268"/>
        <v>62009059</v>
      </c>
      <c r="B268" s="297" t="s">
        <v>224</v>
      </c>
      <c r="C268" s="297" t="s">
        <v>631</v>
      </c>
      <c r="D268" s="326" t="s">
        <v>778</v>
      </c>
      <c r="E268" s="283" t="s">
        <v>996</v>
      </c>
      <c r="F268" s="310" t="str">
        <f t="shared" si="247"/>
        <v>09/30/20</v>
      </c>
      <c r="G268" s="298" t="s">
        <v>997</v>
      </c>
      <c r="H268" s="298" t="s">
        <v>775</v>
      </c>
      <c r="I268" s="306"/>
      <c r="J268" s="299">
        <v>-18.009146000000001</v>
      </c>
      <c r="K268" s="299">
        <v>17.075223999999999</v>
      </c>
      <c r="L268" s="299">
        <v>28.880593999999999</v>
      </c>
      <c r="M268" s="299">
        <v>2.6243020000000001</v>
      </c>
      <c r="N268" s="284">
        <v>3875</v>
      </c>
      <c r="O268" s="284">
        <v>28.39</v>
      </c>
      <c r="P268" s="284">
        <v>0.20169999999999999</v>
      </c>
      <c r="Q268" s="284">
        <v>1.932E-2</v>
      </c>
      <c r="R268" s="285">
        <v>3.8539922400000002</v>
      </c>
      <c r="S268" s="285">
        <f>R268+R267</f>
        <v>7.4454300199999999</v>
      </c>
      <c r="T268" s="314">
        <v>84.583689000000007</v>
      </c>
      <c r="U268" s="314">
        <v>82.179260999999997</v>
      </c>
      <c r="V268" s="289">
        <v>9196</v>
      </c>
      <c r="W268" s="289">
        <v>10924</v>
      </c>
      <c r="X268" s="289">
        <f>W268-V268</f>
        <v>1728</v>
      </c>
      <c r="Y268" s="289">
        <f t="shared" si="258"/>
        <v>448.36623749922234</v>
      </c>
      <c r="Z268" s="308">
        <v>337.6</v>
      </c>
      <c r="AA268" s="289">
        <v>435.5</v>
      </c>
      <c r="AB268" s="289">
        <f>AA268-Z268</f>
        <v>97.899999999999977</v>
      </c>
      <c r="AC268" s="289">
        <f t="shared" si="259"/>
        <v>25.402230700910795</v>
      </c>
      <c r="AD268" s="308">
        <v>299.71646500000003</v>
      </c>
      <c r="AE268" s="289">
        <v>386.92593399999998</v>
      </c>
      <c r="AF268" s="289">
        <f>AE268-AD268</f>
        <v>87.209468999999956</v>
      </c>
      <c r="AG268" s="289">
        <f t="shared" si="260"/>
        <v>22.628345769580466</v>
      </c>
      <c r="AH268" s="308">
        <v>-7.6</v>
      </c>
      <c r="AI268" s="289">
        <v>-9.98</v>
      </c>
      <c r="AJ268" s="289">
        <f>AI268-AH268</f>
        <v>-2.3800000000000008</v>
      </c>
      <c r="AK268" s="307">
        <f t="shared" si="261"/>
        <v>-0.61754146137045696</v>
      </c>
      <c r="AL268" s="308">
        <v>-14.8</v>
      </c>
      <c r="AM268" s="289">
        <v>-19.3</v>
      </c>
      <c r="AN268" s="289">
        <f>AM268-AL268</f>
        <v>-4.5</v>
      </c>
      <c r="AO268" s="307">
        <f t="shared" si="262"/>
        <v>-1.1676204101542249</v>
      </c>
      <c r="AP268" s="308">
        <v>3569.7</v>
      </c>
      <c r="AQ268" s="289">
        <v>4467.3592850000005</v>
      </c>
      <c r="AR268" s="289">
        <f>AQ268-AP268</f>
        <v>897.65928500000064</v>
      </c>
      <c r="AS268" s="307">
        <f t="shared" si="263"/>
        <v>232.91673389565531</v>
      </c>
      <c r="AT268" s="308">
        <v>8.4</v>
      </c>
      <c r="AU268" s="289">
        <v>11</v>
      </c>
      <c r="AV268" s="289">
        <f>AU268-AT268</f>
        <v>2.5999999999999996</v>
      </c>
      <c r="AW268" s="307">
        <f t="shared" si="264"/>
        <v>0.67462512586688539</v>
      </c>
      <c r="AX268" s="308">
        <v>9197</v>
      </c>
      <c r="AY268" s="289">
        <v>10925</v>
      </c>
      <c r="AZ268" s="289">
        <f>AY268-AX268</f>
        <v>1728</v>
      </c>
      <c r="BA268" s="307">
        <f t="shared" si="265"/>
        <v>448.36623749922234</v>
      </c>
      <c r="BB268" s="308">
        <v>5.8</v>
      </c>
      <c r="BC268" s="289">
        <v>7</v>
      </c>
      <c r="BD268" s="289">
        <f>BC268-BB268</f>
        <v>1.2000000000000002</v>
      </c>
      <c r="BE268" s="307">
        <f t="shared" si="266"/>
        <v>0.31136544270779332</v>
      </c>
      <c r="BF268" s="308">
        <v>0</v>
      </c>
      <c r="BG268" s="289">
        <v>0</v>
      </c>
      <c r="BH268" s="289">
        <f>BG268-BF268</f>
        <v>0</v>
      </c>
      <c r="BI268" s="307">
        <f t="shared" si="267"/>
        <v>0</v>
      </c>
      <c r="BJ268" s="281">
        <v>84.583689000000007</v>
      </c>
      <c r="BK268" s="281">
        <v>82.179260999999997</v>
      </c>
      <c r="BL268" s="281">
        <f>BK268-BJ268</f>
        <v>-2.40442800000001</v>
      </c>
      <c r="BM268" s="408">
        <v>0</v>
      </c>
      <c r="BN268" s="458">
        <v>0</v>
      </c>
      <c r="BO268" s="458">
        <f>BN268-BM268</f>
        <v>0</v>
      </c>
      <c r="BP268" s="408">
        <v>5.8</v>
      </c>
      <c r="BQ268" s="458">
        <v>7</v>
      </c>
      <c r="BR268" s="458">
        <f>BQ268-BP268</f>
        <v>1.2000000000000002</v>
      </c>
      <c r="BS268" s="281"/>
      <c r="BT268" s="281"/>
      <c r="BU268" s="281"/>
      <c r="BV268" s="281"/>
      <c r="BW268" s="298" t="s">
        <v>713</v>
      </c>
      <c r="BX268" s="422">
        <v>1348.3760411999999</v>
      </c>
      <c r="BY268" s="422">
        <v>-1.44624116</v>
      </c>
      <c r="BZ268" s="422">
        <v>3366.60705336</v>
      </c>
      <c r="CA268" s="422">
        <v>3416.0108076500001</v>
      </c>
      <c r="CB268" s="422">
        <v>2.7115549300000001</v>
      </c>
      <c r="CC268" s="422">
        <v>2.7415053899999999</v>
      </c>
      <c r="CD268" s="422">
        <v>-0.15604473999999999</v>
      </c>
      <c r="CE268" s="422">
        <v>3.8538062100000001</v>
      </c>
      <c r="CF268" s="422">
        <v>3.8598292700000001</v>
      </c>
      <c r="CG268" s="422">
        <v>-0.94678097999999999</v>
      </c>
      <c r="CH268" s="422">
        <v>-1.0924823100000001</v>
      </c>
      <c r="CI268" s="422">
        <v>0.71728009000000004</v>
      </c>
    </row>
    <row r="269" spans="1:87" ht="15" customHeight="1" x14ac:dyDescent="0.2">
      <c r="A269" s="297">
        <f t="shared" si="268"/>
        <v>62009059</v>
      </c>
      <c r="B269" s="297" t="s">
        <v>612</v>
      </c>
      <c r="C269" s="297" t="s">
        <v>632</v>
      </c>
      <c r="D269" s="326" t="s">
        <v>778</v>
      </c>
      <c r="E269" s="283" t="s">
        <v>996</v>
      </c>
      <c r="F269" s="310" t="str">
        <f t="shared" si="247"/>
        <v>09/30/20</v>
      </c>
      <c r="G269" s="298" t="s">
        <v>997</v>
      </c>
      <c r="H269" s="298" t="s">
        <v>775</v>
      </c>
      <c r="I269" s="306"/>
      <c r="J269" s="300">
        <f>AVERAGE(J267:J268)</f>
        <v>-17.168461000000001</v>
      </c>
      <c r="K269" s="300">
        <f>AVERAGE(K267:K268)</f>
        <v>16.211765999999997</v>
      </c>
      <c r="L269" s="300">
        <f>AVERAGE(L267:L268)</f>
        <v>28.8801405</v>
      </c>
      <c r="M269" s="300">
        <f>AVERAGE(M267:M268)</f>
        <v>2.5432145000000004</v>
      </c>
      <c r="N269" s="286"/>
      <c r="O269" s="284"/>
      <c r="P269" s="302"/>
      <c r="Q269" s="301"/>
      <c r="R269" s="287">
        <f>R268+R267</f>
        <v>7.4454300199999999</v>
      </c>
      <c r="S269" s="287">
        <f>S268</f>
        <v>7.4454300199999999</v>
      </c>
      <c r="T269" s="315">
        <f>T267</f>
        <v>86.567358999999996</v>
      </c>
      <c r="U269" s="315">
        <f>U268</f>
        <v>82.179260999999997</v>
      </c>
      <c r="V269" s="290">
        <f>V267</f>
        <v>7769</v>
      </c>
      <c r="W269" s="290">
        <f>W268</f>
        <v>10924</v>
      </c>
      <c r="X269" s="290">
        <f>SUM(X267:X268)</f>
        <v>3155</v>
      </c>
      <c r="Y269" s="290">
        <f t="shared" si="258"/>
        <v>423.74986958778777</v>
      </c>
      <c r="Z269" s="290">
        <f>Z267</f>
        <v>278.39999999999998</v>
      </c>
      <c r="AA269" s="290">
        <f>AA268</f>
        <v>435.5</v>
      </c>
      <c r="AB269" s="290">
        <f>SUM(AB267:AB268)</f>
        <v>157.10000000000002</v>
      </c>
      <c r="AC269" s="290">
        <f t="shared" si="259"/>
        <v>21.100191604513935</v>
      </c>
      <c r="AD269" s="290">
        <f>AD267</f>
        <v>247.146512</v>
      </c>
      <c r="AE269" s="290">
        <f>AE268</f>
        <v>386.92593399999998</v>
      </c>
      <c r="AF269" s="290">
        <f>SUM(AF267:AF268)</f>
        <v>139.75942199999994</v>
      </c>
      <c r="AG269" s="290">
        <f t="shared" si="260"/>
        <v>18.771168572476885</v>
      </c>
      <c r="AH269" s="290">
        <f>AH267</f>
        <v>-5</v>
      </c>
      <c r="AI269" s="290">
        <f>AI268</f>
        <v>-9.98</v>
      </c>
      <c r="AJ269" s="290">
        <f>SUM(AJ267:AJ268)</f>
        <v>-4.9800000000000004</v>
      </c>
      <c r="AK269" s="288">
        <f t="shared" si="261"/>
        <v>-0.66886667212272055</v>
      </c>
      <c r="AL269" s="290">
        <f>AL267</f>
        <v>-12.1</v>
      </c>
      <c r="AM269" s="290">
        <f>AM268</f>
        <v>-19.3</v>
      </c>
      <c r="AN269" s="290">
        <f>SUM(AN267:AN268)</f>
        <v>-7.2000000000000011</v>
      </c>
      <c r="AO269" s="288">
        <f t="shared" si="262"/>
        <v>-0.96703615246658392</v>
      </c>
      <c r="AP269" s="290">
        <f>AP267</f>
        <v>3046.8</v>
      </c>
      <c r="AQ269" s="290">
        <f>AQ268</f>
        <v>4467.3592850000005</v>
      </c>
      <c r="AR269" s="290">
        <f>SUM(AR267:AR268)</f>
        <v>1420.4239160000006</v>
      </c>
      <c r="AS269" s="288">
        <f t="shared" si="263"/>
        <v>190.77795536113314</v>
      </c>
      <c r="AT269" s="290">
        <f>AT267</f>
        <v>6.9</v>
      </c>
      <c r="AU269" s="290">
        <f>AU268</f>
        <v>11</v>
      </c>
      <c r="AV269" s="290">
        <f>SUM(AV267:AV268)</f>
        <v>4.0999999999999996</v>
      </c>
      <c r="AW269" s="288">
        <f t="shared" si="264"/>
        <v>0.55067336459902683</v>
      </c>
      <c r="AX269" s="290">
        <f>AX267</f>
        <v>7770</v>
      </c>
      <c r="AY269" s="290">
        <f>AY268</f>
        <v>10925</v>
      </c>
      <c r="AZ269" s="290">
        <f>SUM(AZ267:AZ268)</f>
        <v>3155</v>
      </c>
      <c r="BA269" s="288">
        <f t="shared" si="265"/>
        <v>423.74986958778777</v>
      </c>
      <c r="BB269" s="290">
        <f>BB267</f>
        <v>5</v>
      </c>
      <c r="BC269" s="290">
        <f>BC268</f>
        <v>7</v>
      </c>
      <c r="BD269" s="290">
        <f>SUM(BD267:BD268)</f>
        <v>2</v>
      </c>
      <c r="BE269" s="288">
        <f t="shared" si="266"/>
        <v>0.26862115346293997</v>
      </c>
      <c r="BF269" s="290">
        <f>BF267</f>
        <v>0</v>
      </c>
      <c r="BG269" s="290">
        <f>BG268</f>
        <v>0</v>
      </c>
      <c r="BH269" s="290">
        <f>SUM(BH267:BH268)</f>
        <v>0</v>
      </c>
      <c r="BI269" s="288">
        <f t="shared" si="267"/>
        <v>0</v>
      </c>
      <c r="BJ269" s="282"/>
      <c r="BK269" s="282"/>
      <c r="BL269" s="282">
        <f>SUM(BL267:BL268)</f>
        <v>-4.3880979999999994</v>
      </c>
      <c r="BM269" s="459">
        <f>BM267</f>
        <v>0</v>
      </c>
      <c r="BN269" s="459">
        <f>BN268</f>
        <v>0</v>
      </c>
      <c r="BO269" s="459">
        <f>SUM(BO267:BO268)</f>
        <v>0</v>
      </c>
      <c r="BP269" s="459">
        <f>BP267</f>
        <v>5</v>
      </c>
      <c r="BQ269" s="459">
        <f>BQ268</f>
        <v>7</v>
      </c>
      <c r="BR269" s="459">
        <f>SUM(BR267:BR268)</f>
        <v>2</v>
      </c>
      <c r="BS269" s="282"/>
      <c r="BT269" s="282"/>
      <c r="BU269" s="282"/>
      <c r="BV269" s="282"/>
      <c r="BW269" s="298" t="s">
        <v>713</v>
      </c>
    </row>
    <row r="270" spans="1:87" ht="15" customHeight="1" x14ac:dyDescent="0.2">
      <c r="A270" s="297">
        <f t="shared" si="268"/>
        <v>62009059</v>
      </c>
      <c r="B270" s="297" t="s">
        <v>613</v>
      </c>
      <c r="C270" s="297" t="s">
        <v>633</v>
      </c>
      <c r="D270" s="326" t="s">
        <v>778</v>
      </c>
      <c r="E270" s="283" t="s">
        <v>996</v>
      </c>
      <c r="F270" s="310" t="str">
        <f t="shared" si="247"/>
        <v>09/30/20</v>
      </c>
      <c r="G270" s="298" t="s">
        <v>997</v>
      </c>
      <c r="H270" s="298" t="s">
        <v>775</v>
      </c>
      <c r="I270" s="306"/>
      <c r="J270" s="299">
        <v>-14.646293999999999</v>
      </c>
      <c r="K270" s="299">
        <v>13.653715</v>
      </c>
      <c r="L270" s="299">
        <v>28.876736999999999</v>
      </c>
      <c r="M270" s="299">
        <v>3.8231320000000002</v>
      </c>
      <c r="N270" s="284">
        <v>3875</v>
      </c>
      <c r="O270" s="284">
        <v>28.39</v>
      </c>
      <c r="P270" s="284">
        <v>0.20169999999999999</v>
      </c>
      <c r="Q270" s="284">
        <v>1.932E-2</v>
      </c>
      <c r="R270" s="285">
        <v>1.76953943</v>
      </c>
      <c r="S270" s="285">
        <f>R270+R269</f>
        <v>9.2149694499999999</v>
      </c>
      <c r="T270" s="314">
        <v>82.035436000000004</v>
      </c>
      <c r="U270" s="314">
        <v>77.254790999999997</v>
      </c>
      <c r="V270" s="289">
        <v>11028</v>
      </c>
      <c r="W270" s="289">
        <v>14353.556962000001</v>
      </c>
      <c r="X270" s="289">
        <f>W270-V270-X271</f>
        <v>819.55696200000057</v>
      </c>
      <c r="Y270" s="289">
        <f t="shared" si="258"/>
        <v>463.14704725172504</v>
      </c>
      <c r="Z270" s="308">
        <v>446.05884200000003</v>
      </c>
      <c r="AA270" s="289">
        <v>515.55569600000001</v>
      </c>
      <c r="AB270" s="289">
        <f>AA270-Z270-AB271</f>
        <v>26.596854000000008</v>
      </c>
      <c r="AC270" s="289">
        <f t="shared" si="259"/>
        <v>15.030382227764209</v>
      </c>
      <c r="AD270" s="308">
        <v>396.36588399999999</v>
      </c>
      <c r="AE270" s="289">
        <v>458.49113899999998</v>
      </c>
      <c r="AF270" s="289">
        <f>AE270-AD270-AF271</f>
        <v>23.781086999999957</v>
      </c>
      <c r="AG270" s="289">
        <f t="shared" si="260"/>
        <v>13.439139358426139</v>
      </c>
      <c r="AH270" s="308">
        <v>-10.18</v>
      </c>
      <c r="AI270" s="289">
        <v>-11.32</v>
      </c>
      <c r="AJ270" s="289">
        <f>AI270-AH270-AJ271</f>
        <v>-0.4399999999999995</v>
      </c>
      <c r="AK270" s="307">
        <f t="shared" si="261"/>
        <v>-0.24865227219039673</v>
      </c>
      <c r="AL270" s="308">
        <v>-19.8</v>
      </c>
      <c r="AM270" s="289">
        <v>-22.9</v>
      </c>
      <c r="AN270" s="289">
        <f>AM270-AL270-AN271</f>
        <v>-1.2999999999999972</v>
      </c>
      <c r="AO270" s="307">
        <f t="shared" si="262"/>
        <v>-0.73465444056253504</v>
      </c>
      <c r="AP270" s="308">
        <v>4560.7588130000004</v>
      </c>
      <c r="AQ270" s="289">
        <v>5208.2556519999998</v>
      </c>
      <c r="AR270" s="289">
        <f>AQ270-AP270-AR271</f>
        <v>244.1825319999989</v>
      </c>
      <c r="AS270" s="307">
        <f t="shared" si="263"/>
        <v>137.99213957046376</v>
      </c>
      <c r="AT270" s="308">
        <v>11.3</v>
      </c>
      <c r="AU270" s="289">
        <v>13</v>
      </c>
      <c r="AV270" s="289">
        <f>AU270-AT270-AV271</f>
        <v>0.69999999999999929</v>
      </c>
      <c r="AW270" s="307">
        <f t="shared" si="264"/>
        <v>0.39558316030290397</v>
      </c>
      <c r="AX270" s="308">
        <v>11029</v>
      </c>
      <c r="AY270" s="289">
        <v>14356</v>
      </c>
      <c r="AZ270" s="289">
        <f>AY270-AX270-AZ271</f>
        <v>820</v>
      </c>
      <c r="BA270" s="307">
        <f t="shared" si="265"/>
        <v>463.3974163548308</v>
      </c>
      <c r="BB270" s="308">
        <v>7.2</v>
      </c>
      <c r="BC270" s="289">
        <v>8.1</v>
      </c>
      <c r="BD270" s="289">
        <f>BC270-BB270-BD271</f>
        <v>0.39999999999999947</v>
      </c>
      <c r="BE270" s="307">
        <f t="shared" si="266"/>
        <v>0.22604752017308791</v>
      </c>
      <c r="BF270" s="308">
        <v>0</v>
      </c>
      <c r="BG270" s="289">
        <v>0</v>
      </c>
      <c r="BH270" s="289">
        <f>BG270-BF270-BH271</f>
        <v>0</v>
      </c>
      <c r="BI270" s="307">
        <f t="shared" si="267"/>
        <v>0</v>
      </c>
      <c r="BJ270" s="281">
        <v>82.035436000000004</v>
      </c>
      <c r="BK270" s="281">
        <v>77.254790999999997</v>
      </c>
      <c r="BL270" s="281">
        <f>BK270-BJ270-BL271</f>
        <v>-1.1851010000000173</v>
      </c>
      <c r="BM270" s="408">
        <v>0</v>
      </c>
      <c r="BN270" s="458">
        <v>0</v>
      </c>
      <c r="BO270" s="458">
        <f>BN270-BM270-BO271</f>
        <v>0</v>
      </c>
      <c r="BP270" s="408">
        <v>7.2</v>
      </c>
      <c r="BQ270" s="458">
        <v>8.1</v>
      </c>
      <c r="BR270" s="458">
        <f>BQ270-BP270-BR271</f>
        <v>0.39999999999999947</v>
      </c>
      <c r="BS270" s="281"/>
      <c r="BT270" s="281"/>
      <c r="BU270" s="281"/>
      <c r="BV270" s="281"/>
      <c r="BW270" s="298" t="s">
        <v>713</v>
      </c>
      <c r="BX270" s="422">
        <v>5070.3497764399999</v>
      </c>
      <c r="BY270" s="422">
        <v>-3.34495414</v>
      </c>
      <c r="BZ270" s="422">
        <v>2377.0513671799999</v>
      </c>
      <c r="CA270" s="422">
        <v>2459.31430284</v>
      </c>
      <c r="CB270" s="422">
        <v>2.8668467</v>
      </c>
      <c r="CC270" s="422">
        <v>2.9252319199999999</v>
      </c>
      <c r="CD270" s="422">
        <v>-0.14757129999999999</v>
      </c>
      <c r="CE270" s="422">
        <v>1.7694895799999999</v>
      </c>
      <c r="CF270" s="422">
        <v>1.7721046899999999</v>
      </c>
      <c r="CG270" s="422">
        <v>-1.8859891</v>
      </c>
      <c r="CH270" s="422">
        <v>-1.99591761</v>
      </c>
      <c r="CI270" s="422">
        <v>0.81464110000000001</v>
      </c>
    </row>
    <row r="271" spans="1:87" ht="15" customHeight="1" x14ac:dyDescent="0.2">
      <c r="A271" s="297">
        <f t="shared" si="268"/>
        <v>62009059</v>
      </c>
      <c r="B271" s="297" t="s">
        <v>614</v>
      </c>
      <c r="C271" s="297" t="s">
        <v>634</v>
      </c>
      <c r="D271" s="326" t="s">
        <v>778</v>
      </c>
      <c r="E271" s="283" t="s">
        <v>996</v>
      </c>
      <c r="F271" s="310" t="str">
        <f t="shared" si="247"/>
        <v>09/30/20</v>
      </c>
      <c r="G271" s="298" t="s">
        <v>997</v>
      </c>
      <c r="H271" s="298" t="s">
        <v>775</v>
      </c>
      <c r="I271" s="306"/>
      <c r="J271" s="299">
        <v>-9.9293189999999996</v>
      </c>
      <c r="K271" s="299">
        <v>10.233779999999999</v>
      </c>
      <c r="L271" s="299">
        <v>28.879567999999999</v>
      </c>
      <c r="M271" s="299">
        <v>2.9848460000000001</v>
      </c>
      <c r="N271" s="284">
        <v>3875</v>
      </c>
      <c r="O271" s="284">
        <v>28.39</v>
      </c>
      <c r="P271" s="284">
        <v>0.20169999999999999</v>
      </c>
      <c r="Q271" s="284">
        <v>1.932E-2</v>
      </c>
      <c r="R271" s="285">
        <v>6.2455424400000004</v>
      </c>
      <c r="S271" s="285">
        <f>R271+R270</f>
        <v>8.0150818699999995</v>
      </c>
      <c r="T271" s="314">
        <v>81.248070999999996</v>
      </c>
      <c r="U271" s="314">
        <v>77.652527000000006</v>
      </c>
      <c r="V271" s="289">
        <v>11578</v>
      </c>
      <c r="W271" s="289">
        <v>14084</v>
      </c>
      <c r="X271" s="289">
        <f>W271-V271</f>
        <v>2506</v>
      </c>
      <c r="Y271" s="289">
        <f t="shared" si="258"/>
        <v>401.24617262227747</v>
      </c>
      <c r="Z271" s="308">
        <v>460.8</v>
      </c>
      <c r="AA271" s="289">
        <v>503.7</v>
      </c>
      <c r="AB271" s="289">
        <f>AA271-Z271</f>
        <v>42.899999999999977</v>
      </c>
      <c r="AC271" s="289">
        <f t="shared" si="259"/>
        <v>6.8688989646830381</v>
      </c>
      <c r="AD271" s="308">
        <v>409.57155</v>
      </c>
      <c r="AE271" s="289">
        <v>447.91571800000003</v>
      </c>
      <c r="AF271" s="289">
        <f>AE271-AD271</f>
        <v>38.344168000000025</v>
      </c>
      <c r="AG271" s="289">
        <f t="shared" si="260"/>
        <v>6.1394455915345638</v>
      </c>
      <c r="AH271" s="308">
        <v>-10.44</v>
      </c>
      <c r="AI271" s="289">
        <v>-11.14</v>
      </c>
      <c r="AJ271" s="289">
        <f>AI271-AH271</f>
        <v>-0.70000000000000107</v>
      </c>
      <c r="AK271" s="307">
        <f t="shared" si="261"/>
        <v>-0.11207993648666985</v>
      </c>
      <c r="AL271" s="308">
        <v>-20.5</v>
      </c>
      <c r="AM271" s="289">
        <v>-22.3</v>
      </c>
      <c r="AN271" s="289">
        <f>AM271-AL271</f>
        <v>-1.8000000000000007</v>
      </c>
      <c r="AO271" s="307">
        <f t="shared" si="262"/>
        <v>-0.28820555096572215</v>
      </c>
      <c r="AP271" s="308">
        <v>4695.8999999999996</v>
      </c>
      <c r="AQ271" s="289">
        <v>5099.2143070000002</v>
      </c>
      <c r="AR271" s="289">
        <f>AQ271-AP271</f>
        <v>403.31430700000055</v>
      </c>
      <c r="AS271" s="307">
        <f t="shared" si="263"/>
        <v>64.576345589607513</v>
      </c>
      <c r="AT271" s="308">
        <v>11.7</v>
      </c>
      <c r="AU271" s="289">
        <v>12.7</v>
      </c>
      <c r="AV271" s="289">
        <f>AU271-AT271</f>
        <v>1</v>
      </c>
      <c r="AW271" s="307">
        <f t="shared" si="264"/>
        <v>0.16011419498095669</v>
      </c>
      <c r="AX271" s="308">
        <v>11579</v>
      </c>
      <c r="AY271" s="289">
        <v>14086</v>
      </c>
      <c r="AZ271" s="289">
        <f>AY271-AX271</f>
        <v>2507</v>
      </c>
      <c r="BA271" s="307">
        <f t="shared" si="265"/>
        <v>401.40628681725838</v>
      </c>
      <c r="BB271" s="308">
        <v>7.4</v>
      </c>
      <c r="BC271" s="289">
        <v>7.9</v>
      </c>
      <c r="BD271" s="289">
        <f>BC271-BB271</f>
        <v>0.5</v>
      </c>
      <c r="BE271" s="307">
        <f t="shared" si="266"/>
        <v>8.0057097490478346E-2</v>
      </c>
      <c r="BF271" s="308">
        <v>0</v>
      </c>
      <c r="BG271" s="289">
        <v>0</v>
      </c>
      <c r="BH271" s="289">
        <f>BG271-BF271</f>
        <v>0</v>
      </c>
      <c r="BI271" s="307">
        <f t="shared" si="267"/>
        <v>0</v>
      </c>
      <c r="BJ271" s="281">
        <v>81.248070999999996</v>
      </c>
      <c r="BK271" s="281">
        <v>77.652527000000006</v>
      </c>
      <c r="BL271" s="281">
        <f>BK271-BJ271</f>
        <v>-3.5955439999999896</v>
      </c>
      <c r="BM271" s="408">
        <v>0</v>
      </c>
      <c r="BN271" s="458">
        <v>0</v>
      </c>
      <c r="BO271" s="458">
        <f>BN271-BM271</f>
        <v>0</v>
      </c>
      <c r="BP271" s="408">
        <v>7.4</v>
      </c>
      <c r="BQ271" s="458">
        <v>7.9</v>
      </c>
      <c r="BR271" s="458">
        <f>BQ271-BP271</f>
        <v>0.5</v>
      </c>
      <c r="BS271" s="281"/>
      <c r="BT271" s="281"/>
      <c r="BU271" s="281"/>
      <c r="BV271" s="281"/>
      <c r="BW271" s="298" t="s">
        <v>713</v>
      </c>
      <c r="BX271" s="422">
        <v>10793.78884677</v>
      </c>
      <c r="BY271" s="422">
        <v>-7.4104092899999996</v>
      </c>
      <c r="BZ271" s="422">
        <v>1054.05473858</v>
      </c>
      <c r="CA271" s="422">
        <v>1138.4160254400001</v>
      </c>
      <c r="CB271" s="422">
        <v>6.4212254199999999</v>
      </c>
      <c r="CC271" s="422">
        <v>6.50967875</v>
      </c>
      <c r="CD271" s="422">
        <v>0.17197403</v>
      </c>
      <c r="CE271" s="422">
        <v>6.2455806200000001</v>
      </c>
      <c r="CF271" s="422">
        <v>6.23485829</v>
      </c>
      <c r="CG271" s="422">
        <v>-1.55185784</v>
      </c>
      <c r="CH271" s="422">
        <v>-1.3587972100000001</v>
      </c>
      <c r="CI271" s="422">
        <v>0.34625665999999999</v>
      </c>
    </row>
    <row r="272" spans="1:87" ht="15" customHeight="1" x14ac:dyDescent="0.2">
      <c r="A272" s="297">
        <f t="shared" si="268"/>
        <v>62009059</v>
      </c>
      <c r="B272" s="297" t="s">
        <v>615</v>
      </c>
      <c r="C272" s="297" t="s">
        <v>635</v>
      </c>
      <c r="D272" s="326" t="s">
        <v>778</v>
      </c>
      <c r="E272" s="283" t="s">
        <v>996</v>
      </c>
      <c r="F272" s="310" t="str">
        <f t="shared" si="247"/>
        <v>09/30/20</v>
      </c>
      <c r="G272" s="298" t="s">
        <v>997</v>
      </c>
      <c r="H272" s="298" t="s">
        <v>775</v>
      </c>
      <c r="I272" s="306"/>
      <c r="J272" s="300">
        <f>AVERAGE(J270:J271)</f>
        <v>-12.287806499999999</v>
      </c>
      <c r="K272" s="300">
        <f>AVERAGE(K270:K271)</f>
        <v>11.943747500000001</v>
      </c>
      <c r="L272" s="300">
        <f>AVERAGE(L270:L271)</f>
        <v>28.878152499999999</v>
      </c>
      <c r="M272" s="300">
        <f>AVERAGE(M270:M271)</f>
        <v>3.4039890000000002</v>
      </c>
      <c r="N272" s="286"/>
      <c r="O272" s="284"/>
      <c r="P272" s="302"/>
      <c r="Q272" s="301"/>
      <c r="R272" s="287">
        <f>R271+R270</f>
        <v>8.0150818699999995</v>
      </c>
      <c r="S272" s="287">
        <f>S271</f>
        <v>8.0150818699999995</v>
      </c>
      <c r="T272" s="315">
        <f>T270</f>
        <v>82.035436000000004</v>
      </c>
      <c r="U272" s="315">
        <f>U271</f>
        <v>77.652527000000006</v>
      </c>
      <c r="V272" s="290">
        <f>V270</f>
        <v>11028</v>
      </c>
      <c r="W272" s="290">
        <f>W271</f>
        <v>14084</v>
      </c>
      <c r="X272" s="290">
        <f>SUM(X270:X271)</f>
        <v>3325.5569620000006</v>
      </c>
      <c r="Y272" s="290">
        <f t="shared" si="258"/>
        <v>414.91241336503037</v>
      </c>
      <c r="Z272" s="290">
        <f>Z270</f>
        <v>446.05884200000003</v>
      </c>
      <c r="AA272" s="290">
        <f>AA271</f>
        <v>503.7</v>
      </c>
      <c r="AB272" s="290">
        <f>SUM(AB270:AB271)</f>
        <v>69.496853999999985</v>
      </c>
      <c r="AC272" s="290">
        <f t="shared" si="259"/>
        <v>8.6707603399689273</v>
      </c>
      <c r="AD272" s="290">
        <f>AD270</f>
        <v>396.36588399999999</v>
      </c>
      <c r="AE272" s="290">
        <f>AE271</f>
        <v>447.91571800000003</v>
      </c>
      <c r="AF272" s="290">
        <f>SUM(AF270:AF271)</f>
        <v>62.125254999999981</v>
      </c>
      <c r="AG272" s="290">
        <f t="shared" si="260"/>
        <v>7.7510443446038044</v>
      </c>
      <c r="AH272" s="290">
        <f>AH270</f>
        <v>-10.18</v>
      </c>
      <c r="AI272" s="290">
        <f>AI271</f>
        <v>-11.14</v>
      </c>
      <c r="AJ272" s="290">
        <f>SUM(AJ270:AJ271)</f>
        <v>-1.1400000000000006</v>
      </c>
      <c r="AK272" s="288">
        <f t="shared" si="261"/>
        <v>-0.14223185969777258</v>
      </c>
      <c r="AL272" s="290">
        <f>AL270</f>
        <v>-19.8</v>
      </c>
      <c r="AM272" s="290">
        <f>AM271</f>
        <v>-22.3</v>
      </c>
      <c r="AN272" s="290">
        <f>SUM(AN270:AN271)</f>
        <v>-3.0999999999999979</v>
      </c>
      <c r="AO272" s="288">
        <f t="shared" si="262"/>
        <v>-0.38677084654657407</v>
      </c>
      <c r="AP272" s="290">
        <f>AP270</f>
        <v>4560.7588130000004</v>
      </c>
      <c r="AQ272" s="290">
        <f>AQ271</f>
        <v>5099.2143070000002</v>
      </c>
      <c r="AR272" s="290">
        <f>SUM(AR270:AR271)</f>
        <v>647.49683899999945</v>
      </c>
      <c r="AS272" s="288">
        <f t="shared" si="263"/>
        <v>80.78480663105185</v>
      </c>
      <c r="AT272" s="290">
        <f>AT270</f>
        <v>11.3</v>
      </c>
      <c r="AU272" s="290">
        <f>AU271</f>
        <v>12.7</v>
      </c>
      <c r="AV272" s="290">
        <f>SUM(AV270:AV271)</f>
        <v>1.6999999999999993</v>
      </c>
      <c r="AW272" s="288">
        <f t="shared" si="264"/>
        <v>0.21210014165457294</v>
      </c>
      <c r="AX272" s="290">
        <f>AX270</f>
        <v>11029</v>
      </c>
      <c r="AY272" s="290">
        <f>AY271</f>
        <v>14086</v>
      </c>
      <c r="AZ272" s="290">
        <f>SUM(AZ270:AZ271)</f>
        <v>3327</v>
      </c>
      <c r="BA272" s="288">
        <f t="shared" si="265"/>
        <v>415.0924536969203</v>
      </c>
      <c r="BB272" s="290">
        <f>BB270</f>
        <v>7.2</v>
      </c>
      <c r="BC272" s="290">
        <f>BC271</f>
        <v>7.9</v>
      </c>
      <c r="BD272" s="290">
        <f>SUM(BD270:BD271)</f>
        <v>0.89999999999999947</v>
      </c>
      <c r="BE272" s="288">
        <f t="shared" si="266"/>
        <v>0.11228831028771506</v>
      </c>
      <c r="BF272" s="290">
        <f>BF270</f>
        <v>0</v>
      </c>
      <c r="BG272" s="290">
        <f>BG271</f>
        <v>0</v>
      </c>
      <c r="BH272" s="290">
        <f>SUM(BH270:BH271)</f>
        <v>0</v>
      </c>
      <c r="BI272" s="288">
        <f t="shared" si="267"/>
        <v>0</v>
      </c>
      <c r="BJ272" s="282"/>
      <c r="BK272" s="282"/>
      <c r="BL272" s="282">
        <f>SUM(BL270:BL271)</f>
        <v>-4.7806450000000069</v>
      </c>
      <c r="BM272" s="459">
        <f>BM270</f>
        <v>0</v>
      </c>
      <c r="BN272" s="459">
        <f>BN271</f>
        <v>0</v>
      </c>
      <c r="BO272" s="459">
        <f>SUM(BO270:BO271)</f>
        <v>0</v>
      </c>
      <c r="BP272" s="459">
        <f>BP270</f>
        <v>7.2</v>
      </c>
      <c r="BQ272" s="459">
        <f>BQ271</f>
        <v>7.9</v>
      </c>
      <c r="BR272" s="459">
        <f>SUM(BR270:BR271)</f>
        <v>0.89999999999999947</v>
      </c>
      <c r="BS272" s="282"/>
      <c r="BT272" s="282"/>
      <c r="BU272" s="282"/>
      <c r="BV272" s="282"/>
      <c r="BW272" s="298" t="s">
        <v>713</v>
      </c>
    </row>
    <row r="273" spans="1:87" ht="15" customHeight="1" x14ac:dyDescent="0.2">
      <c r="A273" s="297">
        <f>A272+1</f>
        <v>62009060</v>
      </c>
      <c r="B273" s="297" t="s">
        <v>833</v>
      </c>
      <c r="C273" s="297" t="s">
        <v>626</v>
      </c>
      <c r="D273" s="326" t="s">
        <v>781</v>
      </c>
      <c r="E273" s="283" t="s">
        <v>998</v>
      </c>
      <c r="F273" s="310" t="str">
        <f t="shared" si="247"/>
        <v>09/30/20</v>
      </c>
      <c r="G273" s="298" t="s">
        <v>999</v>
      </c>
      <c r="H273" s="298" t="s">
        <v>775</v>
      </c>
      <c r="I273" s="306"/>
      <c r="J273" s="299">
        <v>4.7410160000000001</v>
      </c>
      <c r="K273" s="299">
        <v>-10.123417999999999</v>
      </c>
      <c r="L273" s="299">
        <v>-35.174542000000002</v>
      </c>
      <c r="M273" s="299">
        <v>-8.6589679999999998</v>
      </c>
      <c r="N273" s="284">
        <v>3875</v>
      </c>
      <c r="O273" s="284">
        <v>28.39</v>
      </c>
      <c r="P273" s="284">
        <v>0.20169999999999999</v>
      </c>
      <c r="Q273" s="284">
        <v>1.932E-2</v>
      </c>
      <c r="R273" s="285">
        <v>64.28554681</v>
      </c>
      <c r="S273" s="285">
        <f>R273+R272</f>
        <v>72.300628680000003</v>
      </c>
      <c r="T273" s="314">
        <v>77.216651999999996</v>
      </c>
      <c r="U273" s="314">
        <v>42.621439000000002</v>
      </c>
      <c r="V273" s="289">
        <v>14381</v>
      </c>
      <c r="W273" s="289">
        <v>37544</v>
      </c>
      <c r="X273" s="289">
        <f>W273-V273</f>
        <v>23163</v>
      </c>
      <c r="Y273" s="289">
        <f t="shared" si="258"/>
        <v>360.31427201606783</v>
      </c>
      <c r="Z273" s="308">
        <v>523</v>
      </c>
      <c r="AA273" s="289">
        <v>938.9</v>
      </c>
      <c r="AB273" s="289">
        <f>AA273-Z273</f>
        <v>415.9</v>
      </c>
      <c r="AC273" s="289">
        <f t="shared" si="259"/>
        <v>6.4695724099418292</v>
      </c>
      <c r="AD273" s="308">
        <v>465.03209900000002</v>
      </c>
      <c r="AE273" s="289">
        <v>837.46421999999995</v>
      </c>
      <c r="AF273" s="289">
        <f>AE273-AD273</f>
        <v>372.43212099999994</v>
      </c>
      <c r="AG273" s="289">
        <f t="shared" si="260"/>
        <v>5.7934036417353134</v>
      </c>
      <c r="AH273" s="308">
        <v>-5.94</v>
      </c>
      <c r="AI273" s="289">
        <v>-16.23</v>
      </c>
      <c r="AJ273" s="289">
        <f>AI273-AH273</f>
        <v>-10.29</v>
      </c>
      <c r="AK273" s="307">
        <f t="shared" si="261"/>
        <v>-0.16006708366987599</v>
      </c>
      <c r="AL273" s="308">
        <v>-23.2</v>
      </c>
      <c r="AM273" s="289">
        <v>-40.299999999999997</v>
      </c>
      <c r="AN273" s="289">
        <f>AM273-AL273</f>
        <v>-17.099999999999998</v>
      </c>
      <c r="AO273" s="307">
        <f t="shared" si="262"/>
        <v>-0.26600069297909418</v>
      </c>
      <c r="AP273" s="308">
        <v>5227.357548</v>
      </c>
      <c r="AQ273" s="289">
        <v>8690.9432410000009</v>
      </c>
      <c r="AR273" s="289">
        <f>AQ273-AP273</f>
        <v>3463.5856930000009</v>
      </c>
      <c r="AS273" s="307">
        <f t="shared" si="263"/>
        <v>53.878140031022021</v>
      </c>
      <c r="AT273" s="308">
        <v>13.2</v>
      </c>
      <c r="AU273" s="289">
        <v>23</v>
      </c>
      <c r="AV273" s="289">
        <f>AU273-AT273</f>
        <v>9.8000000000000007</v>
      </c>
      <c r="AW273" s="307">
        <f t="shared" si="264"/>
        <v>0.15244484159035809</v>
      </c>
      <c r="AX273" s="308">
        <v>14383</v>
      </c>
      <c r="AY273" s="289">
        <v>37555</v>
      </c>
      <c r="AZ273" s="289">
        <f>AY273-AX273</f>
        <v>23172</v>
      </c>
      <c r="BA273" s="307">
        <f t="shared" si="265"/>
        <v>360.45427238079367</v>
      </c>
      <c r="BB273" s="308">
        <v>8.6999999999999993</v>
      </c>
      <c r="BC273" s="289">
        <v>14</v>
      </c>
      <c r="BD273" s="289">
        <f>BC273-BB273</f>
        <v>5.3000000000000007</v>
      </c>
      <c r="BE273" s="307">
        <f t="shared" si="266"/>
        <v>8.2444659227438571E-2</v>
      </c>
      <c r="BF273" s="308">
        <v>0</v>
      </c>
      <c r="BG273" s="289">
        <v>0</v>
      </c>
      <c r="BH273" s="289">
        <f>BG273-BF273</f>
        <v>0</v>
      </c>
      <c r="BI273" s="307">
        <f t="shared" si="267"/>
        <v>0</v>
      </c>
      <c r="BJ273" s="281">
        <v>77.216651999999996</v>
      </c>
      <c r="BK273" s="281">
        <v>42.621439000000002</v>
      </c>
      <c r="BL273" s="281">
        <f>BK273-BJ273</f>
        <v>-34.595212999999994</v>
      </c>
      <c r="BM273" s="408">
        <v>0</v>
      </c>
      <c r="BN273" s="458">
        <v>0</v>
      </c>
      <c r="BO273" s="458">
        <f>BN273-BM273</f>
        <v>0</v>
      </c>
      <c r="BP273" s="408">
        <v>8.6999999999999993</v>
      </c>
      <c r="BQ273" s="458">
        <v>14</v>
      </c>
      <c r="BR273" s="458">
        <f>BQ273-BP273</f>
        <v>5.3000000000000007</v>
      </c>
      <c r="BS273" s="281"/>
      <c r="BT273" s="281"/>
      <c r="BU273" s="281"/>
      <c r="BV273" s="281"/>
      <c r="BW273" s="298" t="s">
        <v>713</v>
      </c>
      <c r="BX273" s="422">
        <v>34.138610589999999</v>
      </c>
      <c r="BY273" s="422">
        <v>82.512027459999999</v>
      </c>
      <c r="BZ273" s="422">
        <v>1060.6722978</v>
      </c>
      <c r="CA273" s="422">
        <v>581.15200000000004</v>
      </c>
      <c r="CB273" s="422">
        <v>57.239789250000001</v>
      </c>
      <c r="CC273" s="422">
        <v>56.951786159999997</v>
      </c>
      <c r="CD273" s="422">
        <v>0.20986773</v>
      </c>
      <c r="CE273" s="422">
        <v>64.286080409999997</v>
      </c>
      <c r="CF273" s="422">
        <v>64.151447230000002</v>
      </c>
      <c r="CG273" s="422">
        <v>0.29434012999999998</v>
      </c>
      <c r="CH273" s="422">
        <v>0.50569631999999998</v>
      </c>
      <c r="CI273" s="422">
        <v>1.3224919999999999E-2</v>
      </c>
    </row>
    <row r="274" spans="1:87" ht="15" customHeight="1" x14ac:dyDescent="0.2">
      <c r="A274" s="297">
        <f>A273+1</f>
        <v>62009061</v>
      </c>
      <c r="B274" s="297" t="s">
        <v>834</v>
      </c>
      <c r="C274" s="297" t="s">
        <v>835</v>
      </c>
      <c r="D274" s="326" t="s">
        <v>852</v>
      </c>
      <c r="E274" s="283" t="s">
        <v>1000</v>
      </c>
      <c r="F274" s="310" t="str">
        <f t="shared" si="247"/>
        <v>09/30/20</v>
      </c>
      <c r="G274" s="298" t="s">
        <v>1001</v>
      </c>
      <c r="H274" s="298" t="s">
        <v>1002</v>
      </c>
      <c r="I274" s="306"/>
      <c r="J274" s="299">
        <v>-9.3116430000000001</v>
      </c>
      <c r="K274" s="299">
        <v>11.338623999999999</v>
      </c>
      <c r="L274" s="299">
        <v>28.882899999999999</v>
      </c>
      <c r="M274" s="299">
        <v>9.1488490000000002</v>
      </c>
      <c r="N274" s="284">
        <v>3875</v>
      </c>
      <c r="O274" s="284">
        <v>28.39</v>
      </c>
      <c r="P274" s="284">
        <v>0.20169999999999999</v>
      </c>
      <c r="Q274" s="284">
        <v>1.932E-2</v>
      </c>
      <c r="R274" s="285">
        <v>1.7692617500000001</v>
      </c>
      <c r="S274" s="285">
        <f>R274+R273</f>
        <v>66.054808559999998</v>
      </c>
      <c r="T274" s="314">
        <v>42.578713999999998</v>
      </c>
      <c r="U274" s="314">
        <v>37.810276000000002</v>
      </c>
      <c r="V274" s="289">
        <v>37572</v>
      </c>
      <c r="W274" s="289">
        <v>40621</v>
      </c>
      <c r="X274" s="289">
        <f>W274-V274-X275</f>
        <v>716</v>
      </c>
      <c r="Y274" s="289">
        <f t="shared" si="258"/>
        <v>404.68856572522407</v>
      </c>
      <c r="Z274" s="308">
        <v>944.9</v>
      </c>
      <c r="AA274" s="289">
        <v>1013.1</v>
      </c>
      <c r="AB274" s="289">
        <f>AA274-Z274-AB275</f>
        <v>25.800000000000068</v>
      </c>
      <c r="AC274" s="289">
        <f t="shared" si="259"/>
        <v>14.582353345964817</v>
      </c>
      <c r="AD274" s="308">
        <v>842.73452499999996</v>
      </c>
      <c r="AE274" s="289">
        <v>903.98423000000003</v>
      </c>
      <c r="AF274" s="289">
        <f>AE274-AD274-AF275</f>
        <v>23.139804000000026</v>
      </c>
      <c r="AG274" s="289">
        <f t="shared" si="260"/>
        <v>13.078790631177114</v>
      </c>
      <c r="AH274" s="308">
        <v>-13.17</v>
      </c>
      <c r="AI274" s="289">
        <v>-16.13</v>
      </c>
      <c r="AJ274" s="289">
        <f>AI274-AH274-AJ275</f>
        <v>-1.1499999999999986</v>
      </c>
      <c r="AK274" s="307">
        <f t="shared" si="261"/>
        <v>-0.64998861813408815</v>
      </c>
      <c r="AL274" s="308">
        <v>-40.6</v>
      </c>
      <c r="AM274" s="289">
        <v>-44</v>
      </c>
      <c r="AN274" s="289">
        <f>AM274-AL274-AN275</f>
        <v>-1.3999999999999986</v>
      </c>
      <c r="AO274" s="307">
        <f t="shared" si="262"/>
        <v>-0.79129049164149878</v>
      </c>
      <c r="AP274" s="308">
        <v>8712.5</v>
      </c>
      <c r="AQ274" s="289">
        <v>9205.542308</v>
      </c>
      <c r="AR274" s="289">
        <f>AQ274-AP274-AR275</f>
        <v>178.78734799999984</v>
      </c>
      <c r="AS274" s="307">
        <f t="shared" si="263"/>
        <v>101.05194892728554</v>
      </c>
      <c r="AT274" s="308">
        <v>23.1</v>
      </c>
      <c r="AU274" s="289">
        <v>22.9</v>
      </c>
      <c r="AV274" s="289">
        <f>AU274-AT274-AV275</f>
        <v>-0.20000000000000284</v>
      </c>
      <c r="AW274" s="307">
        <f t="shared" si="264"/>
        <v>-0.11304149880593012</v>
      </c>
      <c r="AX274" s="308">
        <v>37583</v>
      </c>
      <c r="AY274" s="289">
        <v>40634</v>
      </c>
      <c r="AZ274" s="289">
        <f>AY274-AX274-AZ275</f>
        <v>717</v>
      </c>
      <c r="BA274" s="307">
        <f t="shared" si="265"/>
        <v>405.25377321925373</v>
      </c>
      <c r="BB274" s="308">
        <v>14.8</v>
      </c>
      <c r="BC274" s="289">
        <v>15.7</v>
      </c>
      <c r="BD274" s="289">
        <f>BC274-BB274-BD275</f>
        <v>0.39999999999999858</v>
      </c>
      <c r="BE274" s="307">
        <f t="shared" si="266"/>
        <v>0.22608299761185621</v>
      </c>
      <c r="BF274" s="308">
        <v>0</v>
      </c>
      <c r="BG274" s="289">
        <v>0</v>
      </c>
      <c r="BH274" s="289">
        <f>BG274-BF274-BH275</f>
        <v>0</v>
      </c>
      <c r="BI274" s="307">
        <f t="shared" si="267"/>
        <v>0</v>
      </c>
      <c r="BJ274" s="281">
        <v>42.578713999999998</v>
      </c>
      <c r="BK274" s="281">
        <v>37.810276000000002</v>
      </c>
      <c r="BL274" s="281">
        <f>BK274-BJ274-BL275</f>
        <v>-1.1306919999999963</v>
      </c>
      <c r="BM274" s="408">
        <v>0</v>
      </c>
      <c r="BN274" s="458">
        <v>0</v>
      </c>
      <c r="BO274" s="458">
        <f>BN274-BM274-BO275</f>
        <v>0</v>
      </c>
      <c r="BP274" s="408">
        <v>14.8</v>
      </c>
      <c r="BQ274" s="458">
        <v>15.7</v>
      </c>
      <c r="BR274" s="458">
        <f>BQ274-BP274-BR275</f>
        <v>0.39999999999999858</v>
      </c>
      <c r="BS274" s="281"/>
      <c r="BT274" s="281"/>
      <c r="BU274" s="281"/>
      <c r="BV274" s="281"/>
      <c r="BW274" s="298" t="s">
        <v>1003</v>
      </c>
      <c r="BX274" s="422">
        <v>5056.8175870900004</v>
      </c>
      <c r="BY274" s="422">
        <v>-3.0768765600000001</v>
      </c>
      <c r="BZ274" s="422">
        <v>2384.0224096100001</v>
      </c>
      <c r="CA274" s="422">
        <v>2459.7044801900001</v>
      </c>
      <c r="CB274" s="422">
        <v>2.8692093999999999</v>
      </c>
      <c r="CC274" s="422">
        <v>2.92598249</v>
      </c>
      <c r="CD274" s="422">
        <v>-0.16854617999999999</v>
      </c>
      <c r="CE274" s="422">
        <v>1.7692128</v>
      </c>
      <c r="CF274" s="422">
        <v>1.77219978</v>
      </c>
      <c r="CG274" s="422">
        <v>-1.80682035</v>
      </c>
      <c r="CH274" s="422">
        <v>-1.94030864</v>
      </c>
      <c r="CI274" s="422">
        <v>0.81466391000000005</v>
      </c>
    </row>
    <row r="275" spans="1:87" ht="15" customHeight="1" x14ac:dyDescent="0.2">
      <c r="A275" s="297">
        <f>A274</f>
        <v>62009061</v>
      </c>
      <c r="B275" s="297" t="s">
        <v>836</v>
      </c>
      <c r="C275" s="297" t="s">
        <v>627</v>
      </c>
      <c r="D275" s="326" t="s">
        <v>852</v>
      </c>
      <c r="E275" s="283" t="s">
        <v>1000</v>
      </c>
      <c r="F275" s="310" t="str">
        <f t="shared" si="247"/>
        <v>09/30/20</v>
      </c>
      <c r="G275" s="298" t="s">
        <v>1001</v>
      </c>
      <c r="H275" s="298" t="s">
        <v>1002</v>
      </c>
      <c r="I275" s="306"/>
      <c r="J275" s="299">
        <v>-5.4025239999999997</v>
      </c>
      <c r="K275" s="299">
        <v>9.4019390000000005</v>
      </c>
      <c r="L275" s="299">
        <v>28.880126000000001</v>
      </c>
      <c r="M275" s="299">
        <v>6.9585460000000001</v>
      </c>
      <c r="N275" s="284">
        <v>3875</v>
      </c>
      <c r="O275" s="284">
        <v>28.39</v>
      </c>
      <c r="P275" s="284">
        <v>0.20169999999999999</v>
      </c>
      <c r="Q275" s="284">
        <v>1.932E-2</v>
      </c>
      <c r="R275" s="285">
        <v>6.2465098599999997</v>
      </c>
      <c r="S275" s="285">
        <f>R275+R274</f>
        <v>8.0157716099999998</v>
      </c>
      <c r="T275" s="314">
        <v>41.846282000000002</v>
      </c>
      <c r="U275" s="314">
        <v>38.208536000000002</v>
      </c>
      <c r="V275" s="289">
        <v>38039</v>
      </c>
      <c r="W275" s="289">
        <v>40372</v>
      </c>
      <c r="X275" s="289">
        <f>W275-V275</f>
        <v>2333</v>
      </c>
      <c r="Y275" s="289">
        <f t="shared" si="258"/>
        <v>373.48856438049393</v>
      </c>
      <c r="Z275" s="308">
        <v>958.9</v>
      </c>
      <c r="AA275" s="289">
        <v>1001.3</v>
      </c>
      <c r="AB275" s="289">
        <f>AA275-Z275</f>
        <v>42.399999999999977</v>
      </c>
      <c r="AC275" s="289">
        <f t="shared" si="259"/>
        <v>6.7877904542361485</v>
      </c>
      <c r="AD275" s="308">
        <v>855.29441199999997</v>
      </c>
      <c r="AE275" s="289">
        <v>893.404313</v>
      </c>
      <c r="AF275" s="289">
        <f>AE275-AD275</f>
        <v>38.109901000000036</v>
      </c>
      <c r="AG275" s="289">
        <f t="shared" si="260"/>
        <v>6.1009910900869109</v>
      </c>
      <c r="AH275" s="308">
        <v>-14</v>
      </c>
      <c r="AI275" s="289">
        <v>-15.81</v>
      </c>
      <c r="AJ275" s="289">
        <f>AI275-AH275</f>
        <v>-1.8100000000000005</v>
      </c>
      <c r="AK275" s="307">
        <f t="shared" si="261"/>
        <v>-0.28976180948508107</v>
      </c>
      <c r="AL275" s="308">
        <v>-41.4</v>
      </c>
      <c r="AM275" s="289">
        <v>-43.4</v>
      </c>
      <c r="AN275" s="289">
        <f>AM275-AL275</f>
        <v>-2</v>
      </c>
      <c r="AO275" s="307">
        <f t="shared" si="262"/>
        <v>-0.32017879501113922</v>
      </c>
      <c r="AP275" s="308">
        <v>8800.5881460000001</v>
      </c>
      <c r="AQ275" s="289">
        <v>9114.8431060000003</v>
      </c>
      <c r="AR275" s="289">
        <f>AQ275-AP275</f>
        <v>314.25496000000021</v>
      </c>
      <c r="AS275" s="307">
        <f t="shared" si="263"/>
        <v>50.308887209536913</v>
      </c>
      <c r="AT275" s="308">
        <v>23</v>
      </c>
      <c r="AU275" s="289">
        <v>23</v>
      </c>
      <c r="AV275" s="289">
        <f>AU275-AT275</f>
        <v>0</v>
      </c>
      <c r="AW275" s="307">
        <f t="shared" si="264"/>
        <v>0</v>
      </c>
      <c r="AX275" s="308">
        <v>38051</v>
      </c>
      <c r="AY275" s="289">
        <v>40385</v>
      </c>
      <c r="AZ275" s="289">
        <f>AY275-AX275</f>
        <v>2334</v>
      </c>
      <c r="BA275" s="307">
        <f t="shared" si="265"/>
        <v>373.64865377799947</v>
      </c>
      <c r="BB275" s="308">
        <v>15</v>
      </c>
      <c r="BC275" s="289">
        <v>15.5</v>
      </c>
      <c r="BD275" s="289">
        <f>BC275-BB275</f>
        <v>0.5</v>
      </c>
      <c r="BE275" s="307">
        <f t="shared" si="266"/>
        <v>8.0044698752784804E-2</v>
      </c>
      <c r="BF275" s="308">
        <v>0</v>
      </c>
      <c r="BG275" s="289">
        <v>0</v>
      </c>
      <c r="BH275" s="289">
        <f>BG275-BF275</f>
        <v>0</v>
      </c>
      <c r="BI275" s="307">
        <f t="shared" si="267"/>
        <v>0</v>
      </c>
      <c r="BJ275" s="281">
        <v>41.846282000000002</v>
      </c>
      <c r="BK275" s="281">
        <v>38.208536000000002</v>
      </c>
      <c r="BL275" s="281">
        <f>BK275-BJ275</f>
        <v>-3.6377459999999999</v>
      </c>
      <c r="BM275" s="408">
        <v>0</v>
      </c>
      <c r="BN275" s="458">
        <v>0</v>
      </c>
      <c r="BO275" s="458">
        <f>BN275-BM275</f>
        <v>0</v>
      </c>
      <c r="BP275" s="408">
        <v>15</v>
      </c>
      <c r="BQ275" s="458">
        <v>15.5</v>
      </c>
      <c r="BR275" s="458">
        <f>BQ275-BP275</f>
        <v>0.5</v>
      </c>
      <c r="BS275" s="281"/>
      <c r="BT275" s="281"/>
      <c r="BU275" s="281"/>
      <c r="BV275" s="281"/>
      <c r="BW275" s="298" t="s">
        <v>1003</v>
      </c>
      <c r="BX275" s="422">
        <v>10802.435038629999</v>
      </c>
      <c r="BY275" s="422">
        <v>-7.5866708300000001</v>
      </c>
      <c r="BZ275" s="422">
        <v>1052.8655945</v>
      </c>
      <c r="CA275" s="422">
        <v>1139.3005791800001</v>
      </c>
      <c r="CB275" s="422">
        <v>6.42377457</v>
      </c>
      <c r="CC275" s="422">
        <v>6.5129098599999997</v>
      </c>
      <c r="CD275" s="422">
        <v>0.17300228000000001</v>
      </c>
      <c r="CE275" s="422">
        <v>6.2465410800000001</v>
      </c>
      <c r="CF275" s="422">
        <v>6.2357530900000002</v>
      </c>
      <c r="CG275" s="422">
        <v>-1.56298724</v>
      </c>
      <c r="CH275" s="422">
        <v>-1.36859401</v>
      </c>
      <c r="CI275" s="422">
        <v>0.34646375000000001</v>
      </c>
    </row>
    <row r="276" spans="1:87" ht="15" customHeight="1" x14ac:dyDescent="0.2">
      <c r="A276" s="297">
        <f t="shared" ref="A276:A283" si="269">A275</f>
        <v>62009061</v>
      </c>
      <c r="B276" s="297" t="s">
        <v>837</v>
      </c>
      <c r="C276" s="297" t="s">
        <v>628</v>
      </c>
      <c r="D276" s="326" t="s">
        <v>852</v>
      </c>
      <c r="E276" s="283" t="s">
        <v>1000</v>
      </c>
      <c r="F276" s="310" t="str">
        <f t="shared" si="247"/>
        <v>09/30/20</v>
      </c>
      <c r="G276" s="298" t="s">
        <v>1001</v>
      </c>
      <c r="H276" s="298" t="s">
        <v>1002</v>
      </c>
      <c r="I276" s="306"/>
      <c r="J276" s="300">
        <f>AVERAGE(J274:J275)</f>
        <v>-7.3570834999999999</v>
      </c>
      <c r="K276" s="300">
        <f>AVERAGE(K274:K275)</f>
        <v>10.370281500000001</v>
      </c>
      <c r="L276" s="300">
        <f>AVERAGE(L274:L275)</f>
        <v>28.881512999999998</v>
      </c>
      <c r="M276" s="300">
        <f>AVERAGE(M274:M275)</f>
        <v>8.0536975000000002</v>
      </c>
      <c r="N276" s="286"/>
      <c r="O276" s="284"/>
      <c r="P276" s="302"/>
      <c r="Q276" s="301"/>
      <c r="R276" s="287">
        <f>R275+R274</f>
        <v>8.0157716099999998</v>
      </c>
      <c r="S276" s="287">
        <f>S275</f>
        <v>8.0157716099999998</v>
      </c>
      <c r="T276" s="315">
        <f>T274</f>
        <v>42.578713999999998</v>
      </c>
      <c r="U276" s="315">
        <f>U275</f>
        <v>38.208536000000002</v>
      </c>
      <c r="V276" s="290">
        <f>V274</f>
        <v>37572</v>
      </c>
      <c r="W276" s="290">
        <f>W275</f>
        <v>40372</v>
      </c>
      <c r="X276" s="290">
        <f>SUM(X274:X275)</f>
        <v>3049</v>
      </c>
      <c r="Y276" s="290">
        <f t="shared" si="258"/>
        <v>380.37510901586182</v>
      </c>
      <c r="Z276" s="290">
        <f>Z274</f>
        <v>944.9</v>
      </c>
      <c r="AA276" s="290">
        <f>AA275</f>
        <v>1001.3</v>
      </c>
      <c r="AB276" s="290">
        <f>SUM(AB274:AB275)</f>
        <v>68.200000000000045</v>
      </c>
      <c r="AC276" s="290">
        <f t="shared" si="259"/>
        <v>8.5082264463370922</v>
      </c>
      <c r="AD276" s="290">
        <f>AD274</f>
        <v>842.73452499999996</v>
      </c>
      <c r="AE276" s="290">
        <f>AE275</f>
        <v>893.404313</v>
      </c>
      <c r="AF276" s="290">
        <f>SUM(AF274:AF275)</f>
        <v>61.249705000000063</v>
      </c>
      <c r="AG276" s="290">
        <f t="shared" si="260"/>
        <v>7.6411489723071169</v>
      </c>
      <c r="AH276" s="290">
        <f>AH274</f>
        <v>-13.17</v>
      </c>
      <c r="AI276" s="290">
        <f>AI275</f>
        <v>-15.81</v>
      </c>
      <c r="AJ276" s="290">
        <f>SUM(AJ274:AJ275)</f>
        <v>-2.9599999999999991</v>
      </c>
      <c r="AK276" s="288">
        <f t="shared" si="261"/>
        <v>-0.36927199825744528</v>
      </c>
      <c r="AL276" s="290">
        <f>AL274</f>
        <v>-40.6</v>
      </c>
      <c r="AM276" s="290">
        <f>AM275</f>
        <v>-43.4</v>
      </c>
      <c r="AN276" s="290">
        <f>SUM(AN274:AN275)</f>
        <v>-3.3999999999999986</v>
      </c>
      <c r="AO276" s="288">
        <f t="shared" si="262"/>
        <v>-0.4241637817822006</v>
      </c>
      <c r="AP276" s="290">
        <f>AP274</f>
        <v>8712.5</v>
      </c>
      <c r="AQ276" s="290">
        <f>AQ275</f>
        <v>9114.8431060000003</v>
      </c>
      <c r="AR276" s="290">
        <f>SUM(AR274:AR275)</f>
        <v>493.04230800000005</v>
      </c>
      <c r="AS276" s="288">
        <f t="shared" si="263"/>
        <v>61.509026452913126</v>
      </c>
      <c r="AT276" s="290">
        <f>AT274</f>
        <v>23.1</v>
      </c>
      <c r="AU276" s="290">
        <f>AU275</f>
        <v>23</v>
      </c>
      <c r="AV276" s="290">
        <f>SUM(AV274:AV275)</f>
        <v>-0.20000000000000284</v>
      </c>
      <c r="AW276" s="288">
        <f t="shared" si="264"/>
        <v>-2.4950810693070986E-2</v>
      </c>
      <c r="AX276" s="290">
        <f>AX274</f>
        <v>37583</v>
      </c>
      <c r="AY276" s="290">
        <f>AY275</f>
        <v>40385</v>
      </c>
      <c r="AZ276" s="290">
        <f>SUM(AZ274:AZ275)</f>
        <v>3051</v>
      </c>
      <c r="BA276" s="288">
        <f t="shared" si="265"/>
        <v>380.62461712279253</v>
      </c>
      <c r="BB276" s="290">
        <f>BB274</f>
        <v>14.8</v>
      </c>
      <c r="BC276" s="290">
        <f>BC275</f>
        <v>15.5</v>
      </c>
      <c r="BD276" s="290">
        <f>SUM(BD274:BD275)</f>
        <v>0.89999999999999858</v>
      </c>
      <c r="BE276" s="288">
        <f t="shared" si="266"/>
        <v>0.11227864811881767</v>
      </c>
      <c r="BF276" s="290">
        <f>BF274</f>
        <v>0</v>
      </c>
      <c r="BG276" s="290">
        <f>BG275</f>
        <v>0</v>
      </c>
      <c r="BH276" s="290">
        <f>SUM(BH274:BH275)</f>
        <v>0</v>
      </c>
      <c r="BI276" s="288">
        <f t="shared" si="267"/>
        <v>0</v>
      </c>
      <c r="BJ276" s="282"/>
      <c r="BK276" s="282"/>
      <c r="BL276" s="282">
        <f>SUM(BL274:BL275)</f>
        <v>-4.7684379999999962</v>
      </c>
      <c r="BM276" s="459">
        <f>BM274</f>
        <v>0</v>
      </c>
      <c r="BN276" s="459">
        <f>BN275</f>
        <v>0</v>
      </c>
      <c r="BO276" s="459">
        <f>SUM(BO274:BO275)</f>
        <v>0</v>
      </c>
      <c r="BP276" s="459">
        <f>BP274</f>
        <v>14.8</v>
      </c>
      <c r="BQ276" s="459">
        <f>BQ275</f>
        <v>15.5</v>
      </c>
      <c r="BR276" s="459">
        <f>SUM(BR274:BR275)</f>
        <v>0.89999999999999858</v>
      </c>
      <c r="BS276" s="282"/>
      <c r="BT276" s="282"/>
      <c r="BU276" s="282"/>
      <c r="BV276" s="282"/>
      <c r="BW276" s="298" t="s">
        <v>1003</v>
      </c>
    </row>
    <row r="277" spans="1:87" ht="15" customHeight="1" x14ac:dyDescent="0.2">
      <c r="A277" s="297">
        <f t="shared" si="269"/>
        <v>62009061</v>
      </c>
      <c r="B277" s="297" t="s">
        <v>838</v>
      </c>
      <c r="C277" s="297" t="s">
        <v>629</v>
      </c>
      <c r="D277" s="326" t="s">
        <v>852</v>
      </c>
      <c r="E277" s="283" t="s">
        <v>1000</v>
      </c>
      <c r="F277" s="310" t="str">
        <f t="shared" si="247"/>
        <v>09/30/20</v>
      </c>
      <c r="G277" s="298" t="s">
        <v>1001</v>
      </c>
      <c r="H277" s="298" t="s">
        <v>1002</v>
      </c>
      <c r="I277" s="306"/>
      <c r="J277" s="299">
        <v>-13.328765000000001</v>
      </c>
      <c r="K277" s="299">
        <v>15.051469000000001</v>
      </c>
      <c r="L277" s="299">
        <v>28.888078</v>
      </c>
      <c r="M277" s="299">
        <v>5.5506310000000001</v>
      </c>
      <c r="N277" s="284">
        <v>3875</v>
      </c>
      <c r="O277" s="284">
        <v>28.39</v>
      </c>
      <c r="P277" s="284">
        <v>0.20169999999999999</v>
      </c>
      <c r="Q277" s="284">
        <v>1.932E-2</v>
      </c>
      <c r="R277" s="285">
        <v>3.59118622</v>
      </c>
      <c r="S277" s="285">
        <f>R277+R276</f>
        <v>11.606957829999999</v>
      </c>
      <c r="T277" s="314">
        <v>37.795017000000001</v>
      </c>
      <c r="U277" s="314">
        <v>35.767096000000002</v>
      </c>
      <c r="V277" s="289">
        <v>40631</v>
      </c>
      <c r="W277" s="289">
        <v>41944</v>
      </c>
      <c r="X277" s="289">
        <f>W277-V277</f>
        <v>1313</v>
      </c>
      <c r="Y277" s="289">
        <f t="shared" si="258"/>
        <v>365.61735303161191</v>
      </c>
      <c r="Z277" s="308">
        <v>1016.3</v>
      </c>
      <c r="AA277" s="289">
        <v>1073.5</v>
      </c>
      <c r="AB277" s="289">
        <f>AA277-Z277</f>
        <v>57.200000000000045</v>
      </c>
      <c r="AC277" s="289">
        <f t="shared" si="259"/>
        <v>15.927884686525681</v>
      </c>
      <c r="AD277" s="308">
        <v>906.79410700000005</v>
      </c>
      <c r="AE277" s="289">
        <v>958.04384300000004</v>
      </c>
      <c r="AF277" s="289">
        <f>AE277-AD277</f>
        <v>51.249735999999984</v>
      </c>
      <c r="AG277" s="289">
        <f t="shared" si="260"/>
        <v>14.270977014386066</v>
      </c>
      <c r="AH277" s="308">
        <v>-12.98</v>
      </c>
      <c r="AI277" s="289">
        <v>-15.85</v>
      </c>
      <c r="AJ277" s="289">
        <f>AI277-AH277</f>
        <v>-2.8699999999999992</v>
      </c>
      <c r="AK277" s="307">
        <f t="shared" si="261"/>
        <v>-0.79917882955120023</v>
      </c>
      <c r="AL277" s="308">
        <v>-44.2</v>
      </c>
      <c r="AM277" s="289">
        <v>-47</v>
      </c>
      <c r="AN277" s="289">
        <f>AM277-AL277</f>
        <v>-2.7999999999999972</v>
      </c>
      <c r="AO277" s="307">
        <f t="shared" si="262"/>
        <v>-0.77968666297678013</v>
      </c>
      <c r="AP277" s="308">
        <v>9212.1</v>
      </c>
      <c r="AQ277" s="289">
        <v>9671.7000000000007</v>
      </c>
      <c r="AR277" s="289">
        <f>AQ277-AP277</f>
        <v>459.60000000000036</v>
      </c>
      <c r="AS277" s="307">
        <f t="shared" si="263"/>
        <v>127.97999653718887</v>
      </c>
      <c r="AT277" s="308">
        <v>22.9</v>
      </c>
      <c r="AU277" s="289">
        <v>22.8</v>
      </c>
      <c r="AV277" s="289">
        <f>AU277-AT277</f>
        <v>-9.9999999999997868E-2</v>
      </c>
      <c r="AW277" s="307">
        <f t="shared" si="264"/>
        <v>-2.7845952249170157E-2</v>
      </c>
      <c r="AX277" s="308">
        <v>40644</v>
      </c>
      <c r="AY277" s="289">
        <v>41957.384098000002</v>
      </c>
      <c r="AZ277" s="289">
        <f>AY277-AX277</f>
        <v>1313.3840980000023</v>
      </c>
      <c r="BA277" s="307">
        <f t="shared" si="265"/>
        <v>365.7243087772826</v>
      </c>
      <c r="BB277" s="308">
        <v>16.5</v>
      </c>
      <c r="BC277" s="289">
        <v>17.3</v>
      </c>
      <c r="BD277" s="289">
        <f>BC277-BB277</f>
        <v>0.80000000000000071</v>
      </c>
      <c r="BE277" s="307">
        <f t="shared" si="266"/>
        <v>0.2227676179933662</v>
      </c>
      <c r="BF277" s="308">
        <v>0</v>
      </c>
      <c r="BG277" s="289">
        <v>0</v>
      </c>
      <c r="BH277" s="289">
        <f>BG277-BF277</f>
        <v>0</v>
      </c>
      <c r="BI277" s="307">
        <f t="shared" si="267"/>
        <v>0</v>
      </c>
      <c r="BJ277" s="281">
        <v>37.795017000000001</v>
      </c>
      <c r="BK277" s="281">
        <v>35.767096000000002</v>
      </c>
      <c r="BL277" s="281">
        <f>BK277-BJ277</f>
        <v>-2.0279209999999992</v>
      </c>
      <c r="BM277" s="408">
        <v>0</v>
      </c>
      <c r="BN277" s="458">
        <v>0</v>
      </c>
      <c r="BO277" s="458">
        <f>BN277-BM277</f>
        <v>0</v>
      </c>
      <c r="BP277" s="408">
        <v>16.5</v>
      </c>
      <c r="BQ277" s="458">
        <v>17.3</v>
      </c>
      <c r="BR277" s="458">
        <f>BQ277-BP277</f>
        <v>0.80000000000000071</v>
      </c>
      <c r="BS277" s="281"/>
      <c r="BT277" s="281"/>
      <c r="BU277" s="281"/>
      <c r="BV277" s="281"/>
      <c r="BW277" s="298" t="s">
        <v>1003</v>
      </c>
      <c r="BX277" s="422">
        <v>2198.7053436699998</v>
      </c>
      <c r="BY277" s="422">
        <v>-1.1633426099999999</v>
      </c>
      <c r="BZ277" s="422">
        <v>2024.8953160999999</v>
      </c>
      <c r="CA277" s="422">
        <v>2048.7290541900002</v>
      </c>
      <c r="CB277" s="422">
        <v>2.94243364</v>
      </c>
      <c r="CC277" s="422">
        <v>2.96576168</v>
      </c>
      <c r="CD277" s="422">
        <v>4.5075999999999996E-3</v>
      </c>
      <c r="CE277" s="422">
        <v>3.5911416200000001</v>
      </c>
      <c r="CF277" s="422">
        <v>3.5909797499999998</v>
      </c>
      <c r="CG277" s="422">
        <v>-0.79735803999999999</v>
      </c>
      <c r="CH277" s="422">
        <v>-0.78657858999999997</v>
      </c>
      <c r="CI277" s="422">
        <v>0.591395</v>
      </c>
    </row>
    <row r="278" spans="1:87" ht="15" customHeight="1" x14ac:dyDescent="0.2">
      <c r="A278" s="297">
        <f t="shared" si="269"/>
        <v>62009061</v>
      </c>
      <c r="B278" s="297" t="s">
        <v>219</v>
      </c>
      <c r="C278" s="297" t="s">
        <v>630</v>
      </c>
      <c r="D278" s="326" t="s">
        <v>852</v>
      </c>
      <c r="E278" s="283" t="s">
        <v>1000</v>
      </c>
      <c r="F278" s="310" t="str">
        <f t="shared" si="247"/>
        <v>09/30/20</v>
      </c>
      <c r="G278" s="298" t="s">
        <v>1001</v>
      </c>
      <c r="H278" s="298" t="s">
        <v>1002</v>
      </c>
      <c r="I278" s="306"/>
      <c r="J278" s="299">
        <v>-15.878375999999999</v>
      </c>
      <c r="K278" s="299">
        <v>17.789413</v>
      </c>
      <c r="L278" s="299">
        <v>28.889845000000001</v>
      </c>
      <c r="M278" s="299">
        <v>4.8870779999999998</v>
      </c>
      <c r="N278" s="284">
        <v>3875</v>
      </c>
      <c r="O278" s="284">
        <v>28.39</v>
      </c>
      <c r="P278" s="284">
        <v>0.20169999999999999</v>
      </c>
      <c r="Q278" s="284">
        <v>1.932E-2</v>
      </c>
      <c r="R278" s="285">
        <v>3.8520516100000002</v>
      </c>
      <c r="S278" s="285">
        <f>R278+R277</f>
        <v>7.4432378300000002</v>
      </c>
      <c r="T278" s="314">
        <v>35.767096000000002</v>
      </c>
      <c r="U278" s="314">
        <v>33.369906999999998</v>
      </c>
      <c r="V278" s="289">
        <v>41944</v>
      </c>
      <c r="W278" s="289">
        <v>43567</v>
      </c>
      <c r="X278" s="289">
        <f>W278-V278</f>
        <v>1623</v>
      </c>
      <c r="Y278" s="289">
        <f t="shared" si="258"/>
        <v>421.33391873220512</v>
      </c>
      <c r="Z278" s="308">
        <v>1073.5</v>
      </c>
      <c r="AA278" s="289">
        <v>1169.5</v>
      </c>
      <c r="AB278" s="289">
        <f>AA278-Z278</f>
        <v>96</v>
      </c>
      <c r="AC278" s="289">
        <f t="shared" si="259"/>
        <v>24.92178447214522</v>
      </c>
      <c r="AD278" s="308">
        <v>958.06</v>
      </c>
      <c r="AE278" s="289">
        <v>1044.283373</v>
      </c>
      <c r="AF278" s="289">
        <f>AE278-AD278</f>
        <v>86.223373000000038</v>
      </c>
      <c r="AG278" s="289">
        <f t="shared" si="260"/>
        <v>22.383753316326942</v>
      </c>
      <c r="AH278" s="308">
        <v>-15.85</v>
      </c>
      <c r="AI278" s="289">
        <v>-18.04</v>
      </c>
      <c r="AJ278" s="289">
        <f>AI278-AH278</f>
        <v>-2.1899999999999995</v>
      </c>
      <c r="AK278" s="307">
        <f t="shared" si="261"/>
        <v>-0.56852820827081274</v>
      </c>
      <c r="AL278" s="308">
        <v>-47</v>
      </c>
      <c r="AM278" s="289">
        <v>-51.8</v>
      </c>
      <c r="AN278" s="289">
        <f>AM278-AL278</f>
        <v>-4.7999999999999972</v>
      </c>
      <c r="AO278" s="307">
        <f t="shared" si="262"/>
        <v>-1.2460892236072603</v>
      </c>
      <c r="AP278" s="308">
        <v>9671.838479</v>
      </c>
      <c r="AQ278" s="289">
        <v>10503.033708000001</v>
      </c>
      <c r="AR278" s="289">
        <f>AQ278-AP278</f>
        <v>831.19522900000084</v>
      </c>
      <c r="AS278" s="307">
        <f t="shared" si="263"/>
        <v>215.77987866055636</v>
      </c>
      <c r="AT278" s="308">
        <v>22.8</v>
      </c>
      <c r="AU278" s="289">
        <v>22.7</v>
      </c>
      <c r="AV278" s="289">
        <f>AU278-AT278</f>
        <v>-0.10000000000000142</v>
      </c>
      <c r="AW278" s="307">
        <f t="shared" si="264"/>
        <v>-2.5960192158484972E-2</v>
      </c>
      <c r="AX278" s="308">
        <v>41958</v>
      </c>
      <c r="AY278" s="289">
        <v>43580</v>
      </c>
      <c r="AZ278" s="289">
        <f>AY278-AX278</f>
        <v>1622</v>
      </c>
      <c r="BA278" s="307">
        <f t="shared" si="265"/>
        <v>421.0743168106203</v>
      </c>
      <c r="BB278" s="308">
        <v>17.3</v>
      </c>
      <c r="BC278" s="289">
        <v>18.5</v>
      </c>
      <c r="BD278" s="289">
        <f>BC278-BB278</f>
        <v>1.1999999999999993</v>
      </c>
      <c r="BE278" s="307">
        <f t="shared" si="266"/>
        <v>0.31152230590181507</v>
      </c>
      <c r="BF278" s="308">
        <v>0</v>
      </c>
      <c r="BG278" s="289">
        <v>0</v>
      </c>
      <c r="BH278" s="289">
        <f>BG278-BF278</f>
        <v>0</v>
      </c>
      <c r="BI278" s="307">
        <f t="shared" si="267"/>
        <v>0</v>
      </c>
      <c r="BJ278" s="281">
        <v>35.767096000000002</v>
      </c>
      <c r="BK278" s="281">
        <v>33.369906999999998</v>
      </c>
      <c r="BL278" s="281">
        <f>BK278-BJ278</f>
        <v>-2.3971890000000045</v>
      </c>
      <c r="BM278" s="408">
        <v>0</v>
      </c>
      <c r="BN278" s="458">
        <v>0</v>
      </c>
      <c r="BO278" s="458">
        <f>BN278-BM278</f>
        <v>0</v>
      </c>
      <c r="BP278" s="408">
        <v>17.3</v>
      </c>
      <c r="BQ278" s="458">
        <v>18.5</v>
      </c>
      <c r="BR278" s="458">
        <f>BQ278-BP278</f>
        <v>1.1999999999999993</v>
      </c>
      <c r="BS278" s="281"/>
      <c r="BT278" s="281"/>
      <c r="BU278" s="281"/>
      <c r="BV278" s="281"/>
      <c r="BW278" s="298" t="s">
        <v>1003</v>
      </c>
      <c r="BX278" s="422">
        <v>1348.54581736</v>
      </c>
      <c r="BY278" s="422">
        <v>-1.4018901800000001</v>
      </c>
      <c r="BZ278" s="422">
        <v>3368.1475852100002</v>
      </c>
      <c r="CA278" s="422">
        <v>3416.0366679600002</v>
      </c>
      <c r="CB278" s="422">
        <v>2.7048368699999998</v>
      </c>
      <c r="CC278" s="422">
        <v>2.7415555199999999</v>
      </c>
      <c r="CD278" s="422">
        <v>-0.2055708</v>
      </c>
      <c r="CE278" s="422">
        <v>3.8518953300000001</v>
      </c>
      <c r="CF278" s="422">
        <v>3.85983002</v>
      </c>
      <c r="CG278" s="422">
        <v>-1.1491567499999999</v>
      </c>
      <c r="CH278" s="422">
        <v>-1.3393364699999999</v>
      </c>
      <c r="CI278" s="422">
        <v>0.71727554000000004</v>
      </c>
    </row>
    <row r="279" spans="1:87" ht="15" customHeight="1" x14ac:dyDescent="0.2">
      <c r="A279" s="297">
        <f t="shared" si="269"/>
        <v>62009061</v>
      </c>
      <c r="B279" s="297" t="s">
        <v>839</v>
      </c>
      <c r="C279" s="297" t="s">
        <v>840</v>
      </c>
      <c r="D279" s="326" t="s">
        <v>852</v>
      </c>
      <c r="E279" s="283" t="s">
        <v>1000</v>
      </c>
      <c r="F279" s="310" t="str">
        <f t="shared" si="247"/>
        <v>09/30/20</v>
      </c>
      <c r="G279" s="298" t="s">
        <v>1001</v>
      </c>
      <c r="H279" s="298" t="s">
        <v>1002</v>
      </c>
      <c r="I279" s="306"/>
      <c r="J279" s="300">
        <f>AVERAGE(J277:J278)</f>
        <v>-14.6035705</v>
      </c>
      <c r="K279" s="300">
        <f>AVERAGE(K277:K278)</f>
        <v>16.420441</v>
      </c>
      <c r="L279" s="300">
        <f>AVERAGE(L277:L278)</f>
        <v>28.888961500000001</v>
      </c>
      <c r="M279" s="300">
        <f>AVERAGE(M277:M278)</f>
        <v>5.2188545</v>
      </c>
      <c r="N279" s="286"/>
      <c r="O279" s="284"/>
      <c r="P279" s="302"/>
      <c r="Q279" s="301"/>
      <c r="R279" s="287">
        <f>R278+R277</f>
        <v>7.4432378300000002</v>
      </c>
      <c r="S279" s="287">
        <f>S278</f>
        <v>7.4432378300000002</v>
      </c>
      <c r="T279" s="315">
        <f>T277</f>
        <v>37.795017000000001</v>
      </c>
      <c r="U279" s="315">
        <f>U278</f>
        <v>33.369906999999998</v>
      </c>
      <c r="V279" s="290">
        <f>V277</f>
        <v>40631</v>
      </c>
      <c r="W279" s="290">
        <f>W278</f>
        <v>43567</v>
      </c>
      <c r="X279" s="290">
        <f>SUM(X277:X278)</f>
        <v>2936</v>
      </c>
      <c r="Y279" s="290">
        <f t="shared" si="258"/>
        <v>394.45199348144433</v>
      </c>
      <c r="Z279" s="290">
        <f>Z277</f>
        <v>1016.3</v>
      </c>
      <c r="AA279" s="290">
        <f>AA278</f>
        <v>1169.5</v>
      </c>
      <c r="AB279" s="290">
        <f>SUM(AB277:AB278)</f>
        <v>153.20000000000005</v>
      </c>
      <c r="AC279" s="290">
        <f t="shared" si="259"/>
        <v>20.582440531797442</v>
      </c>
      <c r="AD279" s="290">
        <f>AD277</f>
        <v>906.79410700000005</v>
      </c>
      <c r="AE279" s="290">
        <f>AE278</f>
        <v>1044.283373</v>
      </c>
      <c r="AF279" s="290">
        <f>SUM(AF277:AF278)</f>
        <v>137.47310900000002</v>
      </c>
      <c r="AG279" s="290">
        <f t="shared" si="260"/>
        <v>18.469530618236341</v>
      </c>
      <c r="AH279" s="290">
        <f>AH277</f>
        <v>-12.98</v>
      </c>
      <c r="AI279" s="290">
        <f>AI278</f>
        <v>-18.04</v>
      </c>
      <c r="AJ279" s="290">
        <f>SUM(AJ277:AJ278)</f>
        <v>-5.0599999999999987</v>
      </c>
      <c r="AK279" s="288">
        <f t="shared" si="261"/>
        <v>-0.67981167813900134</v>
      </c>
      <c r="AL279" s="290">
        <f>AL277</f>
        <v>-44.2</v>
      </c>
      <c r="AM279" s="290">
        <f>AM278</f>
        <v>-51.8</v>
      </c>
      <c r="AN279" s="290">
        <f>SUM(AN277:AN278)</f>
        <v>-7.5999999999999943</v>
      </c>
      <c r="AO279" s="288">
        <f t="shared" si="262"/>
        <v>-1.021061018548697</v>
      </c>
      <c r="AP279" s="290">
        <f>AP277</f>
        <v>9212.1</v>
      </c>
      <c r="AQ279" s="290">
        <f>AQ278</f>
        <v>10503.033708000001</v>
      </c>
      <c r="AR279" s="290">
        <f>SUM(AR277:AR278)</f>
        <v>1290.7952290000012</v>
      </c>
      <c r="AS279" s="288">
        <f t="shared" si="263"/>
        <v>173.41851200796592</v>
      </c>
      <c r="AT279" s="290">
        <f>AT277</f>
        <v>22.9</v>
      </c>
      <c r="AU279" s="290">
        <f>AU278</f>
        <v>22.7</v>
      </c>
      <c r="AV279" s="290">
        <f>SUM(AV277:AV278)</f>
        <v>-0.19999999999999929</v>
      </c>
      <c r="AW279" s="288">
        <f t="shared" si="264"/>
        <v>-2.6870026803913007E-2</v>
      </c>
      <c r="AX279" s="290">
        <f>AX277</f>
        <v>40644</v>
      </c>
      <c r="AY279" s="290">
        <f>AY278</f>
        <v>43580</v>
      </c>
      <c r="AZ279" s="290">
        <f>SUM(AZ277:AZ278)</f>
        <v>2935.3840980000023</v>
      </c>
      <c r="BA279" s="288">
        <f t="shared" si="265"/>
        <v>394.36924696520174</v>
      </c>
      <c r="BB279" s="290">
        <f>BB277</f>
        <v>16.5</v>
      </c>
      <c r="BC279" s="290">
        <f>BC278</f>
        <v>18.5</v>
      </c>
      <c r="BD279" s="290">
        <f>SUM(BD277:BD278)</f>
        <v>2</v>
      </c>
      <c r="BE279" s="288">
        <f t="shared" si="266"/>
        <v>0.268700268039131</v>
      </c>
      <c r="BF279" s="290">
        <f>BF277</f>
        <v>0</v>
      </c>
      <c r="BG279" s="290">
        <f>BG278</f>
        <v>0</v>
      </c>
      <c r="BH279" s="290">
        <f>SUM(BH277:BH278)</f>
        <v>0</v>
      </c>
      <c r="BI279" s="288">
        <f t="shared" si="267"/>
        <v>0</v>
      </c>
      <c r="BJ279" s="282"/>
      <c r="BK279" s="282"/>
      <c r="BL279" s="282">
        <f>SUM(BL277:BL278)</f>
        <v>-4.4251100000000037</v>
      </c>
      <c r="BM279" s="459">
        <f>BM277</f>
        <v>0</v>
      </c>
      <c r="BN279" s="459">
        <f>BN278</f>
        <v>0</v>
      </c>
      <c r="BO279" s="459">
        <f>SUM(BO277:BO278)</f>
        <v>0</v>
      </c>
      <c r="BP279" s="459">
        <f>BP277</f>
        <v>16.5</v>
      </c>
      <c r="BQ279" s="459">
        <f>BQ278</f>
        <v>18.5</v>
      </c>
      <c r="BR279" s="459">
        <f>SUM(BR277:BR278)</f>
        <v>2</v>
      </c>
      <c r="BS279" s="282"/>
      <c r="BT279" s="282"/>
      <c r="BU279" s="282"/>
      <c r="BV279" s="282"/>
      <c r="BW279" s="298" t="s">
        <v>1003</v>
      </c>
    </row>
    <row r="280" spans="1:87" ht="15" customHeight="1" x14ac:dyDescent="0.2">
      <c r="A280" s="297">
        <f t="shared" si="269"/>
        <v>62009061</v>
      </c>
      <c r="B280" s="297" t="s">
        <v>55</v>
      </c>
      <c r="C280" s="297" t="s">
        <v>631</v>
      </c>
      <c r="D280" s="326" t="s">
        <v>852</v>
      </c>
      <c r="E280" s="283" t="s">
        <v>1000</v>
      </c>
      <c r="F280" s="310" t="str">
        <f t="shared" si="247"/>
        <v>09/30/20</v>
      </c>
      <c r="G280" s="298" t="s">
        <v>1001</v>
      </c>
      <c r="H280" s="298" t="s">
        <v>1002</v>
      </c>
      <c r="I280" s="306"/>
      <c r="J280" s="299">
        <v>-11.978714999999999</v>
      </c>
      <c r="K280" s="299">
        <v>14.645397000000001</v>
      </c>
      <c r="L280" s="299">
        <v>28.887981</v>
      </c>
      <c r="M280" s="299">
        <v>3.7457530000000001</v>
      </c>
      <c r="N280" s="284">
        <v>3875</v>
      </c>
      <c r="O280" s="284">
        <v>28.39</v>
      </c>
      <c r="P280" s="284">
        <v>0.20169999999999999</v>
      </c>
      <c r="Q280" s="284">
        <v>1.932E-2</v>
      </c>
      <c r="R280" s="285">
        <v>10.27576421</v>
      </c>
      <c r="S280" s="285">
        <f>R280+R279</f>
        <v>17.719002039999999</v>
      </c>
      <c r="T280" s="314">
        <v>33.340915000000003</v>
      </c>
      <c r="U280" s="314">
        <v>28.068930999999999</v>
      </c>
      <c r="V280" s="289">
        <v>43586</v>
      </c>
      <c r="W280" s="289">
        <v>46981.309883000002</v>
      </c>
      <c r="X280" s="289">
        <f>W280-V280</f>
        <v>3395.3098830000017</v>
      </c>
      <c r="Y280" s="289">
        <f t="shared" si="258"/>
        <v>330.4192090838178</v>
      </c>
      <c r="Z280" s="308">
        <v>1171.4000000000001</v>
      </c>
      <c r="AA280" s="289">
        <v>1257.0999999999999</v>
      </c>
      <c r="AB280" s="289">
        <f>AA280-Z280</f>
        <v>85.699999999999818</v>
      </c>
      <c r="AC280" s="289">
        <f t="shared" si="259"/>
        <v>8.3400123094104952</v>
      </c>
      <c r="AD280" s="308">
        <v>1045.913403</v>
      </c>
      <c r="AE280" s="289">
        <v>1122.9230990000001</v>
      </c>
      <c r="AF280" s="289">
        <f>AE280-AD280</f>
        <v>77.009696000000076</v>
      </c>
      <c r="AG280" s="289">
        <f t="shared" si="260"/>
        <v>7.4943035307346815</v>
      </c>
      <c r="AH280" s="308">
        <v>-18.07</v>
      </c>
      <c r="AI280" s="289">
        <v>-19.28</v>
      </c>
      <c r="AJ280" s="289">
        <f>AI280-AH280</f>
        <v>-1.2100000000000009</v>
      </c>
      <c r="AK280" s="307">
        <f t="shared" si="261"/>
        <v>-0.11775279923438423</v>
      </c>
      <c r="AL280" s="308">
        <v>-51.9</v>
      </c>
      <c r="AM280" s="289">
        <v>-56.1</v>
      </c>
      <c r="AN280" s="289">
        <f>AM280-AL280</f>
        <v>-4.2000000000000028</v>
      </c>
      <c r="AO280" s="307">
        <f t="shared" si="262"/>
        <v>-0.40872872461521798</v>
      </c>
      <c r="AP280" s="308">
        <v>10520.334046</v>
      </c>
      <c r="AQ280" s="289">
        <v>11293.328143999999</v>
      </c>
      <c r="AR280" s="289">
        <f>AQ280-AP280</f>
        <v>772.99409799999921</v>
      </c>
      <c r="AS280" s="307">
        <f t="shared" si="263"/>
        <v>75.224974240626253</v>
      </c>
      <c r="AT280" s="308">
        <v>22.7</v>
      </c>
      <c r="AU280" s="289">
        <v>22.5</v>
      </c>
      <c r="AV280" s="289">
        <f>AU280-AT280</f>
        <v>-0.19999999999999929</v>
      </c>
      <c r="AW280" s="307">
        <f t="shared" si="264"/>
        <v>-1.9463272600724581E-2</v>
      </c>
      <c r="AX280" s="308">
        <v>43599</v>
      </c>
      <c r="AY280" s="289">
        <v>46995</v>
      </c>
      <c r="AZ280" s="289">
        <f>AY280-AX280</f>
        <v>3396</v>
      </c>
      <c r="BA280" s="307">
        <f t="shared" si="265"/>
        <v>330.48636876030457</v>
      </c>
      <c r="BB280" s="308">
        <v>18.5</v>
      </c>
      <c r="BC280" s="289">
        <v>19.7</v>
      </c>
      <c r="BD280" s="289">
        <f>BC280-BB280</f>
        <v>1.1999999999999993</v>
      </c>
      <c r="BE280" s="307">
        <f t="shared" si="266"/>
        <v>0.11677963560434784</v>
      </c>
      <c r="BF280" s="308">
        <v>0</v>
      </c>
      <c r="BG280" s="289">
        <v>0</v>
      </c>
      <c r="BH280" s="289">
        <f>BG280-BF280</f>
        <v>0</v>
      </c>
      <c r="BI280" s="307">
        <f t="shared" si="267"/>
        <v>0</v>
      </c>
      <c r="BJ280" s="281">
        <v>33.340915000000003</v>
      </c>
      <c r="BK280" s="281">
        <v>28.068930999999999</v>
      </c>
      <c r="BL280" s="281">
        <f>BK280-BJ280</f>
        <v>-5.2719840000000033</v>
      </c>
      <c r="BM280" s="408">
        <v>0</v>
      </c>
      <c r="BN280" s="458">
        <v>0</v>
      </c>
      <c r="BO280" s="458">
        <f>BN280-BM280</f>
        <v>0</v>
      </c>
      <c r="BP280" s="408">
        <v>18.5</v>
      </c>
      <c r="BQ280" s="458">
        <v>19.7</v>
      </c>
      <c r="BR280" s="458">
        <f>BQ280-BP280</f>
        <v>1.1999999999999993</v>
      </c>
      <c r="BS280" s="281"/>
      <c r="BT280" s="281"/>
      <c r="BU280" s="281"/>
      <c r="BV280" s="281"/>
      <c r="BW280" s="298" t="s">
        <v>1003</v>
      </c>
      <c r="BX280" s="422">
        <v>1773.0078377</v>
      </c>
      <c r="BY280" s="422">
        <v>1.3012932100000001</v>
      </c>
      <c r="BZ280" s="422">
        <v>1323.7086191000001</v>
      </c>
      <c r="CA280" s="422">
        <v>1306.70456137</v>
      </c>
      <c r="CB280" s="422">
        <v>7.3406524600000003</v>
      </c>
      <c r="CC280" s="422">
        <v>7.3153447500000004</v>
      </c>
      <c r="CD280" s="422">
        <v>0.18681642000000001</v>
      </c>
      <c r="CE280" s="422">
        <v>10.27584152</v>
      </c>
      <c r="CF280" s="422">
        <v>10.25668035</v>
      </c>
      <c r="CG280" s="422">
        <v>0.15858870999999999</v>
      </c>
      <c r="CH280" s="422">
        <v>0.34595377999999999</v>
      </c>
      <c r="CI280" s="422">
        <v>0.28264840000000002</v>
      </c>
    </row>
    <row r="281" spans="1:87" ht="15" customHeight="1" x14ac:dyDescent="0.2">
      <c r="A281" s="297">
        <f t="shared" si="269"/>
        <v>62009061</v>
      </c>
      <c r="B281" s="297" t="s">
        <v>841</v>
      </c>
      <c r="C281" s="297" t="s">
        <v>810</v>
      </c>
      <c r="D281" s="326" t="s">
        <v>852</v>
      </c>
      <c r="E281" s="283" t="s">
        <v>1000</v>
      </c>
      <c r="F281" s="310" t="str">
        <f t="shared" si="247"/>
        <v>09/30/20</v>
      </c>
      <c r="G281" s="298" t="s">
        <v>1001</v>
      </c>
      <c r="H281" s="298" t="s">
        <v>1002</v>
      </c>
      <c r="I281" s="306"/>
      <c r="J281" s="299">
        <v>-14.653117</v>
      </c>
      <c r="K281" s="299">
        <v>16.865344</v>
      </c>
      <c r="L281" s="299">
        <v>28.896526999999999</v>
      </c>
      <c r="M281" s="299">
        <v>3.8511600000000001</v>
      </c>
      <c r="N281" s="284">
        <v>3875</v>
      </c>
      <c r="O281" s="284">
        <v>28.39</v>
      </c>
      <c r="P281" s="284">
        <v>0.20169999999999999</v>
      </c>
      <c r="Q281" s="284">
        <v>1.932E-2</v>
      </c>
      <c r="R281" s="285">
        <v>3.5914489000000001</v>
      </c>
      <c r="S281" s="285">
        <f>R281+R280</f>
        <v>13.86721311</v>
      </c>
      <c r="T281" s="314">
        <v>28.041464000000001</v>
      </c>
      <c r="U281" s="314">
        <v>25.926566999999999</v>
      </c>
      <c r="V281" s="289">
        <v>46999</v>
      </c>
      <c r="W281" s="289">
        <v>48350</v>
      </c>
      <c r="X281" s="289">
        <f>W281-V281</f>
        <v>1351</v>
      </c>
      <c r="Y281" s="289">
        <f t="shared" si="258"/>
        <v>376.17129955545238</v>
      </c>
      <c r="Z281" s="308">
        <v>1262.2</v>
      </c>
      <c r="AA281" s="289">
        <v>1319.6</v>
      </c>
      <c r="AB281" s="289">
        <f>AA281-Z281</f>
        <v>57.399999999999864</v>
      </c>
      <c r="AC281" s="289">
        <f t="shared" si="259"/>
        <v>15.982407545879287</v>
      </c>
      <c r="AD281" s="308">
        <v>1127.322899</v>
      </c>
      <c r="AE281" s="289">
        <v>1178.7325760000001</v>
      </c>
      <c r="AF281" s="289">
        <f>AE281-AD281</f>
        <v>51.409677000000102</v>
      </c>
      <c r="AG281" s="289">
        <f t="shared" si="260"/>
        <v>14.314467066481191</v>
      </c>
      <c r="AH281" s="308">
        <v>-16.212899</v>
      </c>
      <c r="AI281" s="289">
        <v>-18.91</v>
      </c>
      <c r="AJ281" s="289">
        <f>AI281-AH281</f>
        <v>-2.697101</v>
      </c>
      <c r="AK281" s="307">
        <f t="shared" si="261"/>
        <v>-0.75097852568638801</v>
      </c>
      <c r="AL281" s="308">
        <v>-56.4</v>
      </c>
      <c r="AM281" s="289">
        <v>-59.3</v>
      </c>
      <c r="AN281" s="289">
        <f>AM281-AL281</f>
        <v>-2.8999999999999986</v>
      </c>
      <c r="AO281" s="307">
        <f t="shared" si="262"/>
        <v>-0.80747355196951254</v>
      </c>
      <c r="AP281" s="308">
        <v>11305.5</v>
      </c>
      <c r="AQ281" s="289">
        <v>11780.925816000001</v>
      </c>
      <c r="AR281" s="289">
        <f>AQ281-AP281</f>
        <v>475.42581600000085</v>
      </c>
      <c r="AS281" s="307">
        <f t="shared" si="263"/>
        <v>132.3771628770775</v>
      </c>
      <c r="AT281" s="308">
        <v>22.5</v>
      </c>
      <c r="AU281" s="289">
        <v>22.5</v>
      </c>
      <c r="AV281" s="289">
        <f>AU281-AT281</f>
        <v>0</v>
      </c>
      <c r="AW281" s="307">
        <f t="shared" si="264"/>
        <v>0</v>
      </c>
      <c r="AX281" s="308">
        <v>47013</v>
      </c>
      <c r="AY281" s="289">
        <v>48364</v>
      </c>
      <c r="AZ281" s="289">
        <f>AY281-AX281</f>
        <v>1351</v>
      </c>
      <c r="BA281" s="307">
        <f t="shared" si="265"/>
        <v>376.17129955545238</v>
      </c>
      <c r="BB281" s="308">
        <v>20.6</v>
      </c>
      <c r="BC281" s="289">
        <v>21.3</v>
      </c>
      <c r="BD281" s="289">
        <f>BC281-BB281</f>
        <v>0.69999999999999929</v>
      </c>
      <c r="BE281" s="307">
        <f t="shared" si="266"/>
        <v>0.19490740909608911</v>
      </c>
      <c r="BF281" s="308">
        <v>0</v>
      </c>
      <c r="BG281" s="289">
        <v>0</v>
      </c>
      <c r="BH281" s="289">
        <f>BG281-BF281</f>
        <v>0</v>
      </c>
      <c r="BI281" s="307">
        <f t="shared" si="267"/>
        <v>0</v>
      </c>
      <c r="BJ281" s="281">
        <v>28.041464000000001</v>
      </c>
      <c r="BK281" s="281">
        <v>25.926566999999999</v>
      </c>
      <c r="BL281" s="281">
        <f>BK281-BJ281</f>
        <v>-2.1148970000000027</v>
      </c>
      <c r="BM281" s="408">
        <v>0</v>
      </c>
      <c r="BN281" s="458">
        <v>0</v>
      </c>
      <c r="BO281" s="458">
        <f>BN281-BM281</f>
        <v>0</v>
      </c>
      <c r="BP281" s="408">
        <v>20.6</v>
      </c>
      <c r="BQ281" s="458">
        <v>21.3</v>
      </c>
      <c r="BR281" s="458">
        <f>BQ281-BP281</f>
        <v>0.69999999999999929</v>
      </c>
      <c r="BS281" s="281"/>
      <c r="BT281" s="281"/>
      <c r="BU281" s="281"/>
      <c r="BV281" s="281"/>
      <c r="BW281" s="298" t="s">
        <v>1003</v>
      </c>
      <c r="BX281" s="422">
        <v>2196.4190211700002</v>
      </c>
      <c r="BY281" s="422">
        <v>-1.2426629499999999</v>
      </c>
      <c r="BZ281" s="422">
        <v>2023.2021268599999</v>
      </c>
      <c r="CA281" s="422">
        <v>2048.6600665199999</v>
      </c>
      <c r="CB281" s="422">
        <v>2.9421556500000001</v>
      </c>
      <c r="CC281" s="422">
        <v>2.96566025</v>
      </c>
      <c r="CD281" s="422">
        <v>5.0057699999999997E-3</v>
      </c>
      <c r="CE281" s="422">
        <v>3.5911603300000001</v>
      </c>
      <c r="CF281" s="422">
        <v>3.5909805700000001</v>
      </c>
      <c r="CG281" s="422">
        <v>-0.80393643000000004</v>
      </c>
      <c r="CH281" s="422">
        <v>-0.79255898000000002</v>
      </c>
      <c r="CI281" s="422">
        <v>0.59138654999999996</v>
      </c>
    </row>
    <row r="282" spans="1:87" ht="15" customHeight="1" x14ac:dyDescent="0.2">
      <c r="A282" s="297">
        <f t="shared" si="269"/>
        <v>62009061</v>
      </c>
      <c r="B282" s="297" t="s">
        <v>842</v>
      </c>
      <c r="C282" s="297" t="s">
        <v>634</v>
      </c>
      <c r="D282" s="326" t="s">
        <v>852</v>
      </c>
      <c r="E282" s="283" t="s">
        <v>1000</v>
      </c>
      <c r="F282" s="310" t="str">
        <f t="shared" si="247"/>
        <v>09/30/20</v>
      </c>
      <c r="G282" s="298" t="s">
        <v>1001</v>
      </c>
      <c r="H282" s="298" t="s">
        <v>1002</v>
      </c>
      <c r="I282" s="306"/>
      <c r="J282" s="299">
        <v>-16.749151999999999</v>
      </c>
      <c r="K282" s="299">
        <v>20.370709000000002</v>
      </c>
      <c r="L282" s="299">
        <v>28.902902999999998</v>
      </c>
      <c r="M282" s="299">
        <v>3.7890839999999999</v>
      </c>
      <c r="N282" s="284">
        <v>3875</v>
      </c>
      <c r="O282" s="284">
        <v>28.39</v>
      </c>
      <c r="P282" s="284">
        <v>0.20169999999999999</v>
      </c>
      <c r="Q282" s="284">
        <v>1.932E-2</v>
      </c>
      <c r="R282" s="285">
        <v>3.85357335</v>
      </c>
      <c r="S282" s="285">
        <f>R282+R281</f>
        <v>7.4450222500000001</v>
      </c>
      <c r="T282" s="314">
        <v>25.926566999999999</v>
      </c>
      <c r="U282" s="314">
        <v>23.324907</v>
      </c>
      <c r="V282" s="289">
        <v>48350</v>
      </c>
      <c r="W282" s="289">
        <v>50011.210643999999</v>
      </c>
      <c r="X282" s="289">
        <f>W282-V282</f>
        <v>1661.2106439999989</v>
      </c>
      <c r="Y282" s="289">
        <f t="shared" si="258"/>
        <v>431.08317738392054</v>
      </c>
      <c r="Z282" s="308">
        <v>1319.6</v>
      </c>
      <c r="AA282" s="289">
        <v>1415.5</v>
      </c>
      <c r="AB282" s="289">
        <f>AA282-Z282</f>
        <v>95.900000000000091</v>
      </c>
      <c r="AC282" s="289">
        <f t="shared" si="259"/>
        <v>24.885993152303715</v>
      </c>
      <c r="AD282" s="308">
        <v>1178.75</v>
      </c>
      <c r="AE282" s="289">
        <v>1264.7521059999999</v>
      </c>
      <c r="AF282" s="289">
        <f>AE282-AD282</f>
        <v>86.002105999999912</v>
      </c>
      <c r="AG282" s="289">
        <f t="shared" si="260"/>
        <v>22.31749552658701</v>
      </c>
      <c r="AH282" s="308">
        <v>-18.91</v>
      </c>
      <c r="AI282" s="289">
        <v>-20.63</v>
      </c>
      <c r="AJ282" s="289">
        <f>AI282-AH282</f>
        <v>-1.7199999999999989</v>
      </c>
      <c r="AK282" s="307">
        <f t="shared" si="261"/>
        <v>-0.44633898041670828</v>
      </c>
      <c r="AL282" s="308">
        <v>-59.3</v>
      </c>
      <c r="AM282" s="289">
        <v>-64.3</v>
      </c>
      <c r="AN282" s="289">
        <f>AM282-AL282</f>
        <v>-5</v>
      </c>
      <c r="AO282" s="307">
        <f t="shared" si="262"/>
        <v>-1.297497036095083</v>
      </c>
      <c r="AP282" s="308">
        <v>11781.026531</v>
      </c>
      <c r="AQ282" s="289">
        <v>12639.542056</v>
      </c>
      <c r="AR282" s="289">
        <f>AQ282-AP282</f>
        <v>858.51552500000071</v>
      </c>
      <c r="AS282" s="307">
        <f t="shared" si="263"/>
        <v>222.784269825823</v>
      </c>
      <c r="AT282" s="308">
        <v>22.5</v>
      </c>
      <c r="AU282" s="289">
        <v>22.4</v>
      </c>
      <c r="AV282" s="289">
        <f>AU282-AT282</f>
        <v>-0.10000000000000142</v>
      </c>
      <c r="AW282" s="307">
        <f t="shared" si="264"/>
        <v>-2.5949940721902029E-2</v>
      </c>
      <c r="AX282" s="308">
        <v>48364</v>
      </c>
      <c r="AY282" s="289">
        <v>50025</v>
      </c>
      <c r="AZ282" s="289">
        <f>AY282-AX282</f>
        <v>1661</v>
      </c>
      <c r="BA282" s="307">
        <f t="shared" si="265"/>
        <v>431.02851539078659</v>
      </c>
      <c r="BB282" s="308">
        <v>21.3</v>
      </c>
      <c r="BC282" s="289">
        <v>22.6</v>
      </c>
      <c r="BD282" s="289">
        <f>BC282-BB282</f>
        <v>1.3000000000000007</v>
      </c>
      <c r="BE282" s="307">
        <f t="shared" si="266"/>
        <v>0.33734922938472178</v>
      </c>
      <c r="BF282" s="308">
        <v>0</v>
      </c>
      <c r="BG282" s="289">
        <v>0</v>
      </c>
      <c r="BH282" s="289">
        <f>BG282-BF282</f>
        <v>0</v>
      </c>
      <c r="BI282" s="307">
        <f t="shared" si="267"/>
        <v>0</v>
      </c>
      <c r="BJ282" s="281">
        <v>25.926566999999999</v>
      </c>
      <c r="BK282" s="281">
        <v>23.324907</v>
      </c>
      <c r="BL282" s="281">
        <f>BK282-BJ282</f>
        <v>-2.601659999999999</v>
      </c>
      <c r="BM282" s="408">
        <v>0</v>
      </c>
      <c r="BN282" s="458">
        <v>0</v>
      </c>
      <c r="BO282" s="458">
        <f>BN282-BM282</f>
        <v>0</v>
      </c>
      <c r="BP282" s="408">
        <v>21.3</v>
      </c>
      <c r="BQ282" s="458">
        <v>22.6</v>
      </c>
      <c r="BR282" s="458">
        <f>BQ282-BP282</f>
        <v>1.3000000000000007</v>
      </c>
      <c r="BS282" s="281"/>
      <c r="BT282" s="281"/>
      <c r="BU282" s="281"/>
      <c r="BV282" s="281"/>
      <c r="BW282" s="298" t="s">
        <v>1003</v>
      </c>
      <c r="BX282" s="422">
        <v>1348.6611563199999</v>
      </c>
      <c r="BY282" s="422">
        <v>-1.64691013</v>
      </c>
      <c r="BZ282" s="422">
        <v>3359.78461354</v>
      </c>
      <c r="CA282" s="422">
        <v>3416.0437845299998</v>
      </c>
      <c r="CB282" s="422">
        <v>2.7054287800000001</v>
      </c>
      <c r="CC282" s="422">
        <v>2.74154338</v>
      </c>
      <c r="CD282" s="422">
        <v>-0.16669644</v>
      </c>
      <c r="CE282" s="422">
        <v>3.8533953599999999</v>
      </c>
      <c r="CF282" s="422">
        <v>3.8598295600000001</v>
      </c>
      <c r="CG282" s="422">
        <v>-1.1659720899999999</v>
      </c>
      <c r="CH282" s="422">
        <v>-1.31730908</v>
      </c>
      <c r="CI282" s="422">
        <v>0.71728018000000004</v>
      </c>
    </row>
    <row r="283" spans="1:87" ht="15" customHeight="1" x14ac:dyDescent="0.2">
      <c r="A283" s="297">
        <f t="shared" si="269"/>
        <v>62009061</v>
      </c>
      <c r="B283" s="297" t="s">
        <v>843</v>
      </c>
      <c r="C283" s="297" t="s">
        <v>635</v>
      </c>
      <c r="D283" s="326" t="s">
        <v>852</v>
      </c>
      <c r="E283" s="283" t="s">
        <v>1000</v>
      </c>
      <c r="F283" s="310" t="str">
        <f t="shared" si="247"/>
        <v>09/30/20</v>
      </c>
      <c r="G283" s="298" t="s">
        <v>1001</v>
      </c>
      <c r="H283" s="298" t="s">
        <v>1002</v>
      </c>
      <c r="I283" s="306"/>
      <c r="J283" s="300">
        <f>AVERAGE(J281:J282)</f>
        <v>-15.701134499999998</v>
      </c>
      <c r="K283" s="300">
        <f>AVERAGE(K281:K282)</f>
        <v>18.618026499999999</v>
      </c>
      <c r="L283" s="300">
        <f>AVERAGE(L281:L282)</f>
        <v>28.899715</v>
      </c>
      <c r="M283" s="300">
        <f>AVERAGE(M281:M282)</f>
        <v>3.820122</v>
      </c>
      <c r="N283" s="286"/>
      <c r="O283" s="284"/>
      <c r="P283" s="302"/>
      <c r="Q283" s="301"/>
      <c r="R283" s="287">
        <f>R282+R281</f>
        <v>7.4450222500000001</v>
      </c>
      <c r="S283" s="287">
        <f>S282</f>
        <v>7.4450222500000001</v>
      </c>
      <c r="T283" s="315">
        <f>T281</f>
        <v>28.041464000000001</v>
      </c>
      <c r="U283" s="315">
        <f>U282</f>
        <v>23.324907</v>
      </c>
      <c r="V283" s="290">
        <f>V281</f>
        <v>46999</v>
      </c>
      <c r="W283" s="290">
        <f>W282</f>
        <v>50011.210643999999</v>
      </c>
      <c r="X283" s="290">
        <f>SUM(X281:X282)</f>
        <v>3012.2106439999989</v>
      </c>
      <c r="Y283" s="290">
        <f t="shared" si="258"/>
        <v>404.59390756018206</v>
      </c>
      <c r="Z283" s="290">
        <f>Z281</f>
        <v>1262.2</v>
      </c>
      <c r="AA283" s="290">
        <f>AA282</f>
        <v>1415.5</v>
      </c>
      <c r="AB283" s="290">
        <f>SUM(AB281:AB282)</f>
        <v>153.29999999999995</v>
      </c>
      <c r="AC283" s="290">
        <f t="shared" si="259"/>
        <v>20.590939133862218</v>
      </c>
      <c r="AD283" s="290">
        <f>AD281</f>
        <v>1127.322899</v>
      </c>
      <c r="AE283" s="290">
        <f>AE282</f>
        <v>1264.7521059999999</v>
      </c>
      <c r="AF283" s="290">
        <f>SUM(AF281:AF282)</f>
        <v>137.41178300000001</v>
      </c>
      <c r="AG283" s="290">
        <f t="shared" si="260"/>
        <v>18.456866666852473</v>
      </c>
      <c r="AH283" s="290">
        <f>AH281</f>
        <v>-16.212899</v>
      </c>
      <c r="AI283" s="290">
        <f>AI282</f>
        <v>-20.63</v>
      </c>
      <c r="AJ283" s="290">
        <f>SUM(AJ281:AJ282)</f>
        <v>-4.4171009999999988</v>
      </c>
      <c r="AK283" s="288">
        <f t="shared" si="261"/>
        <v>-0.59329587631521163</v>
      </c>
      <c r="AL283" s="290">
        <f>AL281</f>
        <v>-56.4</v>
      </c>
      <c r="AM283" s="290">
        <f>AM282</f>
        <v>-64.3</v>
      </c>
      <c r="AN283" s="290">
        <f>SUM(AN281:AN282)</f>
        <v>-7.8999999999999986</v>
      </c>
      <c r="AO283" s="288">
        <f t="shared" si="262"/>
        <v>-1.0611116709557178</v>
      </c>
      <c r="AP283" s="290">
        <f>AP281</f>
        <v>11305.5</v>
      </c>
      <c r="AQ283" s="290">
        <f>AQ282</f>
        <v>12639.542056</v>
      </c>
      <c r="AR283" s="290">
        <f>SUM(AR281:AR282)</f>
        <v>1333.9413410000016</v>
      </c>
      <c r="AS283" s="288">
        <f t="shared" si="263"/>
        <v>179.17224370954722</v>
      </c>
      <c r="AT283" s="290">
        <f>AT281</f>
        <v>22.5</v>
      </c>
      <c r="AU283" s="290">
        <f>AU282</f>
        <v>22.4</v>
      </c>
      <c r="AV283" s="290">
        <f>SUM(AV281:AV282)</f>
        <v>-0.10000000000000142</v>
      </c>
      <c r="AW283" s="288">
        <f t="shared" si="264"/>
        <v>-1.3431793303237129E-2</v>
      </c>
      <c r="AX283" s="290">
        <f>AX281</f>
        <v>47013</v>
      </c>
      <c r="AY283" s="290">
        <f>AY282</f>
        <v>50025</v>
      </c>
      <c r="AZ283" s="290">
        <f>SUM(AZ281:AZ282)</f>
        <v>3012</v>
      </c>
      <c r="BA283" s="288">
        <f t="shared" si="265"/>
        <v>404.56561429349659</v>
      </c>
      <c r="BB283" s="290">
        <f>BB281</f>
        <v>20.6</v>
      </c>
      <c r="BC283" s="290">
        <f>BC282</f>
        <v>22.6</v>
      </c>
      <c r="BD283" s="290">
        <f>SUM(BD281:BD282)</f>
        <v>2</v>
      </c>
      <c r="BE283" s="288">
        <f t="shared" si="266"/>
        <v>0.26863586606473877</v>
      </c>
      <c r="BF283" s="290">
        <f>BF281</f>
        <v>0</v>
      </c>
      <c r="BG283" s="290">
        <f>BG282</f>
        <v>0</v>
      </c>
      <c r="BH283" s="290">
        <f>SUM(BH281:BH282)</f>
        <v>0</v>
      </c>
      <c r="BI283" s="288">
        <f t="shared" si="267"/>
        <v>0</v>
      </c>
      <c r="BJ283" s="282"/>
      <c r="BK283" s="282"/>
      <c r="BL283" s="282">
        <f>SUM(BL281:BL282)</f>
        <v>-4.7165570000000017</v>
      </c>
      <c r="BM283" s="459">
        <f>BM281</f>
        <v>0</v>
      </c>
      <c r="BN283" s="459">
        <f>BN282</f>
        <v>0</v>
      </c>
      <c r="BO283" s="459">
        <f>SUM(BO281:BO282)</f>
        <v>0</v>
      </c>
      <c r="BP283" s="459">
        <f>BP281</f>
        <v>20.6</v>
      </c>
      <c r="BQ283" s="459">
        <f>BQ282</f>
        <v>22.6</v>
      </c>
      <c r="BR283" s="459">
        <f>SUM(BR281:BR282)</f>
        <v>2</v>
      </c>
      <c r="BS283" s="282"/>
      <c r="BT283" s="282"/>
      <c r="BU283" s="282"/>
      <c r="BV283" s="282"/>
      <c r="BW283" s="298" t="s">
        <v>1003</v>
      </c>
    </row>
    <row r="284" spans="1:87" ht="15" customHeight="1" x14ac:dyDescent="0.2">
      <c r="A284" s="297">
        <f>A283+1</f>
        <v>62009062</v>
      </c>
      <c r="B284" s="297" t="s">
        <v>833</v>
      </c>
      <c r="C284" s="297" t="s">
        <v>626</v>
      </c>
      <c r="D284" s="326" t="s">
        <v>1004</v>
      </c>
      <c r="E284" s="283" t="s">
        <v>1005</v>
      </c>
      <c r="F284" s="310" t="str">
        <f t="shared" si="247"/>
        <v>09/30/20</v>
      </c>
      <c r="G284" s="298" t="s">
        <v>1006</v>
      </c>
      <c r="H284" s="298" t="s">
        <v>775</v>
      </c>
      <c r="I284" s="306"/>
      <c r="J284" s="299">
        <v>-5.4341220000000003</v>
      </c>
      <c r="K284" s="299">
        <v>9.9752080000000003</v>
      </c>
      <c r="L284" s="299">
        <v>28.904914000000002</v>
      </c>
      <c r="M284" s="299">
        <v>6.0007640000000002</v>
      </c>
      <c r="N284" s="284">
        <v>3875</v>
      </c>
      <c r="O284" s="284">
        <v>28.39</v>
      </c>
      <c r="P284" s="284">
        <v>0.20169999999999999</v>
      </c>
      <c r="Q284" s="284">
        <v>1.932E-2</v>
      </c>
      <c r="R284" s="285">
        <v>31.38956267</v>
      </c>
      <c r="S284" s="285">
        <f>R284+R283</f>
        <v>38.834584919999998</v>
      </c>
      <c r="T284" s="314">
        <v>23.298967000000001</v>
      </c>
      <c r="U284" s="314">
        <v>3.9993840000000001</v>
      </c>
      <c r="V284" s="289">
        <v>50028</v>
      </c>
      <c r="W284" s="289">
        <v>61631</v>
      </c>
      <c r="X284" s="289">
        <f>W284-V284</f>
        <v>11603</v>
      </c>
      <c r="Y284" s="289">
        <f t="shared" si="258"/>
        <v>369.6451626925454</v>
      </c>
      <c r="Z284" s="308">
        <v>1418.9</v>
      </c>
      <c r="AA284" s="289">
        <v>1561.5</v>
      </c>
      <c r="AB284" s="289">
        <f>AA284-Z284</f>
        <v>142.59999999999991</v>
      </c>
      <c r="AC284" s="289">
        <f t="shared" si="259"/>
        <v>4.5429113332721656</v>
      </c>
      <c r="AD284" s="308">
        <v>1267.7</v>
      </c>
      <c r="AE284" s="289">
        <v>1394.36</v>
      </c>
      <c r="AF284" s="289">
        <f>AE284-AD284</f>
        <v>126.65999999999985</v>
      </c>
      <c r="AG284" s="289">
        <f t="shared" si="260"/>
        <v>4.0350992249106046</v>
      </c>
      <c r="AH284" s="308">
        <v>-17.582619999999999</v>
      </c>
      <c r="AI284" s="289">
        <v>-21.94</v>
      </c>
      <c r="AJ284" s="289">
        <f>AI284-AH284</f>
        <v>-4.3573800000000027</v>
      </c>
      <c r="AK284" s="307">
        <f t="shared" si="261"/>
        <v>-0.13881620606853784</v>
      </c>
      <c r="AL284" s="308">
        <v>-64.599999999999994</v>
      </c>
      <c r="AM284" s="289">
        <v>-74.2</v>
      </c>
      <c r="AN284" s="289">
        <f>AM284-AL284</f>
        <v>-9.6000000000000085</v>
      </c>
      <c r="AO284" s="307">
        <f t="shared" si="262"/>
        <v>-0.30583414305338613</v>
      </c>
      <c r="AP284" s="308">
        <v>12652.6</v>
      </c>
      <c r="AQ284" s="289">
        <v>14419.5</v>
      </c>
      <c r="AR284" s="289">
        <f>AQ284-AP284</f>
        <v>1766.8999999999996</v>
      </c>
      <c r="AS284" s="307">
        <f t="shared" si="263"/>
        <v>56.289411183440343</v>
      </c>
      <c r="AT284" s="308">
        <v>22.4</v>
      </c>
      <c r="AU284" s="289">
        <v>22.2</v>
      </c>
      <c r="AV284" s="289">
        <f>AU284-AT284</f>
        <v>-0.19999999999999929</v>
      </c>
      <c r="AW284" s="307">
        <f t="shared" si="264"/>
        <v>-6.3715446469455161E-3</v>
      </c>
      <c r="AX284" s="308">
        <v>50042</v>
      </c>
      <c r="AY284" s="289">
        <v>61650</v>
      </c>
      <c r="AZ284" s="289">
        <f>AY284-AX284</f>
        <v>11608</v>
      </c>
      <c r="BA284" s="307">
        <f t="shared" si="265"/>
        <v>369.80445130871902</v>
      </c>
      <c r="BB284" s="308">
        <v>23.1</v>
      </c>
      <c r="BC284" s="289">
        <v>25.7</v>
      </c>
      <c r="BD284" s="289">
        <f>BC284-BB284</f>
        <v>2.5999999999999979</v>
      </c>
      <c r="BE284" s="307">
        <f t="shared" si="266"/>
        <v>8.2830080410291926E-2</v>
      </c>
      <c r="BF284" s="308">
        <v>0</v>
      </c>
      <c r="BG284" s="289">
        <v>0</v>
      </c>
      <c r="BH284" s="289">
        <f>BG284-BF284</f>
        <v>0</v>
      </c>
      <c r="BI284" s="307">
        <f t="shared" si="267"/>
        <v>0</v>
      </c>
      <c r="BJ284" s="281">
        <v>23.298967000000001</v>
      </c>
      <c r="BK284" s="281">
        <v>3.9993840000000001</v>
      </c>
      <c r="BL284" s="281">
        <f>BK284-BJ284</f>
        <v>-19.299583000000002</v>
      </c>
      <c r="BM284" s="408">
        <v>0</v>
      </c>
      <c r="BN284" s="458">
        <v>0</v>
      </c>
      <c r="BO284" s="458">
        <f>BN284-BM284</f>
        <v>0</v>
      </c>
      <c r="BP284" s="408">
        <v>23.1</v>
      </c>
      <c r="BQ284" s="458">
        <v>25.7</v>
      </c>
      <c r="BR284" s="458">
        <f>BQ284-BP284</f>
        <v>2.5999999999999979</v>
      </c>
      <c r="BS284" s="281"/>
      <c r="BT284" s="281"/>
      <c r="BU284" s="281"/>
      <c r="BV284" s="281"/>
      <c r="BW284" s="298" t="s">
        <v>855</v>
      </c>
      <c r="BX284" s="422">
        <v>67.151863969999994</v>
      </c>
      <c r="BY284" s="422">
        <v>39.59671333</v>
      </c>
      <c r="BZ284" s="422">
        <v>811.26909145000002</v>
      </c>
      <c r="CA284" s="422">
        <v>581.15200000000004</v>
      </c>
      <c r="CB284" s="422">
        <v>27.822600600000001</v>
      </c>
      <c r="CC284" s="422">
        <v>29.446673619999999</v>
      </c>
      <c r="CD284" s="422">
        <v>-3.9045127599999998</v>
      </c>
      <c r="CE284" s="422">
        <v>31.389789029999999</v>
      </c>
      <c r="CF284" s="422">
        <v>32.665206179999998</v>
      </c>
      <c r="CG284" s="422">
        <v>-1.7048150799999999</v>
      </c>
      <c r="CH284" s="422">
        <v>-5.5153021300000002</v>
      </c>
      <c r="CI284" s="422">
        <v>2.5577849999999999E-2</v>
      </c>
    </row>
    <row r="285" spans="1:87" ht="15.75" customHeight="1" x14ac:dyDescent="0.2">
      <c r="A285" s="297">
        <f>A284+1</f>
        <v>62009063</v>
      </c>
      <c r="B285" s="339" t="s">
        <v>616</v>
      </c>
      <c r="C285" s="339" t="s">
        <v>626</v>
      </c>
      <c r="D285" s="326" t="s">
        <v>858</v>
      </c>
      <c r="E285" s="283" t="s">
        <v>1007</v>
      </c>
      <c r="F285" s="310" t="str">
        <f t="shared" si="247"/>
        <v>09/30/20</v>
      </c>
      <c r="G285" s="298" t="s">
        <v>1008</v>
      </c>
      <c r="H285" s="298" t="s">
        <v>775</v>
      </c>
      <c r="I285" s="306"/>
      <c r="J285" s="299">
        <v>-882.00435900000002</v>
      </c>
      <c r="K285" s="299">
        <v>741.620135</v>
      </c>
      <c r="L285" s="299">
        <v>1474.0070559999999</v>
      </c>
      <c r="M285" s="299">
        <v>-858.90178400000002</v>
      </c>
      <c r="N285" s="284">
        <v>3875</v>
      </c>
      <c r="O285" s="284">
        <v>28.39</v>
      </c>
      <c r="P285" s="284">
        <v>0.20169999999999999</v>
      </c>
      <c r="Q285" s="284">
        <v>1.932E-2</v>
      </c>
      <c r="R285" s="285">
        <v>2.517343E-2</v>
      </c>
      <c r="S285" s="285">
        <f>R285+R284</f>
        <v>31.414736099999999</v>
      </c>
      <c r="T285" s="314" t="s">
        <v>983</v>
      </c>
      <c r="U285" s="314" t="s">
        <v>984</v>
      </c>
      <c r="V285" s="289">
        <v>61631</v>
      </c>
      <c r="W285" s="289">
        <v>61486</v>
      </c>
      <c r="X285" s="289">
        <f>W285-V285</f>
        <v>-145</v>
      </c>
      <c r="Y285" s="289">
        <f t="shared" si="258"/>
        <v>-5760.041440518833</v>
      </c>
      <c r="Z285" s="308">
        <v>1561.5</v>
      </c>
      <c r="AA285" s="289">
        <v>2147.1</v>
      </c>
      <c r="AB285" s="289">
        <f>AA285-Z285</f>
        <v>585.59999999999991</v>
      </c>
      <c r="AC285" s="289">
        <f t="shared" si="259"/>
        <v>23262.622534950537</v>
      </c>
      <c r="AD285" s="308">
        <v>1394.32</v>
      </c>
      <c r="AE285" s="289">
        <v>1778.21</v>
      </c>
      <c r="AF285" s="289">
        <f>AE285-AD285</f>
        <v>383.8900000000001</v>
      </c>
      <c r="AG285" s="289">
        <f t="shared" si="260"/>
        <v>15249.809024832934</v>
      </c>
      <c r="AH285" s="308">
        <v>-18.63</v>
      </c>
      <c r="AI285" s="289">
        <v>-31.85</v>
      </c>
      <c r="AJ285" s="289">
        <f>AI285-AH285</f>
        <v>-13.220000000000002</v>
      </c>
      <c r="AK285" s="307">
        <f t="shared" si="261"/>
        <v>-525.15688168040674</v>
      </c>
      <c r="AL285" s="308">
        <v>-74.2</v>
      </c>
      <c r="AM285" s="289">
        <v>-74.7</v>
      </c>
      <c r="AN285" s="289">
        <f>AM285-AL285</f>
        <v>-0.5</v>
      </c>
      <c r="AO285" s="307">
        <f t="shared" si="262"/>
        <v>-19.862211863858043</v>
      </c>
      <c r="AP285" s="308">
        <v>14419.5</v>
      </c>
      <c r="AQ285" s="289">
        <v>14419.1</v>
      </c>
      <c r="AR285" s="289">
        <f>AQ285-AP285</f>
        <v>-0.3999999999996362</v>
      </c>
      <c r="AS285" s="307">
        <f t="shared" si="263"/>
        <v>-15.889769491071984</v>
      </c>
      <c r="AT285" s="308">
        <v>22.2</v>
      </c>
      <c r="AU285" s="289">
        <v>1445.3</v>
      </c>
      <c r="AV285" s="289">
        <f>AU285-AT285</f>
        <v>1423.1</v>
      </c>
      <c r="AW285" s="307">
        <f t="shared" si="264"/>
        <v>56531.827406912758</v>
      </c>
      <c r="AX285" s="308">
        <v>61650</v>
      </c>
      <c r="AY285" s="289">
        <v>-2553</v>
      </c>
      <c r="AZ285" s="289">
        <f>AY285-AX285</f>
        <v>-64203</v>
      </c>
      <c r="BA285" s="307">
        <f t="shared" si="265"/>
        <v>-2550427.1765905558</v>
      </c>
      <c r="BB285" s="308">
        <v>26</v>
      </c>
      <c r="BC285" s="289">
        <v>70123.199999999997</v>
      </c>
      <c r="BD285" s="289">
        <f>BC285-BB285</f>
        <v>70097.2</v>
      </c>
      <c r="BE285" s="307">
        <f t="shared" si="266"/>
        <v>2784570.87492646</v>
      </c>
      <c r="BF285" s="308">
        <v>0</v>
      </c>
      <c r="BG285" s="289">
        <v>-69974.7</v>
      </c>
      <c r="BH285" s="289">
        <f>BG285-BF285</f>
        <v>-69974.7</v>
      </c>
      <c r="BI285" s="307">
        <f t="shared" si="267"/>
        <v>-2779704.6330198147</v>
      </c>
      <c r="BJ285" s="281" t="s">
        <v>983</v>
      </c>
      <c r="BK285" s="281" t="s">
        <v>985</v>
      </c>
      <c r="BL285" s="281" t="e">
        <f>BK285-BJ285</f>
        <v>#VALUE!</v>
      </c>
      <c r="BM285" s="408">
        <v>0</v>
      </c>
      <c r="BN285" s="458">
        <v>-69974.7</v>
      </c>
      <c r="BO285" s="458">
        <f>BN285-BM285</f>
        <v>-69974.7</v>
      </c>
      <c r="BP285" s="408">
        <v>26</v>
      </c>
      <c r="BQ285" s="458">
        <v>70123.199999999997</v>
      </c>
      <c r="BR285" s="458">
        <f>BQ285-BP285</f>
        <v>70097.2</v>
      </c>
      <c r="BS285" s="281"/>
      <c r="BT285" s="281"/>
      <c r="BU285" s="281"/>
      <c r="BV285" s="281"/>
      <c r="BW285" s="298" t="s">
        <v>796</v>
      </c>
      <c r="BX285" s="422">
        <v>0</v>
      </c>
      <c r="BY285" s="422" t="s">
        <v>777</v>
      </c>
      <c r="BZ285" s="422">
        <v>0</v>
      </c>
      <c r="CA285" s="422">
        <v>0</v>
      </c>
      <c r="CB285" s="422">
        <v>0</v>
      </c>
      <c r="CC285" s="422">
        <v>0</v>
      </c>
      <c r="CD285" s="422" t="s">
        <v>777</v>
      </c>
      <c r="CE285" s="422">
        <v>0</v>
      </c>
      <c r="CF285" s="422">
        <v>0</v>
      </c>
      <c r="CG285" s="422" t="s">
        <v>777</v>
      </c>
      <c r="CH285" s="422" t="s">
        <v>777</v>
      </c>
      <c r="CI285" s="422" t="s">
        <v>777</v>
      </c>
    </row>
    <row r="286" spans="1:87" ht="15" customHeight="1" x14ac:dyDescent="0.2">
      <c r="A286" s="457" t="s">
        <v>1025</v>
      </c>
      <c r="B286" s="334"/>
      <c r="C286" s="334"/>
      <c r="D286" s="335"/>
      <c r="E286" s="334"/>
      <c r="F286" s="334"/>
      <c r="G286" s="335"/>
      <c r="H286" s="335"/>
      <c r="I286" s="335"/>
      <c r="J286" s="335"/>
      <c r="K286" s="335"/>
      <c r="L286" s="335"/>
      <c r="M286" s="335"/>
      <c r="N286" s="335"/>
      <c r="O286" s="335"/>
      <c r="P286" s="336"/>
      <c r="Q286" s="337"/>
      <c r="R286" s="334"/>
      <c r="S286" s="334"/>
      <c r="T286" s="334"/>
      <c r="U286" s="334"/>
      <c r="V286" s="341"/>
      <c r="W286" s="341"/>
      <c r="X286" s="334"/>
      <c r="Y286" s="334"/>
      <c r="Z286" s="334"/>
      <c r="AA286" s="334"/>
      <c r="AB286" s="334"/>
      <c r="AC286" s="334"/>
      <c r="AD286" s="334"/>
      <c r="AE286" s="341"/>
      <c r="AF286" s="341"/>
      <c r="AG286" s="341"/>
      <c r="AH286" s="341"/>
      <c r="AI286" s="341"/>
      <c r="AJ286" s="334"/>
      <c r="AK286" s="334"/>
      <c r="AL286" s="334"/>
      <c r="AM286" s="334"/>
      <c r="AN286" s="334"/>
      <c r="AO286" s="334"/>
      <c r="AP286" s="341"/>
      <c r="AQ286" s="341"/>
      <c r="AR286" s="334"/>
      <c r="AS286" s="334"/>
      <c r="AT286" s="341"/>
      <c r="AU286" s="341"/>
      <c r="AV286" s="334"/>
      <c r="AW286" s="334"/>
      <c r="AX286" s="341"/>
      <c r="AY286" s="341"/>
      <c r="AZ286" s="334"/>
      <c r="BA286" s="334"/>
      <c r="BB286" s="341"/>
      <c r="BC286" s="341"/>
      <c r="BD286" s="334"/>
      <c r="BE286" s="334"/>
      <c r="BF286" s="341"/>
      <c r="BG286" s="341"/>
      <c r="BH286" s="334"/>
      <c r="BI286" s="334"/>
      <c r="BJ286" s="334"/>
      <c r="BK286" s="334"/>
      <c r="BL286" s="334"/>
      <c r="BM286" s="334"/>
      <c r="BN286" s="334"/>
      <c r="BO286" s="334"/>
      <c r="BP286" s="334"/>
      <c r="BQ286" s="334"/>
      <c r="BR286" s="334"/>
      <c r="BS286" s="334"/>
      <c r="BT286" s="334"/>
      <c r="BU286" s="334"/>
      <c r="BV286" s="334"/>
      <c r="BW286" s="334"/>
      <c r="BX286" s="334"/>
      <c r="BY286" s="334"/>
      <c r="BZ286" s="334"/>
      <c r="CA286" s="334"/>
      <c r="CB286" s="334"/>
      <c r="CC286" s="334"/>
      <c r="CD286" s="334"/>
      <c r="CE286" s="334"/>
      <c r="CF286" s="334"/>
      <c r="CG286" s="334"/>
      <c r="CH286" s="334"/>
      <c r="CI286" s="338"/>
    </row>
    <row r="287" spans="1:87" ht="15" customHeight="1" x14ac:dyDescent="0.2">
      <c r="A287" s="423">
        <v>62001001</v>
      </c>
      <c r="B287" s="304" t="s">
        <v>1026</v>
      </c>
      <c r="C287" s="304" t="s">
        <v>626</v>
      </c>
      <c r="D287" s="326" t="s">
        <v>458</v>
      </c>
      <c r="E287" s="283" t="s">
        <v>459</v>
      </c>
      <c r="F287" s="310" t="str">
        <f t="shared" ref="F287:F296" si="270">LEFT(E287,8)</f>
        <v>##INFO(T</v>
      </c>
      <c r="G287" s="298" t="s">
        <v>460</v>
      </c>
      <c r="H287" s="298" t="s">
        <v>461</v>
      </c>
      <c r="I287" s="306"/>
      <c r="J287" s="299" t="s">
        <v>1027</v>
      </c>
      <c r="K287" s="299" t="s">
        <v>1028</v>
      </c>
      <c r="L287" s="299" t="s">
        <v>1029</v>
      </c>
      <c r="M287" s="299" t="s">
        <v>1030</v>
      </c>
      <c r="N287" s="284" t="s">
        <v>466</v>
      </c>
      <c r="O287" s="284" t="s">
        <v>467</v>
      </c>
      <c r="P287" s="284" t="s">
        <v>468</v>
      </c>
      <c r="Q287" s="284" t="s">
        <v>469</v>
      </c>
      <c r="R287" s="285" t="s">
        <v>1031</v>
      </c>
      <c r="S287" s="285" t="e">
        <f t="shared" ref="S287:S296" si="271">R287+R286</f>
        <v>#VALUE!</v>
      </c>
      <c r="T287" s="314" t="s">
        <v>1032</v>
      </c>
      <c r="U287" s="314" t="s">
        <v>1033</v>
      </c>
      <c r="V287" s="289" t="s">
        <v>1034</v>
      </c>
      <c r="W287" s="289" t="s">
        <v>1035</v>
      </c>
      <c r="X287" s="289" t="e">
        <f t="shared" ref="X287:X296" si="272">W287-V287</f>
        <v>#VALUE!</v>
      </c>
      <c r="Y287" s="289" t="e">
        <f t="shared" ref="Y287:Y296" si="273">X287/$R287</f>
        <v>#VALUE!</v>
      </c>
      <c r="Z287" s="308" t="s">
        <v>1036</v>
      </c>
      <c r="AA287" s="289" t="s">
        <v>1037</v>
      </c>
      <c r="AB287" s="289" t="e">
        <f t="shared" ref="AB287:AB296" si="274">AA287-Z287</f>
        <v>#VALUE!</v>
      </c>
      <c r="AC287" s="289" t="e">
        <f t="shared" ref="AC287:AC296" si="275">AB287/$R287</f>
        <v>#VALUE!</v>
      </c>
      <c r="AD287" s="308" t="s">
        <v>1038</v>
      </c>
      <c r="AE287" s="289" t="s">
        <v>1039</v>
      </c>
      <c r="AF287" s="289" t="e">
        <f t="shared" ref="AF287:AF296" si="276">AE287-AD287</f>
        <v>#VALUE!</v>
      </c>
      <c r="AG287" s="289" t="e">
        <f t="shared" ref="AG287:AG296" si="277">AF287/$R287</f>
        <v>#VALUE!</v>
      </c>
      <c r="AH287" s="308" t="s">
        <v>1040</v>
      </c>
      <c r="AI287" s="289" t="s">
        <v>1041</v>
      </c>
      <c r="AJ287" s="289" t="e">
        <f t="shared" ref="AJ287:AJ296" si="278">AI287-AH287</f>
        <v>#VALUE!</v>
      </c>
      <c r="AK287" s="307" t="e">
        <f t="shared" ref="AK287:AK296" si="279">AJ287/$R287</f>
        <v>#VALUE!</v>
      </c>
      <c r="AL287" s="308" t="s">
        <v>1042</v>
      </c>
      <c r="AM287" s="289" t="s">
        <v>1043</v>
      </c>
      <c r="AN287" s="289" t="e">
        <f t="shared" ref="AN287:AN296" si="280">AM287-AL287</f>
        <v>#VALUE!</v>
      </c>
      <c r="AO287" s="307" t="e">
        <f t="shared" ref="AO287:AO296" si="281">AN287/$R287</f>
        <v>#VALUE!</v>
      </c>
      <c r="AP287" s="308" t="s">
        <v>1044</v>
      </c>
      <c r="AQ287" s="289" t="s">
        <v>1045</v>
      </c>
      <c r="AR287" s="289" t="e">
        <f t="shared" ref="AR287:AR296" si="282">AQ287-AP287</f>
        <v>#VALUE!</v>
      </c>
      <c r="AS287" s="307" t="e">
        <f t="shared" ref="AS287:AS296" si="283">AR287/$R287</f>
        <v>#VALUE!</v>
      </c>
      <c r="AT287" s="308" t="s">
        <v>1046</v>
      </c>
      <c r="AU287" s="289" t="s">
        <v>1047</v>
      </c>
      <c r="AV287" s="289" t="e">
        <f t="shared" ref="AV287:AV296" si="284">AU287-AT287</f>
        <v>#VALUE!</v>
      </c>
      <c r="AW287" s="307" t="e">
        <f t="shared" ref="AW287:AW296" si="285">AV287/$R287</f>
        <v>#VALUE!</v>
      </c>
      <c r="AX287" s="308" t="s">
        <v>1048</v>
      </c>
      <c r="AY287" s="289" t="s">
        <v>1049</v>
      </c>
      <c r="AZ287" s="289" t="e">
        <f t="shared" ref="AZ287:AZ296" si="286">AY287-AX287</f>
        <v>#VALUE!</v>
      </c>
      <c r="BA287" s="307" t="e">
        <f t="shared" ref="BA287:BA296" si="287">AZ287/$R287</f>
        <v>#VALUE!</v>
      </c>
      <c r="BB287" s="308" t="s">
        <v>1050</v>
      </c>
      <c r="BC287" s="289" t="s">
        <v>1051</v>
      </c>
      <c r="BD287" s="289" t="e">
        <f t="shared" ref="BD287:BD296" si="288">BC287-BB287</f>
        <v>#VALUE!</v>
      </c>
      <c r="BE287" s="307" t="e">
        <f t="shared" ref="BE287:BE296" si="289">BD287/$R287</f>
        <v>#VALUE!</v>
      </c>
      <c r="BF287" s="308" t="s">
        <v>1052</v>
      </c>
      <c r="BG287" s="289" t="s">
        <v>1053</v>
      </c>
      <c r="BH287" s="289" t="e">
        <f t="shared" ref="BH287:BH296" si="290">BG287-BF287</f>
        <v>#VALUE!</v>
      </c>
      <c r="BI287" s="307" t="e">
        <f t="shared" ref="BI287:BI296" si="291">BH287/$R287</f>
        <v>#VALUE!</v>
      </c>
      <c r="BJ287" s="281" t="s">
        <v>1032</v>
      </c>
      <c r="BK287" s="281" t="s">
        <v>1054</v>
      </c>
      <c r="BL287" s="281" t="e">
        <f t="shared" ref="BL287:BL296" si="292">BK287-BJ287</f>
        <v>#VALUE!</v>
      </c>
      <c r="BM287" s="408" t="s">
        <v>1052</v>
      </c>
      <c r="BN287" s="458" t="s">
        <v>1053</v>
      </c>
      <c r="BO287" s="458" t="e">
        <f t="shared" ref="BO287:BO296" si="293">BN287-BM287</f>
        <v>#VALUE!</v>
      </c>
      <c r="BP287" s="408" t="s">
        <v>1050</v>
      </c>
      <c r="BQ287" s="458" t="s">
        <v>1051</v>
      </c>
      <c r="BR287" s="458" t="e">
        <f t="shared" ref="BR287:BR296" si="294">BQ287-BP287</f>
        <v>#VALUE!</v>
      </c>
      <c r="BS287" s="281"/>
      <c r="BT287" s="281"/>
      <c r="BU287" s="281"/>
      <c r="BV287" s="281"/>
      <c r="BW287" s="298" t="s">
        <v>479</v>
      </c>
      <c r="BX287" s="422" t="s">
        <v>1055</v>
      </c>
      <c r="BY287" s="422" t="s">
        <v>1056</v>
      </c>
      <c r="BZ287" s="422" t="s">
        <v>1057</v>
      </c>
      <c r="CA287" s="422" t="s">
        <v>1058</v>
      </c>
      <c r="CB287" s="422" t="s">
        <v>1059</v>
      </c>
      <c r="CC287" s="422" t="s">
        <v>1060</v>
      </c>
      <c r="CD287" s="422" t="s">
        <v>1061</v>
      </c>
      <c r="CE287" s="422" t="s">
        <v>1062</v>
      </c>
      <c r="CF287" s="422" t="s">
        <v>1063</v>
      </c>
      <c r="CG287" s="422" t="s">
        <v>1064</v>
      </c>
      <c r="CH287" s="422" t="s">
        <v>1065</v>
      </c>
      <c r="CI287" s="422" t="s">
        <v>1066</v>
      </c>
    </row>
    <row r="288" spans="1:87" ht="15" customHeight="1" x14ac:dyDescent="0.2">
      <c r="A288" s="423">
        <v>62001002</v>
      </c>
      <c r="B288" s="297" t="s">
        <v>617</v>
      </c>
      <c r="C288" s="297" t="s">
        <v>626</v>
      </c>
      <c r="D288" s="326" t="s">
        <v>458</v>
      </c>
      <c r="E288" s="283" t="s">
        <v>459</v>
      </c>
      <c r="F288" s="310" t="str">
        <f t="shared" si="270"/>
        <v>##INFO(T</v>
      </c>
      <c r="G288" s="298" t="s">
        <v>460</v>
      </c>
      <c r="H288" s="298" t="s">
        <v>461</v>
      </c>
      <c r="I288" s="306"/>
      <c r="J288" s="299" t="s">
        <v>1027</v>
      </c>
      <c r="K288" s="299" t="s">
        <v>1028</v>
      </c>
      <c r="L288" s="299" t="s">
        <v>1029</v>
      </c>
      <c r="M288" s="299" t="s">
        <v>1030</v>
      </c>
      <c r="N288" s="284" t="s">
        <v>466</v>
      </c>
      <c r="O288" s="284" t="s">
        <v>467</v>
      </c>
      <c r="P288" s="284" t="s">
        <v>468</v>
      </c>
      <c r="Q288" s="284" t="s">
        <v>469</v>
      </c>
      <c r="R288" s="285" t="s">
        <v>1031</v>
      </c>
      <c r="S288" s="285" t="e">
        <f t="shared" si="271"/>
        <v>#VALUE!</v>
      </c>
      <c r="T288" s="314" t="s">
        <v>1032</v>
      </c>
      <c r="U288" s="314" t="s">
        <v>1033</v>
      </c>
      <c r="V288" s="289" t="s">
        <v>1034</v>
      </c>
      <c r="W288" s="289" t="s">
        <v>1035</v>
      </c>
      <c r="X288" s="289" t="e">
        <f t="shared" si="272"/>
        <v>#VALUE!</v>
      </c>
      <c r="Y288" s="289" t="e">
        <f t="shared" si="273"/>
        <v>#VALUE!</v>
      </c>
      <c r="Z288" s="308" t="s">
        <v>1036</v>
      </c>
      <c r="AA288" s="289" t="s">
        <v>1037</v>
      </c>
      <c r="AB288" s="289" t="e">
        <f t="shared" si="274"/>
        <v>#VALUE!</v>
      </c>
      <c r="AC288" s="289" t="e">
        <f t="shared" si="275"/>
        <v>#VALUE!</v>
      </c>
      <c r="AD288" s="308" t="s">
        <v>1038</v>
      </c>
      <c r="AE288" s="289" t="s">
        <v>1039</v>
      </c>
      <c r="AF288" s="289" t="e">
        <f t="shared" si="276"/>
        <v>#VALUE!</v>
      </c>
      <c r="AG288" s="289" t="e">
        <f t="shared" si="277"/>
        <v>#VALUE!</v>
      </c>
      <c r="AH288" s="308" t="s">
        <v>1040</v>
      </c>
      <c r="AI288" s="289" t="s">
        <v>1041</v>
      </c>
      <c r="AJ288" s="289" t="e">
        <f t="shared" si="278"/>
        <v>#VALUE!</v>
      </c>
      <c r="AK288" s="307" t="e">
        <f t="shared" si="279"/>
        <v>#VALUE!</v>
      </c>
      <c r="AL288" s="308" t="s">
        <v>1042</v>
      </c>
      <c r="AM288" s="289" t="s">
        <v>1043</v>
      </c>
      <c r="AN288" s="289" t="e">
        <f t="shared" si="280"/>
        <v>#VALUE!</v>
      </c>
      <c r="AO288" s="307" t="e">
        <f t="shared" si="281"/>
        <v>#VALUE!</v>
      </c>
      <c r="AP288" s="308" t="s">
        <v>1044</v>
      </c>
      <c r="AQ288" s="289" t="s">
        <v>1045</v>
      </c>
      <c r="AR288" s="289" t="e">
        <f t="shared" si="282"/>
        <v>#VALUE!</v>
      </c>
      <c r="AS288" s="307" t="e">
        <f t="shared" si="283"/>
        <v>#VALUE!</v>
      </c>
      <c r="AT288" s="308" t="s">
        <v>1046</v>
      </c>
      <c r="AU288" s="289" t="s">
        <v>1047</v>
      </c>
      <c r="AV288" s="289" t="e">
        <f t="shared" si="284"/>
        <v>#VALUE!</v>
      </c>
      <c r="AW288" s="307" t="e">
        <f t="shared" si="285"/>
        <v>#VALUE!</v>
      </c>
      <c r="AX288" s="308" t="s">
        <v>1048</v>
      </c>
      <c r="AY288" s="289" t="s">
        <v>1049</v>
      </c>
      <c r="AZ288" s="289" t="e">
        <f t="shared" si="286"/>
        <v>#VALUE!</v>
      </c>
      <c r="BA288" s="307" t="e">
        <f t="shared" si="287"/>
        <v>#VALUE!</v>
      </c>
      <c r="BB288" s="308" t="s">
        <v>1050</v>
      </c>
      <c r="BC288" s="289" t="s">
        <v>1051</v>
      </c>
      <c r="BD288" s="289" t="e">
        <f t="shared" si="288"/>
        <v>#VALUE!</v>
      </c>
      <c r="BE288" s="307" t="e">
        <f t="shared" si="289"/>
        <v>#VALUE!</v>
      </c>
      <c r="BF288" s="308" t="s">
        <v>1052</v>
      </c>
      <c r="BG288" s="289" t="s">
        <v>1053</v>
      </c>
      <c r="BH288" s="289" t="e">
        <f t="shared" si="290"/>
        <v>#VALUE!</v>
      </c>
      <c r="BI288" s="307" t="e">
        <f t="shared" si="291"/>
        <v>#VALUE!</v>
      </c>
      <c r="BJ288" s="281" t="s">
        <v>1032</v>
      </c>
      <c r="BK288" s="281" t="s">
        <v>1054</v>
      </c>
      <c r="BL288" s="281" t="e">
        <f t="shared" si="292"/>
        <v>#VALUE!</v>
      </c>
      <c r="BM288" s="408" t="s">
        <v>1052</v>
      </c>
      <c r="BN288" s="458" t="s">
        <v>1053</v>
      </c>
      <c r="BO288" s="458" t="e">
        <f t="shared" si="293"/>
        <v>#VALUE!</v>
      </c>
      <c r="BP288" s="408" t="s">
        <v>1050</v>
      </c>
      <c r="BQ288" s="458" t="s">
        <v>1051</v>
      </c>
      <c r="BR288" s="458" t="e">
        <f t="shared" si="294"/>
        <v>#VALUE!</v>
      </c>
      <c r="BS288" s="281"/>
      <c r="BT288" s="281"/>
      <c r="BU288" s="281"/>
      <c r="BV288" s="281"/>
      <c r="BW288" s="298" t="s">
        <v>479</v>
      </c>
      <c r="BX288" s="422" t="s">
        <v>1055</v>
      </c>
      <c r="BY288" s="422" t="s">
        <v>1056</v>
      </c>
      <c r="BZ288" s="422" t="s">
        <v>1057</v>
      </c>
      <c r="CA288" s="422" t="s">
        <v>1058</v>
      </c>
      <c r="CB288" s="422" t="s">
        <v>1059</v>
      </c>
      <c r="CC288" s="422" t="s">
        <v>1060</v>
      </c>
      <c r="CD288" s="422" t="s">
        <v>1061</v>
      </c>
      <c r="CE288" s="422" t="s">
        <v>1062</v>
      </c>
      <c r="CF288" s="422" t="s">
        <v>1063</v>
      </c>
      <c r="CG288" s="422" t="s">
        <v>1064</v>
      </c>
      <c r="CH288" s="422" t="s">
        <v>1065</v>
      </c>
      <c r="CI288" s="422" t="s">
        <v>1066</v>
      </c>
    </row>
    <row r="289" spans="1:87" ht="15" customHeight="1" x14ac:dyDescent="0.2">
      <c r="A289" s="423">
        <v>62001002</v>
      </c>
      <c r="B289" s="297" t="s">
        <v>617</v>
      </c>
      <c r="C289" s="297" t="s">
        <v>627</v>
      </c>
      <c r="D289" s="326" t="s">
        <v>458</v>
      </c>
      <c r="E289" s="283" t="s">
        <v>459</v>
      </c>
      <c r="F289" s="310" t="str">
        <f t="shared" si="270"/>
        <v>##INFO(T</v>
      </c>
      <c r="G289" s="298" t="s">
        <v>460</v>
      </c>
      <c r="H289" s="298" t="s">
        <v>461</v>
      </c>
      <c r="I289" s="306"/>
      <c r="J289" s="299" t="s">
        <v>1067</v>
      </c>
      <c r="K289" s="299" t="s">
        <v>1068</v>
      </c>
      <c r="L289" s="299" t="s">
        <v>1069</v>
      </c>
      <c r="M289" s="299" t="s">
        <v>1070</v>
      </c>
      <c r="N289" s="284" t="s">
        <v>466</v>
      </c>
      <c r="O289" s="284" t="s">
        <v>467</v>
      </c>
      <c r="P289" s="284" t="s">
        <v>468</v>
      </c>
      <c r="Q289" s="284" t="s">
        <v>469</v>
      </c>
      <c r="R289" s="285" t="s">
        <v>1071</v>
      </c>
      <c r="S289" s="285" t="e">
        <f t="shared" si="271"/>
        <v>#VALUE!</v>
      </c>
      <c r="T289" s="314" t="s">
        <v>1072</v>
      </c>
      <c r="U289" s="314" t="s">
        <v>1073</v>
      </c>
      <c r="V289" s="289" t="s">
        <v>1074</v>
      </c>
      <c r="W289" s="289" t="s">
        <v>1075</v>
      </c>
      <c r="X289" s="289" t="e">
        <f t="shared" si="272"/>
        <v>#VALUE!</v>
      </c>
      <c r="Y289" s="289" t="e">
        <f t="shared" si="273"/>
        <v>#VALUE!</v>
      </c>
      <c r="Z289" s="308" t="s">
        <v>1076</v>
      </c>
      <c r="AA289" s="289" t="s">
        <v>1077</v>
      </c>
      <c r="AB289" s="289" t="e">
        <f t="shared" si="274"/>
        <v>#VALUE!</v>
      </c>
      <c r="AC289" s="289" t="e">
        <f t="shared" si="275"/>
        <v>#VALUE!</v>
      </c>
      <c r="AD289" s="308" t="s">
        <v>1078</v>
      </c>
      <c r="AE289" s="289" t="s">
        <v>1079</v>
      </c>
      <c r="AF289" s="289" t="e">
        <f t="shared" si="276"/>
        <v>#VALUE!</v>
      </c>
      <c r="AG289" s="289" t="e">
        <f t="shared" si="277"/>
        <v>#VALUE!</v>
      </c>
      <c r="AH289" s="308" t="s">
        <v>1080</v>
      </c>
      <c r="AI289" s="289" t="s">
        <v>1081</v>
      </c>
      <c r="AJ289" s="289" t="e">
        <f t="shared" si="278"/>
        <v>#VALUE!</v>
      </c>
      <c r="AK289" s="307" t="e">
        <f t="shared" si="279"/>
        <v>#VALUE!</v>
      </c>
      <c r="AL289" s="308" t="s">
        <v>1082</v>
      </c>
      <c r="AM289" s="289" t="s">
        <v>1083</v>
      </c>
      <c r="AN289" s="289" t="e">
        <f t="shared" si="280"/>
        <v>#VALUE!</v>
      </c>
      <c r="AO289" s="307" t="e">
        <f t="shared" si="281"/>
        <v>#VALUE!</v>
      </c>
      <c r="AP289" s="308" t="s">
        <v>1084</v>
      </c>
      <c r="AQ289" s="289" t="s">
        <v>1085</v>
      </c>
      <c r="AR289" s="289" t="e">
        <f t="shared" si="282"/>
        <v>#VALUE!</v>
      </c>
      <c r="AS289" s="307" t="e">
        <f t="shared" si="283"/>
        <v>#VALUE!</v>
      </c>
      <c r="AT289" s="308" t="s">
        <v>1086</v>
      </c>
      <c r="AU289" s="289" t="s">
        <v>1087</v>
      </c>
      <c r="AV289" s="289" t="e">
        <f t="shared" si="284"/>
        <v>#VALUE!</v>
      </c>
      <c r="AW289" s="307" t="e">
        <f t="shared" si="285"/>
        <v>#VALUE!</v>
      </c>
      <c r="AX289" s="308" t="s">
        <v>1088</v>
      </c>
      <c r="AY289" s="289" t="s">
        <v>1089</v>
      </c>
      <c r="AZ289" s="289" t="e">
        <f t="shared" si="286"/>
        <v>#VALUE!</v>
      </c>
      <c r="BA289" s="307" t="e">
        <f t="shared" si="287"/>
        <v>#VALUE!</v>
      </c>
      <c r="BB289" s="308" t="s">
        <v>1090</v>
      </c>
      <c r="BC289" s="289" t="s">
        <v>1091</v>
      </c>
      <c r="BD289" s="289" t="e">
        <f t="shared" si="288"/>
        <v>#VALUE!</v>
      </c>
      <c r="BE289" s="307" t="e">
        <f t="shared" si="289"/>
        <v>#VALUE!</v>
      </c>
      <c r="BF289" s="308" t="s">
        <v>1092</v>
      </c>
      <c r="BG289" s="289" t="s">
        <v>1093</v>
      </c>
      <c r="BH289" s="289" t="e">
        <f t="shared" si="290"/>
        <v>#VALUE!</v>
      </c>
      <c r="BI289" s="307" t="e">
        <f t="shared" si="291"/>
        <v>#VALUE!</v>
      </c>
      <c r="BJ289" s="281" t="s">
        <v>1072</v>
      </c>
      <c r="BK289" s="281" t="s">
        <v>1094</v>
      </c>
      <c r="BL289" s="281" t="e">
        <f t="shared" si="292"/>
        <v>#VALUE!</v>
      </c>
      <c r="BM289" s="408" t="s">
        <v>1092</v>
      </c>
      <c r="BN289" s="458" t="s">
        <v>1093</v>
      </c>
      <c r="BO289" s="458" t="e">
        <f t="shared" si="293"/>
        <v>#VALUE!</v>
      </c>
      <c r="BP289" s="408" t="s">
        <v>1090</v>
      </c>
      <c r="BQ289" s="458" t="s">
        <v>1091</v>
      </c>
      <c r="BR289" s="458" t="e">
        <f t="shared" si="294"/>
        <v>#VALUE!</v>
      </c>
      <c r="BS289" s="281"/>
      <c r="BT289" s="281"/>
      <c r="BU289" s="281"/>
      <c r="BV289" s="281"/>
      <c r="BW289" s="298" t="s">
        <v>479</v>
      </c>
      <c r="BX289" s="422" t="s">
        <v>1095</v>
      </c>
      <c r="BY289" s="422" t="s">
        <v>1096</v>
      </c>
      <c r="BZ289" s="422" t="s">
        <v>1097</v>
      </c>
      <c r="CA289" s="422" t="s">
        <v>1098</v>
      </c>
      <c r="CB289" s="422" t="s">
        <v>1099</v>
      </c>
      <c r="CC289" s="422" t="s">
        <v>1100</v>
      </c>
      <c r="CD289" s="422" t="s">
        <v>1101</v>
      </c>
      <c r="CE289" s="422" t="s">
        <v>1102</v>
      </c>
      <c r="CF289" s="422" t="s">
        <v>1103</v>
      </c>
      <c r="CG289" s="422" t="s">
        <v>1104</v>
      </c>
      <c r="CH289" s="422" t="s">
        <v>1105</v>
      </c>
      <c r="CI289" s="422" t="s">
        <v>1106</v>
      </c>
    </row>
    <row r="290" spans="1:87" ht="15" customHeight="1" x14ac:dyDescent="0.2">
      <c r="A290" s="423">
        <v>62001002</v>
      </c>
      <c r="B290" s="297" t="s">
        <v>617</v>
      </c>
      <c r="C290" s="297" t="s">
        <v>629</v>
      </c>
      <c r="D290" s="326" t="s">
        <v>458</v>
      </c>
      <c r="E290" s="283" t="s">
        <v>459</v>
      </c>
      <c r="F290" s="310" t="str">
        <f t="shared" si="270"/>
        <v>##INFO(T</v>
      </c>
      <c r="G290" s="298" t="s">
        <v>460</v>
      </c>
      <c r="H290" s="298" t="s">
        <v>461</v>
      </c>
      <c r="I290" s="306"/>
      <c r="J290" s="299" t="s">
        <v>1107</v>
      </c>
      <c r="K290" s="299" t="s">
        <v>1108</v>
      </c>
      <c r="L290" s="299" t="s">
        <v>1109</v>
      </c>
      <c r="M290" s="299" t="s">
        <v>1110</v>
      </c>
      <c r="N290" s="284" t="s">
        <v>466</v>
      </c>
      <c r="O290" s="284" t="s">
        <v>467</v>
      </c>
      <c r="P290" s="284" t="s">
        <v>468</v>
      </c>
      <c r="Q290" s="284" t="s">
        <v>469</v>
      </c>
      <c r="R290" s="285" t="s">
        <v>1111</v>
      </c>
      <c r="S290" s="285" t="e">
        <f t="shared" si="271"/>
        <v>#VALUE!</v>
      </c>
      <c r="T290" s="314" t="s">
        <v>1112</v>
      </c>
      <c r="U290" s="314" t="s">
        <v>1113</v>
      </c>
      <c r="V290" s="289" t="s">
        <v>1114</v>
      </c>
      <c r="W290" s="289" t="s">
        <v>1115</v>
      </c>
      <c r="X290" s="289" t="e">
        <f t="shared" si="272"/>
        <v>#VALUE!</v>
      </c>
      <c r="Y290" s="289" t="e">
        <f t="shared" si="273"/>
        <v>#VALUE!</v>
      </c>
      <c r="Z290" s="308" t="s">
        <v>1116</v>
      </c>
      <c r="AA290" s="289" t="s">
        <v>1117</v>
      </c>
      <c r="AB290" s="289" t="e">
        <f t="shared" si="274"/>
        <v>#VALUE!</v>
      </c>
      <c r="AC290" s="289" t="e">
        <f t="shared" si="275"/>
        <v>#VALUE!</v>
      </c>
      <c r="AD290" s="308" t="s">
        <v>1118</v>
      </c>
      <c r="AE290" s="289" t="s">
        <v>1119</v>
      </c>
      <c r="AF290" s="289" t="e">
        <f t="shared" si="276"/>
        <v>#VALUE!</v>
      </c>
      <c r="AG290" s="289" t="e">
        <f t="shared" si="277"/>
        <v>#VALUE!</v>
      </c>
      <c r="AH290" s="308" t="s">
        <v>1120</v>
      </c>
      <c r="AI290" s="289" t="s">
        <v>1121</v>
      </c>
      <c r="AJ290" s="289" t="e">
        <f t="shared" si="278"/>
        <v>#VALUE!</v>
      </c>
      <c r="AK290" s="307" t="e">
        <f t="shared" si="279"/>
        <v>#VALUE!</v>
      </c>
      <c r="AL290" s="308" t="s">
        <v>1122</v>
      </c>
      <c r="AM290" s="289" t="s">
        <v>1123</v>
      </c>
      <c r="AN290" s="289" t="e">
        <f t="shared" si="280"/>
        <v>#VALUE!</v>
      </c>
      <c r="AO290" s="307" t="e">
        <f t="shared" si="281"/>
        <v>#VALUE!</v>
      </c>
      <c r="AP290" s="308" t="s">
        <v>1124</v>
      </c>
      <c r="AQ290" s="289" t="s">
        <v>1125</v>
      </c>
      <c r="AR290" s="289" t="e">
        <f t="shared" si="282"/>
        <v>#VALUE!</v>
      </c>
      <c r="AS290" s="307" t="e">
        <f t="shared" si="283"/>
        <v>#VALUE!</v>
      </c>
      <c r="AT290" s="308" t="s">
        <v>1126</v>
      </c>
      <c r="AU290" s="289" t="s">
        <v>1127</v>
      </c>
      <c r="AV290" s="289" t="e">
        <f t="shared" si="284"/>
        <v>#VALUE!</v>
      </c>
      <c r="AW290" s="307" t="e">
        <f t="shared" si="285"/>
        <v>#VALUE!</v>
      </c>
      <c r="AX290" s="308" t="s">
        <v>1128</v>
      </c>
      <c r="AY290" s="289" t="s">
        <v>1129</v>
      </c>
      <c r="AZ290" s="289" t="e">
        <f t="shared" si="286"/>
        <v>#VALUE!</v>
      </c>
      <c r="BA290" s="307" t="e">
        <f t="shared" si="287"/>
        <v>#VALUE!</v>
      </c>
      <c r="BB290" s="308" t="s">
        <v>1130</v>
      </c>
      <c r="BC290" s="289" t="s">
        <v>1131</v>
      </c>
      <c r="BD290" s="289" t="e">
        <f t="shared" si="288"/>
        <v>#VALUE!</v>
      </c>
      <c r="BE290" s="307" t="e">
        <f t="shared" si="289"/>
        <v>#VALUE!</v>
      </c>
      <c r="BF290" s="308" t="s">
        <v>1132</v>
      </c>
      <c r="BG290" s="289" t="s">
        <v>1133</v>
      </c>
      <c r="BH290" s="289" t="e">
        <f t="shared" si="290"/>
        <v>#VALUE!</v>
      </c>
      <c r="BI290" s="307" t="e">
        <f t="shared" si="291"/>
        <v>#VALUE!</v>
      </c>
      <c r="BJ290" s="281" t="s">
        <v>1112</v>
      </c>
      <c r="BK290" s="281" t="s">
        <v>1134</v>
      </c>
      <c r="BL290" s="281" t="e">
        <f t="shared" si="292"/>
        <v>#VALUE!</v>
      </c>
      <c r="BM290" s="408" t="s">
        <v>1132</v>
      </c>
      <c r="BN290" s="458" t="s">
        <v>1133</v>
      </c>
      <c r="BO290" s="458" t="e">
        <f t="shared" si="293"/>
        <v>#VALUE!</v>
      </c>
      <c r="BP290" s="408" t="s">
        <v>1130</v>
      </c>
      <c r="BQ290" s="458" t="s">
        <v>1131</v>
      </c>
      <c r="BR290" s="458" t="e">
        <f t="shared" si="294"/>
        <v>#VALUE!</v>
      </c>
      <c r="BS290" s="281"/>
      <c r="BT290" s="281"/>
      <c r="BU290" s="281"/>
      <c r="BV290" s="281"/>
      <c r="BW290" s="298" t="s">
        <v>479</v>
      </c>
      <c r="BX290" s="422" t="s">
        <v>1135</v>
      </c>
      <c r="BY290" s="422" t="s">
        <v>1136</v>
      </c>
      <c r="BZ290" s="422" t="s">
        <v>1137</v>
      </c>
      <c r="CA290" s="422" t="s">
        <v>1138</v>
      </c>
      <c r="CB290" s="422" t="s">
        <v>1139</v>
      </c>
      <c r="CC290" s="422" t="s">
        <v>1140</v>
      </c>
      <c r="CD290" s="422" t="s">
        <v>1141</v>
      </c>
      <c r="CE290" s="422" t="s">
        <v>1142</v>
      </c>
      <c r="CF290" s="422" t="s">
        <v>1143</v>
      </c>
      <c r="CG290" s="422" t="s">
        <v>1144</v>
      </c>
      <c r="CH290" s="422" t="s">
        <v>1145</v>
      </c>
      <c r="CI290" s="422" t="s">
        <v>1146</v>
      </c>
    </row>
    <row r="291" spans="1:87" ht="15" customHeight="1" x14ac:dyDescent="0.2">
      <c r="A291" s="423">
        <v>62001003</v>
      </c>
      <c r="B291" s="297" t="s">
        <v>617</v>
      </c>
      <c r="C291" s="297" t="s">
        <v>626</v>
      </c>
      <c r="D291" s="326" t="s">
        <v>458</v>
      </c>
      <c r="E291" s="283" t="s">
        <v>459</v>
      </c>
      <c r="F291" s="310" t="str">
        <f t="shared" si="270"/>
        <v>##INFO(T</v>
      </c>
      <c r="G291" s="298" t="s">
        <v>460</v>
      </c>
      <c r="H291" s="298" t="s">
        <v>461</v>
      </c>
      <c r="I291" s="306"/>
      <c r="J291" s="299" t="s">
        <v>1027</v>
      </c>
      <c r="K291" s="299" t="s">
        <v>1028</v>
      </c>
      <c r="L291" s="299" t="s">
        <v>1029</v>
      </c>
      <c r="M291" s="299" t="s">
        <v>1030</v>
      </c>
      <c r="N291" s="284" t="s">
        <v>466</v>
      </c>
      <c r="O291" s="284" t="s">
        <v>467</v>
      </c>
      <c r="P291" s="284" t="s">
        <v>468</v>
      </c>
      <c r="Q291" s="284" t="s">
        <v>469</v>
      </c>
      <c r="R291" s="285" t="s">
        <v>1031</v>
      </c>
      <c r="S291" s="285" t="e">
        <f t="shared" si="271"/>
        <v>#VALUE!</v>
      </c>
      <c r="T291" s="314" t="s">
        <v>1032</v>
      </c>
      <c r="U291" s="314" t="s">
        <v>1033</v>
      </c>
      <c r="V291" s="289" t="s">
        <v>1034</v>
      </c>
      <c r="W291" s="289" t="s">
        <v>1035</v>
      </c>
      <c r="X291" s="289" t="e">
        <f t="shared" si="272"/>
        <v>#VALUE!</v>
      </c>
      <c r="Y291" s="289" t="e">
        <f t="shared" si="273"/>
        <v>#VALUE!</v>
      </c>
      <c r="Z291" s="308" t="s">
        <v>1036</v>
      </c>
      <c r="AA291" s="289" t="s">
        <v>1037</v>
      </c>
      <c r="AB291" s="289" t="e">
        <f t="shared" si="274"/>
        <v>#VALUE!</v>
      </c>
      <c r="AC291" s="289" t="e">
        <f t="shared" si="275"/>
        <v>#VALUE!</v>
      </c>
      <c r="AD291" s="308" t="s">
        <v>1038</v>
      </c>
      <c r="AE291" s="289" t="s">
        <v>1039</v>
      </c>
      <c r="AF291" s="289" t="e">
        <f t="shared" si="276"/>
        <v>#VALUE!</v>
      </c>
      <c r="AG291" s="289" t="e">
        <f t="shared" si="277"/>
        <v>#VALUE!</v>
      </c>
      <c r="AH291" s="308" t="s">
        <v>1040</v>
      </c>
      <c r="AI291" s="289" t="s">
        <v>1041</v>
      </c>
      <c r="AJ291" s="289" t="e">
        <f t="shared" si="278"/>
        <v>#VALUE!</v>
      </c>
      <c r="AK291" s="307" t="e">
        <f t="shared" si="279"/>
        <v>#VALUE!</v>
      </c>
      <c r="AL291" s="308" t="s">
        <v>1042</v>
      </c>
      <c r="AM291" s="289" t="s">
        <v>1043</v>
      </c>
      <c r="AN291" s="289" t="e">
        <f t="shared" si="280"/>
        <v>#VALUE!</v>
      </c>
      <c r="AO291" s="307" t="e">
        <f t="shared" si="281"/>
        <v>#VALUE!</v>
      </c>
      <c r="AP291" s="308" t="s">
        <v>1044</v>
      </c>
      <c r="AQ291" s="289" t="s">
        <v>1045</v>
      </c>
      <c r="AR291" s="289" t="e">
        <f t="shared" si="282"/>
        <v>#VALUE!</v>
      </c>
      <c r="AS291" s="307" t="e">
        <f t="shared" si="283"/>
        <v>#VALUE!</v>
      </c>
      <c r="AT291" s="308" t="s">
        <v>1046</v>
      </c>
      <c r="AU291" s="289" t="s">
        <v>1047</v>
      </c>
      <c r="AV291" s="289" t="e">
        <f t="shared" si="284"/>
        <v>#VALUE!</v>
      </c>
      <c r="AW291" s="307" t="e">
        <f t="shared" si="285"/>
        <v>#VALUE!</v>
      </c>
      <c r="AX291" s="308" t="s">
        <v>1048</v>
      </c>
      <c r="AY291" s="289" t="s">
        <v>1049</v>
      </c>
      <c r="AZ291" s="289" t="e">
        <f t="shared" si="286"/>
        <v>#VALUE!</v>
      </c>
      <c r="BA291" s="307" t="e">
        <f t="shared" si="287"/>
        <v>#VALUE!</v>
      </c>
      <c r="BB291" s="308" t="s">
        <v>1050</v>
      </c>
      <c r="BC291" s="289" t="s">
        <v>1051</v>
      </c>
      <c r="BD291" s="289" t="e">
        <f t="shared" si="288"/>
        <v>#VALUE!</v>
      </c>
      <c r="BE291" s="307" t="e">
        <f t="shared" si="289"/>
        <v>#VALUE!</v>
      </c>
      <c r="BF291" s="308" t="s">
        <v>1052</v>
      </c>
      <c r="BG291" s="289" t="s">
        <v>1053</v>
      </c>
      <c r="BH291" s="289" t="e">
        <f t="shared" si="290"/>
        <v>#VALUE!</v>
      </c>
      <c r="BI291" s="307" t="e">
        <f t="shared" si="291"/>
        <v>#VALUE!</v>
      </c>
      <c r="BJ291" s="281" t="s">
        <v>1032</v>
      </c>
      <c r="BK291" s="281" t="s">
        <v>1054</v>
      </c>
      <c r="BL291" s="281" t="e">
        <f t="shared" si="292"/>
        <v>#VALUE!</v>
      </c>
      <c r="BM291" s="408" t="s">
        <v>1052</v>
      </c>
      <c r="BN291" s="458" t="s">
        <v>1053</v>
      </c>
      <c r="BO291" s="458" t="e">
        <f t="shared" si="293"/>
        <v>#VALUE!</v>
      </c>
      <c r="BP291" s="408" t="s">
        <v>1050</v>
      </c>
      <c r="BQ291" s="458" t="s">
        <v>1051</v>
      </c>
      <c r="BR291" s="458" t="e">
        <f t="shared" si="294"/>
        <v>#VALUE!</v>
      </c>
      <c r="BS291" s="281"/>
      <c r="BT291" s="281"/>
      <c r="BU291" s="281"/>
      <c r="BV291" s="281"/>
      <c r="BW291" s="298" t="s">
        <v>479</v>
      </c>
      <c r="BX291" s="422" t="s">
        <v>1055</v>
      </c>
      <c r="BY291" s="422" t="s">
        <v>1056</v>
      </c>
      <c r="BZ291" s="422" t="s">
        <v>1057</v>
      </c>
      <c r="CA291" s="422" t="s">
        <v>1058</v>
      </c>
      <c r="CB291" s="422" t="s">
        <v>1059</v>
      </c>
      <c r="CC291" s="422" t="s">
        <v>1060</v>
      </c>
      <c r="CD291" s="422" t="s">
        <v>1061</v>
      </c>
      <c r="CE291" s="422" t="s">
        <v>1062</v>
      </c>
      <c r="CF291" s="422" t="s">
        <v>1063</v>
      </c>
      <c r="CG291" s="422" t="s">
        <v>1064</v>
      </c>
      <c r="CH291" s="422" t="s">
        <v>1065</v>
      </c>
      <c r="CI291" s="422" t="s">
        <v>1066</v>
      </c>
    </row>
    <row r="292" spans="1:87" ht="15" customHeight="1" x14ac:dyDescent="0.2">
      <c r="A292" s="423">
        <v>62001003</v>
      </c>
      <c r="B292" s="297" t="s">
        <v>617</v>
      </c>
      <c r="C292" s="297" t="s">
        <v>627</v>
      </c>
      <c r="D292" s="326" t="s">
        <v>458</v>
      </c>
      <c r="E292" s="283" t="s">
        <v>459</v>
      </c>
      <c r="F292" s="310" t="str">
        <f t="shared" si="270"/>
        <v>##INFO(T</v>
      </c>
      <c r="G292" s="298" t="s">
        <v>460</v>
      </c>
      <c r="H292" s="298" t="s">
        <v>461</v>
      </c>
      <c r="I292" s="306"/>
      <c r="J292" s="299" t="s">
        <v>1067</v>
      </c>
      <c r="K292" s="299" t="s">
        <v>1068</v>
      </c>
      <c r="L292" s="299" t="s">
        <v>1069</v>
      </c>
      <c r="M292" s="299" t="s">
        <v>1070</v>
      </c>
      <c r="N292" s="284" t="s">
        <v>466</v>
      </c>
      <c r="O292" s="284" t="s">
        <v>467</v>
      </c>
      <c r="P292" s="284" t="s">
        <v>468</v>
      </c>
      <c r="Q292" s="284" t="s">
        <v>469</v>
      </c>
      <c r="R292" s="285" t="s">
        <v>1071</v>
      </c>
      <c r="S292" s="285" t="e">
        <f t="shared" si="271"/>
        <v>#VALUE!</v>
      </c>
      <c r="T292" s="314" t="s">
        <v>1072</v>
      </c>
      <c r="U292" s="314" t="s">
        <v>1073</v>
      </c>
      <c r="V292" s="289" t="s">
        <v>1074</v>
      </c>
      <c r="W292" s="289" t="s">
        <v>1075</v>
      </c>
      <c r="X292" s="289" t="e">
        <f t="shared" si="272"/>
        <v>#VALUE!</v>
      </c>
      <c r="Y292" s="289" t="e">
        <f t="shared" si="273"/>
        <v>#VALUE!</v>
      </c>
      <c r="Z292" s="308" t="s">
        <v>1076</v>
      </c>
      <c r="AA292" s="289" t="s">
        <v>1077</v>
      </c>
      <c r="AB292" s="289" t="e">
        <f t="shared" si="274"/>
        <v>#VALUE!</v>
      </c>
      <c r="AC292" s="289" t="e">
        <f t="shared" si="275"/>
        <v>#VALUE!</v>
      </c>
      <c r="AD292" s="308" t="s">
        <v>1078</v>
      </c>
      <c r="AE292" s="289" t="s">
        <v>1079</v>
      </c>
      <c r="AF292" s="289" t="e">
        <f t="shared" si="276"/>
        <v>#VALUE!</v>
      </c>
      <c r="AG292" s="289" t="e">
        <f t="shared" si="277"/>
        <v>#VALUE!</v>
      </c>
      <c r="AH292" s="308" t="s">
        <v>1080</v>
      </c>
      <c r="AI292" s="289" t="s">
        <v>1081</v>
      </c>
      <c r="AJ292" s="289" t="e">
        <f t="shared" si="278"/>
        <v>#VALUE!</v>
      </c>
      <c r="AK292" s="307" t="e">
        <f t="shared" si="279"/>
        <v>#VALUE!</v>
      </c>
      <c r="AL292" s="308" t="s">
        <v>1082</v>
      </c>
      <c r="AM292" s="289" t="s">
        <v>1083</v>
      </c>
      <c r="AN292" s="289" t="e">
        <f t="shared" si="280"/>
        <v>#VALUE!</v>
      </c>
      <c r="AO292" s="307" t="e">
        <f t="shared" si="281"/>
        <v>#VALUE!</v>
      </c>
      <c r="AP292" s="308" t="s">
        <v>1084</v>
      </c>
      <c r="AQ292" s="289" t="s">
        <v>1085</v>
      </c>
      <c r="AR292" s="289" t="e">
        <f t="shared" si="282"/>
        <v>#VALUE!</v>
      </c>
      <c r="AS292" s="307" t="e">
        <f t="shared" si="283"/>
        <v>#VALUE!</v>
      </c>
      <c r="AT292" s="308" t="s">
        <v>1086</v>
      </c>
      <c r="AU292" s="289" t="s">
        <v>1087</v>
      </c>
      <c r="AV292" s="289" t="e">
        <f t="shared" si="284"/>
        <v>#VALUE!</v>
      </c>
      <c r="AW292" s="307" t="e">
        <f t="shared" si="285"/>
        <v>#VALUE!</v>
      </c>
      <c r="AX292" s="308" t="s">
        <v>1088</v>
      </c>
      <c r="AY292" s="289" t="s">
        <v>1089</v>
      </c>
      <c r="AZ292" s="289" t="e">
        <f t="shared" si="286"/>
        <v>#VALUE!</v>
      </c>
      <c r="BA292" s="307" t="e">
        <f t="shared" si="287"/>
        <v>#VALUE!</v>
      </c>
      <c r="BB292" s="308" t="s">
        <v>1090</v>
      </c>
      <c r="BC292" s="289" t="s">
        <v>1091</v>
      </c>
      <c r="BD292" s="289" t="e">
        <f t="shared" si="288"/>
        <v>#VALUE!</v>
      </c>
      <c r="BE292" s="307" t="e">
        <f t="shared" si="289"/>
        <v>#VALUE!</v>
      </c>
      <c r="BF292" s="308" t="s">
        <v>1092</v>
      </c>
      <c r="BG292" s="289" t="s">
        <v>1093</v>
      </c>
      <c r="BH292" s="289" t="e">
        <f t="shared" si="290"/>
        <v>#VALUE!</v>
      </c>
      <c r="BI292" s="307" t="e">
        <f t="shared" si="291"/>
        <v>#VALUE!</v>
      </c>
      <c r="BJ292" s="281" t="s">
        <v>1072</v>
      </c>
      <c r="BK292" s="281" t="s">
        <v>1094</v>
      </c>
      <c r="BL292" s="281" t="e">
        <f t="shared" si="292"/>
        <v>#VALUE!</v>
      </c>
      <c r="BM292" s="408" t="s">
        <v>1092</v>
      </c>
      <c r="BN292" s="458" t="s">
        <v>1093</v>
      </c>
      <c r="BO292" s="458" t="e">
        <f t="shared" si="293"/>
        <v>#VALUE!</v>
      </c>
      <c r="BP292" s="408" t="s">
        <v>1090</v>
      </c>
      <c r="BQ292" s="458" t="s">
        <v>1091</v>
      </c>
      <c r="BR292" s="458" t="e">
        <f t="shared" si="294"/>
        <v>#VALUE!</v>
      </c>
      <c r="BS292" s="281"/>
      <c r="BT292" s="281"/>
      <c r="BU292" s="281"/>
      <c r="BV292" s="281"/>
      <c r="BW292" s="298" t="s">
        <v>479</v>
      </c>
      <c r="BX292" s="422" t="s">
        <v>1095</v>
      </c>
      <c r="BY292" s="422" t="s">
        <v>1096</v>
      </c>
      <c r="BZ292" s="422" t="s">
        <v>1097</v>
      </c>
      <c r="CA292" s="422" t="s">
        <v>1098</v>
      </c>
      <c r="CB292" s="422" t="s">
        <v>1099</v>
      </c>
      <c r="CC292" s="422" t="s">
        <v>1100</v>
      </c>
      <c r="CD292" s="422" t="s">
        <v>1101</v>
      </c>
      <c r="CE292" s="422" t="s">
        <v>1102</v>
      </c>
      <c r="CF292" s="422" t="s">
        <v>1103</v>
      </c>
      <c r="CG292" s="422" t="s">
        <v>1104</v>
      </c>
      <c r="CH292" s="422" t="s">
        <v>1105</v>
      </c>
      <c r="CI292" s="422" t="s">
        <v>1106</v>
      </c>
    </row>
    <row r="293" spans="1:87" ht="15" customHeight="1" x14ac:dyDescent="0.2">
      <c r="A293" s="423">
        <v>62001003</v>
      </c>
      <c r="B293" s="297" t="s">
        <v>617</v>
      </c>
      <c r="C293" s="297" t="s">
        <v>629</v>
      </c>
      <c r="D293" s="326" t="s">
        <v>458</v>
      </c>
      <c r="E293" s="283" t="s">
        <v>459</v>
      </c>
      <c r="F293" s="310" t="str">
        <f t="shared" si="270"/>
        <v>##INFO(T</v>
      </c>
      <c r="G293" s="298" t="s">
        <v>460</v>
      </c>
      <c r="H293" s="298" t="s">
        <v>461</v>
      </c>
      <c r="I293" s="306"/>
      <c r="J293" s="299" t="s">
        <v>1107</v>
      </c>
      <c r="K293" s="299" t="s">
        <v>1108</v>
      </c>
      <c r="L293" s="299" t="s">
        <v>1109</v>
      </c>
      <c r="M293" s="299" t="s">
        <v>1110</v>
      </c>
      <c r="N293" s="284" t="s">
        <v>466</v>
      </c>
      <c r="O293" s="284" t="s">
        <v>467</v>
      </c>
      <c r="P293" s="284" t="s">
        <v>468</v>
      </c>
      <c r="Q293" s="284" t="s">
        <v>469</v>
      </c>
      <c r="R293" s="285" t="s">
        <v>1111</v>
      </c>
      <c r="S293" s="285" t="e">
        <f t="shared" si="271"/>
        <v>#VALUE!</v>
      </c>
      <c r="T293" s="314" t="s">
        <v>1112</v>
      </c>
      <c r="U293" s="314" t="s">
        <v>1113</v>
      </c>
      <c r="V293" s="289" t="s">
        <v>1114</v>
      </c>
      <c r="W293" s="289" t="s">
        <v>1115</v>
      </c>
      <c r="X293" s="289" t="e">
        <f t="shared" si="272"/>
        <v>#VALUE!</v>
      </c>
      <c r="Y293" s="289" t="e">
        <f t="shared" si="273"/>
        <v>#VALUE!</v>
      </c>
      <c r="Z293" s="308" t="s">
        <v>1116</v>
      </c>
      <c r="AA293" s="289" t="s">
        <v>1117</v>
      </c>
      <c r="AB293" s="289" t="e">
        <f t="shared" si="274"/>
        <v>#VALUE!</v>
      </c>
      <c r="AC293" s="289" t="e">
        <f t="shared" si="275"/>
        <v>#VALUE!</v>
      </c>
      <c r="AD293" s="308" t="s">
        <v>1118</v>
      </c>
      <c r="AE293" s="289" t="s">
        <v>1119</v>
      </c>
      <c r="AF293" s="289" t="e">
        <f t="shared" si="276"/>
        <v>#VALUE!</v>
      </c>
      <c r="AG293" s="289" t="e">
        <f t="shared" si="277"/>
        <v>#VALUE!</v>
      </c>
      <c r="AH293" s="308" t="s">
        <v>1120</v>
      </c>
      <c r="AI293" s="289" t="s">
        <v>1121</v>
      </c>
      <c r="AJ293" s="289" t="e">
        <f t="shared" si="278"/>
        <v>#VALUE!</v>
      </c>
      <c r="AK293" s="307" t="e">
        <f t="shared" si="279"/>
        <v>#VALUE!</v>
      </c>
      <c r="AL293" s="308" t="s">
        <v>1122</v>
      </c>
      <c r="AM293" s="289" t="s">
        <v>1123</v>
      </c>
      <c r="AN293" s="289" t="e">
        <f t="shared" si="280"/>
        <v>#VALUE!</v>
      </c>
      <c r="AO293" s="307" t="e">
        <f t="shared" si="281"/>
        <v>#VALUE!</v>
      </c>
      <c r="AP293" s="308" t="s">
        <v>1124</v>
      </c>
      <c r="AQ293" s="289" t="s">
        <v>1125</v>
      </c>
      <c r="AR293" s="289" t="e">
        <f t="shared" si="282"/>
        <v>#VALUE!</v>
      </c>
      <c r="AS293" s="307" t="e">
        <f t="shared" si="283"/>
        <v>#VALUE!</v>
      </c>
      <c r="AT293" s="308" t="s">
        <v>1126</v>
      </c>
      <c r="AU293" s="289" t="s">
        <v>1127</v>
      </c>
      <c r="AV293" s="289" t="e">
        <f t="shared" si="284"/>
        <v>#VALUE!</v>
      </c>
      <c r="AW293" s="307" t="e">
        <f t="shared" si="285"/>
        <v>#VALUE!</v>
      </c>
      <c r="AX293" s="308" t="s">
        <v>1128</v>
      </c>
      <c r="AY293" s="289" t="s">
        <v>1129</v>
      </c>
      <c r="AZ293" s="289" t="e">
        <f t="shared" si="286"/>
        <v>#VALUE!</v>
      </c>
      <c r="BA293" s="307" t="e">
        <f t="shared" si="287"/>
        <v>#VALUE!</v>
      </c>
      <c r="BB293" s="308" t="s">
        <v>1130</v>
      </c>
      <c r="BC293" s="289" t="s">
        <v>1131</v>
      </c>
      <c r="BD293" s="289" t="e">
        <f t="shared" si="288"/>
        <v>#VALUE!</v>
      </c>
      <c r="BE293" s="307" t="e">
        <f t="shared" si="289"/>
        <v>#VALUE!</v>
      </c>
      <c r="BF293" s="308" t="s">
        <v>1132</v>
      </c>
      <c r="BG293" s="289" t="s">
        <v>1133</v>
      </c>
      <c r="BH293" s="289" t="e">
        <f t="shared" si="290"/>
        <v>#VALUE!</v>
      </c>
      <c r="BI293" s="307" t="e">
        <f t="shared" si="291"/>
        <v>#VALUE!</v>
      </c>
      <c r="BJ293" s="281" t="s">
        <v>1112</v>
      </c>
      <c r="BK293" s="281" t="s">
        <v>1134</v>
      </c>
      <c r="BL293" s="281" t="e">
        <f t="shared" si="292"/>
        <v>#VALUE!</v>
      </c>
      <c r="BM293" s="408" t="s">
        <v>1132</v>
      </c>
      <c r="BN293" s="458" t="s">
        <v>1133</v>
      </c>
      <c r="BO293" s="458" t="e">
        <f t="shared" si="293"/>
        <v>#VALUE!</v>
      </c>
      <c r="BP293" s="408" t="s">
        <v>1130</v>
      </c>
      <c r="BQ293" s="458" t="s">
        <v>1131</v>
      </c>
      <c r="BR293" s="458" t="e">
        <f t="shared" si="294"/>
        <v>#VALUE!</v>
      </c>
      <c r="BS293" s="281"/>
      <c r="BT293" s="281"/>
      <c r="BU293" s="281"/>
      <c r="BV293" s="281"/>
      <c r="BW293" s="298" t="s">
        <v>479</v>
      </c>
      <c r="BX293" s="422" t="s">
        <v>1135</v>
      </c>
      <c r="BY293" s="422" t="s">
        <v>1136</v>
      </c>
      <c r="BZ293" s="422" t="s">
        <v>1137</v>
      </c>
      <c r="CA293" s="422" t="s">
        <v>1138</v>
      </c>
      <c r="CB293" s="422" t="s">
        <v>1139</v>
      </c>
      <c r="CC293" s="422" t="s">
        <v>1140</v>
      </c>
      <c r="CD293" s="422" t="s">
        <v>1141</v>
      </c>
      <c r="CE293" s="422" t="s">
        <v>1142</v>
      </c>
      <c r="CF293" s="422" t="s">
        <v>1143</v>
      </c>
      <c r="CG293" s="422" t="s">
        <v>1144</v>
      </c>
      <c r="CH293" s="422" t="s">
        <v>1145</v>
      </c>
      <c r="CI293" s="422" t="s">
        <v>1146</v>
      </c>
    </row>
    <row r="294" spans="1:87" ht="15" customHeight="1" x14ac:dyDescent="0.2">
      <c r="A294" s="423">
        <v>62001004</v>
      </c>
      <c r="B294" s="297" t="s">
        <v>617</v>
      </c>
      <c r="C294" s="297" t="s">
        <v>626</v>
      </c>
      <c r="D294" s="326" t="s">
        <v>458</v>
      </c>
      <c r="E294" s="283" t="s">
        <v>459</v>
      </c>
      <c r="F294" s="310" t="str">
        <f t="shared" si="270"/>
        <v>##INFO(T</v>
      </c>
      <c r="G294" s="298" t="s">
        <v>460</v>
      </c>
      <c r="H294" s="298" t="s">
        <v>461</v>
      </c>
      <c r="I294" s="306"/>
      <c r="J294" s="299" t="s">
        <v>1027</v>
      </c>
      <c r="K294" s="299" t="s">
        <v>1028</v>
      </c>
      <c r="L294" s="299" t="s">
        <v>1029</v>
      </c>
      <c r="M294" s="299" t="s">
        <v>1030</v>
      </c>
      <c r="N294" s="284" t="s">
        <v>466</v>
      </c>
      <c r="O294" s="284" t="s">
        <v>467</v>
      </c>
      <c r="P294" s="284" t="s">
        <v>468</v>
      </c>
      <c r="Q294" s="284" t="s">
        <v>469</v>
      </c>
      <c r="R294" s="285" t="s">
        <v>1031</v>
      </c>
      <c r="S294" s="285" t="e">
        <f t="shared" si="271"/>
        <v>#VALUE!</v>
      </c>
      <c r="T294" s="314" t="s">
        <v>1032</v>
      </c>
      <c r="U294" s="314" t="s">
        <v>1033</v>
      </c>
      <c r="V294" s="289" t="s">
        <v>1034</v>
      </c>
      <c r="W294" s="289" t="s">
        <v>1035</v>
      </c>
      <c r="X294" s="289" t="e">
        <f t="shared" si="272"/>
        <v>#VALUE!</v>
      </c>
      <c r="Y294" s="289" t="e">
        <f t="shared" si="273"/>
        <v>#VALUE!</v>
      </c>
      <c r="Z294" s="308" t="s">
        <v>1036</v>
      </c>
      <c r="AA294" s="289" t="s">
        <v>1037</v>
      </c>
      <c r="AB294" s="289" t="e">
        <f t="shared" si="274"/>
        <v>#VALUE!</v>
      </c>
      <c r="AC294" s="289" t="e">
        <f t="shared" si="275"/>
        <v>#VALUE!</v>
      </c>
      <c r="AD294" s="308" t="s">
        <v>1038</v>
      </c>
      <c r="AE294" s="289" t="s">
        <v>1039</v>
      </c>
      <c r="AF294" s="289" t="e">
        <f t="shared" si="276"/>
        <v>#VALUE!</v>
      </c>
      <c r="AG294" s="289" t="e">
        <f t="shared" si="277"/>
        <v>#VALUE!</v>
      </c>
      <c r="AH294" s="308" t="s">
        <v>1040</v>
      </c>
      <c r="AI294" s="289" t="s">
        <v>1041</v>
      </c>
      <c r="AJ294" s="289" t="e">
        <f t="shared" si="278"/>
        <v>#VALUE!</v>
      </c>
      <c r="AK294" s="307" t="e">
        <f t="shared" si="279"/>
        <v>#VALUE!</v>
      </c>
      <c r="AL294" s="308" t="s">
        <v>1042</v>
      </c>
      <c r="AM294" s="289" t="s">
        <v>1043</v>
      </c>
      <c r="AN294" s="289" t="e">
        <f t="shared" si="280"/>
        <v>#VALUE!</v>
      </c>
      <c r="AO294" s="307" t="e">
        <f t="shared" si="281"/>
        <v>#VALUE!</v>
      </c>
      <c r="AP294" s="308" t="s">
        <v>1044</v>
      </c>
      <c r="AQ294" s="289" t="s">
        <v>1045</v>
      </c>
      <c r="AR294" s="289" t="e">
        <f t="shared" si="282"/>
        <v>#VALUE!</v>
      </c>
      <c r="AS294" s="307" t="e">
        <f t="shared" si="283"/>
        <v>#VALUE!</v>
      </c>
      <c r="AT294" s="308" t="s">
        <v>1046</v>
      </c>
      <c r="AU294" s="289" t="s">
        <v>1047</v>
      </c>
      <c r="AV294" s="289" t="e">
        <f t="shared" si="284"/>
        <v>#VALUE!</v>
      </c>
      <c r="AW294" s="307" t="e">
        <f t="shared" si="285"/>
        <v>#VALUE!</v>
      </c>
      <c r="AX294" s="308" t="s">
        <v>1048</v>
      </c>
      <c r="AY294" s="289" t="s">
        <v>1049</v>
      </c>
      <c r="AZ294" s="289" t="e">
        <f t="shared" si="286"/>
        <v>#VALUE!</v>
      </c>
      <c r="BA294" s="307" t="e">
        <f t="shared" si="287"/>
        <v>#VALUE!</v>
      </c>
      <c r="BB294" s="308" t="s">
        <v>1050</v>
      </c>
      <c r="BC294" s="289" t="s">
        <v>1051</v>
      </c>
      <c r="BD294" s="289" t="e">
        <f t="shared" si="288"/>
        <v>#VALUE!</v>
      </c>
      <c r="BE294" s="307" t="e">
        <f t="shared" si="289"/>
        <v>#VALUE!</v>
      </c>
      <c r="BF294" s="308" t="s">
        <v>1052</v>
      </c>
      <c r="BG294" s="289" t="s">
        <v>1053</v>
      </c>
      <c r="BH294" s="289" t="e">
        <f t="shared" si="290"/>
        <v>#VALUE!</v>
      </c>
      <c r="BI294" s="307" t="e">
        <f t="shared" si="291"/>
        <v>#VALUE!</v>
      </c>
      <c r="BJ294" s="281" t="s">
        <v>1032</v>
      </c>
      <c r="BK294" s="281" t="s">
        <v>1054</v>
      </c>
      <c r="BL294" s="281" t="e">
        <f t="shared" si="292"/>
        <v>#VALUE!</v>
      </c>
      <c r="BM294" s="408" t="s">
        <v>1052</v>
      </c>
      <c r="BN294" s="458" t="s">
        <v>1053</v>
      </c>
      <c r="BO294" s="458" t="e">
        <f t="shared" si="293"/>
        <v>#VALUE!</v>
      </c>
      <c r="BP294" s="408" t="s">
        <v>1050</v>
      </c>
      <c r="BQ294" s="458" t="s">
        <v>1051</v>
      </c>
      <c r="BR294" s="458" t="e">
        <f t="shared" si="294"/>
        <v>#VALUE!</v>
      </c>
      <c r="BS294" s="281"/>
      <c r="BT294" s="281"/>
      <c r="BU294" s="281"/>
      <c r="BV294" s="281"/>
      <c r="BW294" s="298" t="s">
        <v>479</v>
      </c>
      <c r="BX294" s="422" t="s">
        <v>1055</v>
      </c>
      <c r="BY294" s="422" t="s">
        <v>1056</v>
      </c>
      <c r="BZ294" s="422" t="s">
        <v>1057</v>
      </c>
      <c r="CA294" s="422" t="s">
        <v>1058</v>
      </c>
      <c r="CB294" s="422" t="s">
        <v>1059</v>
      </c>
      <c r="CC294" s="422" t="s">
        <v>1060</v>
      </c>
      <c r="CD294" s="422" t="s">
        <v>1061</v>
      </c>
      <c r="CE294" s="422" t="s">
        <v>1062</v>
      </c>
      <c r="CF294" s="422" t="s">
        <v>1063</v>
      </c>
      <c r="CG294" s="422" t="s">
        <v>1064</v>
      </c>
      <c r="CH294" s="422" t="s">
        <v>1065</v>
      </c>
      <c r="CI294" s="422" t="s">
        <v>1066</v>
      </c>
    </row>
    <row r="295" spans="1:87" ht="15" customHeight="1" x14ac:dyDescent="0.2">
      <c r="A295" s="423">
        <v>62001004</v>
      </c>
      <c r="B295" s="297" t="s">
        <v>617</v>
      </c>
      <c r="C295" s="297" t="s">
        <v>627</v>
      </c>
      <c r="D295" s="326" t="s">
        <v>458</v>
      </c>
      <c r="E295" s="283" t="s">
        <v>459</v>
      </c>
      <c r="F295" s="310" t="str">
        <f t="shared" si="270"/>
        <v>##INFO(T</v>
      </c>
      <c r="G295" s="298" t="s">
        <v>460</v>
      </c>
      <c r="H295" s="298" t="s">
        <v>461</v>
      </c>
      <c r="I295" s="306"/>
      <c r="J295" s="299" t="s">
        <v>1067</v>
      </c>
      <c r="K295" s="299" t="s">
        <v>1068</v>
      </c>
      <c r="L295" s="299" t="s">
        <v>1069</v>
      </c>
      <c r="M295" s="299" t="s">
        <v>1070</v>
      </c>
      <c r="N295" s="284" t="s">
        <v>466</v>
      </c>
      <c r="O295" s="284" t="s">
        <v>467</v>
      </c>
      <c r="P295" s="284" t="s">
        <v>468</v>
      </c>
      <c r="Q295" s="284" t="s">
        <v>469</v>
      </c>
      <c r="R295" s="285" t="s">
        <v>1071</v>
      </c>
      <c r="S295" s="285" t="e">
        <f t="shared" si="271"/>
        <v>#VALUE!</v>
      </c>
      <c r="T295" s="314" t="s">
        <v>1072</v>
      </c>
      <c r="U295" s="314" t="s">
        <v>1073</v>
      </c>
      <c r="V295" s="289" t="s">
        <v>1074</v>
      </c>
      <c r="W295" s="289" t="s">
        <v>1075</v>
      </c>
      <c r="X295" s="289" t="e">
        <f t="shared" si="272"/>
        <v>#VALUE!</v>
      </c>
      <c r="Y295" s="289" t="e">
        <f t="shared" si="273"/>
        <v>#VALUE!</v>
      </c>
      <c r="Z295" s="308" t="s">
        <v>1076</v>
      </c>
      <c r="AA295" s="289" t="s">
        <v>1077</v>
      </c>
      <c r="AB295" s="289" t="e">
        <f t="shared" si="274"/>
        <v>#VALUE!</v>
      </c>
      <c r="AC295" s="289" t="e">
        <f t="shared" si="275"/>
        <v>#VALUE!</v>
      </c>
      <c r="AD295" s="308" t="s">
        <v>1078</v>
      </c>
      <c r="AE295" s="289" t="s">
        <v>1079</v>
      </c>
      <c r="AF295" s="289" t="e">
        <f t="shared" si="276"/>
        <v>#VALUE!</v>
      </c>
      <c r="AG295" s="289" t="e">
        <f t="shared" si="277"/>
        <v>#VALUE!</v>
      </c>
      <c r="AH295" s="308" t="s">
        <v>1080</v>
      </c>
      <c r="AI295" s="289" t="s">
        <v>1081</v>
      </c>
      <c r="AJ295" s="289" t="e">
        <f t="shared" si="278"/>
        <v>#VALUE!</v>
      </c>
      <c r="AK295" s="307" t="e">
        <f t="shared" si="279"/>
        <v>#VALUE!</v>
      </c>
      <c r="AL295" s="308" t="s">
        <v>1082</v>
      </c>
      <c r="AM295" s="289" t="s">
        <v>1083</v>
      </c>
      <c r="AN295" s="289" t="e">
        <f t="shared" si="280"/>
        <v>#VALUE!</v>
      </c>
      <c r="AO295" s="307" t="e">
        <f t="shared" si="281"/>
        <v>#VALUE!</v>
      </c>
      <c r="AP295" s="308" t="s">
        <v>1084</v>
      </c>
      <c r="AQ295" s="289" t="s">
        <v>1085</v>
      </c>
      <c r="AR295" s="289" t="e">
        <f t="shared" si="282"/>
        <v>#VALUE!</v>
      </c>
      <c r="AS295" s="307" t="e">
        <f t="shared" si="283"/>
        <v>#VALUE!</v>
      </c>
      <c r="AT295" s="308" t="s">
        <v>1086</v>
      </c>
      <c r="AU295" s="289" t="s">
        <v>1087</v>
      </c>
      <c r="AV295" s="289" t="e">
        <f t="shared" si="284"/>
        <v>#VALUE!</v>
      </c>
      <c r="AW295" s="307" t="e">
        <f t="shared" si="285"/>
        <v>#VALUE!</v>
      </c>
      <c r="AX295" s="308" t="s">
        <v>1088</v>
      </c>
      <c r="AY295" s="289" t="s">
        <v>1089</v>
      </c>
      <c r="AZ295" s="289" t="e">
        <f t="shared" si="286"/>
        <v>#VALUE!</v>
      </c>
      <c r="BA295" s="307" t="e">
        <f t="shared" si="287"/>
        <v>#VALUE!</v>
      </c>
      <c r="BB295" s="308" t="s">
        <v>1090</v>
      </c>
      <c r="BC295" s="289" t="s">
        <v>1091</v>
      </c>
      <c r="BD295" s="289" t="e">
        <f t="shared" si="288"/>
        <v>#VALUE!</v>
      </c>
      <c r="BE295" s="307" t="e">
        <f t="shared" si="289"/>
        <v>#VALUE!</v>
      </c>
      <c r="BF295" s="308" t="s">
        <v>1092</v>
      </c>
      <c r="BG295" s="289" t="s">
        <v>1093</v>
      </c>
      <c r="BH295" s="289" t="e">
        <f t="shared" si="290"/>
        <v>#VALUE!</v>
      </c>
      <c r="BI295" s="307" t="e">
        <f t="shared" si="291"/>
        <v>#VALUE!</v>
      </c>
      <c r="BJ295" s="281" t="s">
        <v>1072</v>
      </c>
      <c r="BK295" s="281" t="s">
        <v>1094</v>
      </c>
      <c r="BL295" s="281" t="e">
        <f t="shared" si="292"/>
        <v>#VALUE!</v>
      </c>
      <c r="BM295" s="408" t="s">
        <v>1092</v>
      </c>
      <c r="BN295" s="458" t="s">
        <v>1093</v>
      </c>
      <c r="BO295" s="458" t="e">
        <f t="shared" si="293"/>
        <v>#VALUE!</v>
      </c>
      <c r="BP295" s="408" t="s">
        <v>1090</v>
      </c>
      <c r="BQ295" s="458" t="s">
        <v>1091</v>
      </c>
      <c r="BR295" s="458" t="e">
        <f t="shared" si="294"/>
        <v>#VALUE!</v>
      </c>
      <c r="BS295" s="281"/>
      <c r="BT295" s="281"/>
      <c r="BU295" s="281"/>
      <c r="BV295" s="281"/>
      <c r="BW295" s="298" t="s">
        <v>479</v>
      </c>
      <c r="BX295" s="422" t="s">
        <v>1095</v>
      </c>
      <c r="BY295" s="422" t="s">
        <v>1096</v>
      </c>
      <c r="BZ295" s="422" t="s">
        <v>1097</v>
      </c>
      <c r="CA295" s="422" t="s">
        <v>1098</v>
      </c>
      <c r="CB295" s="422" t="s">
        <v>1099</v>
      </c>
      <c r="CC295" s="422" t="s">
        <v>1100</v>
      </c>
      <c r="CD295" s="422" t="s">
        <v>1101</v>
      </c>
      <c r="CE295" s="422" t="s">
        <v>1102</v>
      </c>
      <c r="CF295" s="422" t="s">
        <v>1103</v>
      </c>
      <c r="CG295" s="422" t="s">
        <v>1104</v>
      </c>
      <c r="CH295" s="422" t="s">
        <v>1105</v>
      </c>
      <c r="CI295" s="422" t="s">
        <v>1106</v>
      </c>
    </row>
    <row r="296" spans="1:87" ht="15" customHeight="1" x14ac:dyDescent="0.2">
      <c r="A296" s="423">
        <v>62001004</v>
      </c>
      <c r="B296" s="297" t="s">
        <v>617</v>
      </c>
      <c r="C296" s="297" t="s">
        <v>629</v>
      </c>
      <c r="D296" s="326" t="s">
        <v>458</v>
      </c>
      <c r="E296" s="283" t="s">
        <v>459</v>
      </c>
      <c r="F296" s="310" t="str">
        <f t="shared" si="270"/>
        <v>##INFO(T</v>
      </c>
      <c r="G296" s="298" t="s">
        <v>460</v>
      </c>
      <c r="H296" s="298" t="s">
        <v>461</v>
      </c>
      <c r="I296" s="306"/>
      <c r="J296" s="299" t="s">
        <v>1107</v>
      </c>
      <c r="K296" s="299" t="s">
        <v>1108</v>
      </c>
      <c r="L296" s="299" t="s">
        <v>1109</v>
      </c>
      <c r="M296" s="299" t="s">
        <v>1110</v>
      </c>
      <c r="N296" s="284" t="s">
        <v>466</v>
      </c>
      <c r="O296" s="284" t="s">
        <v>467</v>
      </c>
      <c r="P296" s="284" t="s">
        <v>468</v>
      </c>
      <c r="Q296" s="284" t="s">
        <v>469</v>
      </c>
      <c r="R296" s="285" t="s">
        <v>1111</v>
      </c>
      <c r="S296" s="285" t="e">
        <f t="shared" si="271"/>
        <v>#VALUE!</v>
      </c>
      <c r="T296" s="314" t="s">
        <v>1112</v>
      </c>
      <c r="U296" s="314" t="s">
        <v>1113</v>
      </c>
      <c r="V296" s="289" t="s">
        <v>1114</v>
      </c>
      <c r="W296" s="289" t="s">
        <v>1115</v>
      </c>
      <c r="X296" s="289" t="e">
        <f t="shared" si="272"/>
        <v>#VALUE!</v>
      </c>
      <c r="Y296" s="289" t="e">
        <f t="shared" si="273"/>
        <v>#VALUE!</v>
      </c>
      <c r="Z296" s="308" t="s">
        <v>1116</v>
      </c>
      <c r="AA296" s="289" t="s">
        <v>1117</v>
      </c>
      <c r="AB296" s="289" t="e">
        <f t="shared" si="274"/>
        <v>#VALUE!</v>
      </c>
      <c r="AC296" s="289" t="e">
        <f t="shared" si="275"/>
        <v>#VALUE!</v>
      </c>
      <c r="AD296" s="308" t="s">
        <v>1118</v>
      </c>
      <c r="AE296" s="289" t="s">
        <v>1119</v>
      </c>
      <c r="AF296" s="289" t="e">
        <f t="shared" si="276"/>
        <v>#VALUE!</v>
      </c>
      <c r="AG296" s="289" t="e">
        <f t="shared" si="277"/>
        <v>#VALUE!</v>
      </c>
      <c r="AH296" s="308" t="s">
        <v>1120</v>
      </c>
      <c r="AI296" s="289" t="s">
        <v>1121</v>
      </c>
      <c r="AJ296" s="289" t="e">
        <f t="shared" si="278"/>
        <v>#VALUE!</v>
      </c>
      <c r="AK296" s="307" t="e">
        <f t="shared" si="279"/>
        <v>#VALUE!</v>
      </c>
      <c r="AL296" s="308" t="s">
        <v>1122</v>
      </c>
      <c r="AM296" s="289" t="s">
        <v>1123</v>
      </c>
      <c r="AN296" s="289" t="e">
        <f t="shared" si="280"/>
        <v>#VALUE!</v>
      </c>
      <c r="AO296" s="307" t="e">
        <f t="shared" si="281"/>
        <v>#VALUE!</v>
      </c>
      <c r="AP296" s="308" t="s">
        <v>1124</v>
      </c>
      <c r="AQ296" s="289" t="s">
        <v>1125</v>
      </c>
      <c r="AR296" s="289" t="e">
        <f t="shared" si="282"/>
        <v>#VALUE!</v>
      </c>
      <c r="AS296" s="307" t="e">
        <f t="shared" si="283"/>
        <v>#VALUE!</v>
      </c>
      <c r="AT296" s="308" t="s">
        <v>1126</v>
      </c>
      <c r="AU296" s="289" t="s">
        <v>1127</v>
      </c>
      <c r="AV296" s="289" t="e">
        <f t="shared" si="284"/>
        <v>#VALUE!</v>
      </c>
      <c r="AW296" s="307" t="e">
        <f t="shared" si="285"/>
        <v>#VALUE!</v>
      </c>
      <c r="AX296" s="308" t="s">
        <v>1128</v>
      </c>
      <c r="AY296" s="289" t="s">
        <v>1129</v>
      </c>
      <c r="AZ296" s="289" t="e">
        <f t="shared" si="286"/>
        <v>#VALUE!</v>
      </c>
      <c r="BA296" s="307" t="e">
        <f t="shared" si="287"/>
        <v>#VALUE!</v>
      </c>
      <c r="BB296" s="308" t="s">
        <v>1130</v>
      </c>
      <c r="BC296" s="289" t="s">
        <v>1131</v>
      </c>
      <c r="BD296" s="289" t="e">
        <f t="shared" si="288"/>
        <v>#VALUE!</v>
      </c>
      <c r="BE296" s="307" t="e">
        <f t="shared" si="289"/>
        <v>#VALUE!</v>
      </c>
      <c r="BF296" s="308" t="s">
        <v>1132</v>
      </c>
      <c r="BG296" s="289" t="s">
        <v>1133</v>
      </c>
      <c r="BH296" s="289" t="e">
        <f t="shared" si="290"/>
        <v>#VALUE!</v>
      </c>
      <c r="BI296" s="307" t="e">
        <f t="shared" si="291"/>
        <v>#VALUE!</v>
      </c>
      <c r="BJ296" s="281" t="s">
        <v>1112</v>
      </c>
      <c r="BK296" s="281" t="s">
        <v>1134</v>
      </c>
      <c r="BL296" s="281" t="e">
        <f t="shared" si="292"/>
        <v>#VALUE!</v>
      </c>
      <c r="BM296" s="408" t="s">
        <v>1132</v>
      </c>
      <c r="BN296" s="458" t="s">
        <v>1133</v>
      </c>
      <c r="BO296" s="458" t="e">
        <f t="shared" si="293"/>
        <v>#VALUE!</v>
      </c>
      <c r="BP296" s="408" t="s">
        <v>1130</v>
      </c>
      <c r="BQ296" s="458" t="s">
        <v>1131</v>
      </c>
      <c r="BR296" s="458" t="e">
        <f t="shared" si="294"/>
        <v>#VALUE!</v>
      </c>
      <c r="BS296" s="281"/>
      <c r="BT296" s="281"/>
      <c r="BU296" s="281"/>
      <c r="BV296" s="281"/>
      <c r="BW296" s="298" t="s">
        <v>479</v>
      </c>
      <c r="BX296" s="422" t="s">
        <v>1135</v>
      </c>
      <c r="BY296" s="422" t="s">
        <v>1136</v>
      </c>
      <c r="BZ296" s="422" t="s">
        <v>1137</v>
      </c>
      <c r="CA296" s="422" t="s">
        <v>1138</v>
      </c>
      <c r="CB296" s="422" t="s">
        <v>1139</v>
      </c>
      <c r="CC296" s="422" t="s">
        <v>1140</v>
      </c>
      <c r="CD296" s="422" t="s">
        <v>1141</v>
      </c>
      <c r="CE296" s="422" t="s">
        <v>1142</v>
      </c>
      <c r="CF296" s="422" t="s">
        <v>1143</v>
      </c>
      <c r="CG296" s="422" t="s">
        <v>1144</v>
      </c>
      <c r="CH296" s="422" t="s">
        <v>1145</v>
      </c>
      <c r="CI296" s="422" t="s">
        <v>1146</v>
      </c>
    </row>
    <row r="297" spans="1:87" ht="15" customHeight="1" x14ac:dyDescent="0.2">
      <c r="A297" s="423">
        <v>62001005</v>
      </c>
      <c r="B297" s="297" t="s">
        <v>598</v>
      </c>
      <c r="C297" s="297" t="s">
        <v>626</v>
      </c>
    </row>
    <row r="298" spans="1:87" ht="15" customHeight="1" x14ac:dyDescent="0.2">
      <c r="B298" s="304"/>
      <c r="C298" s="304"/>
    </row>
    <row r="299" spans="1:87" ht="15" customHeight="1" x14ac:dyDescent="0.2">
      <c r="B299" s="304"/>
      <c r="C299" s="304"/>
    </row>
    <row r="300" spans="1:87" ht="15" customHeight="1" x14ac:dyDescent="0.2">
      <c r="B300" s="304"/>
      <c r="C300" s="304"/>
    </row>
    <row r="301" spans="1:87" ht="15" customHeight="1" x14ac:dyDescent="0.2">
      <c r="B301" s="304"/>
      <c r="C301" s="304"/>
    </row>
    <row r="302" spans="1:87" ht="15" customHeight="1" x14ac:dyDescent="0.2">
      <c r="B302" s="304"/>
      <c r="C302" s="304"/>
    </row>
    <row r="303" spans="1:87" ht="15" customHeight="1" x14ac:dyDescent="0.2">
      <c r="B303" s="304"/>
      <c r="C303" s="304"/>
    </row>
    <row r="304" spans="1:87" ht="15" customHeight="1" x14ac:dyDescent="0.2">
      <c r="B304" s="304"/>
      <c r="C304" s="304"/>
    </row>
    <row r="305" spans="2:3" ht="15" customHeight="1" x14ac:dyDescent="0.2">
      <c r="B305" s="304"/>
      <c r="C305" s="304"/>
    </row>
    <row r="306" spans="2:3" ht="15" customHeight="1" x14ac:dyDescent="0.2">
      <c r="B306" s="304"/>
      <c r="C306" s="304"/>
    </row>
    <row r="307" spans="2:3" ht="15" customHeight="1" x14ac:dyDescent="0.2">
      <c r="B307" s="304"/>
      <c r="C307" s="304"/>
    </row>
    <row r="308" spans="2:3" ht="15" customHeight="1" x14ac:dyDescent="0.2">
      <c r="B308" s="304"/>
      <c r="C308" s="304"/>
    </row>
    <row r="309" spans="2:3" ht="15" customHeight="1" x14ac:dyDescent="0.2">
      <c r="B309" s="304"/>
      <c r="C309" s="304"/>
    </row>
    <row r="310" spans="2:3" ht="15" customHeight="1" x14ac:dyDescent="0.2">
      <c r="B310" s="304"/>
      <c r="C310" s="304"/>
    </row>
    <row r="311" spans="2:3" ht="15" customHeight="1" x14ac:dyDescent="0.2">
      <c r="B311" s="304"/>
      <c r="C311" s="304"/>
    </row>
    <row r="312" spans="2:3" ht="15" customHeight="1" x14ac:dyDescent="0.2">
      <c r="B312" s="304"/>
      <c r="C312" s="304"/>
    </row>
    <row r="313" spans="2:3" ht="15" customHeight="1" x14ac:dyDescent="0.2">
      <c r="B313" s="304"/>
      <c r="C313" s="304"/>
    </row>
    <row r="314" spans="2:3" ht="15" customHeight="1" x14ac:dyDescent="0.2">
      <c r="B314" s="304"/>
      <c r="C314" s="304"/>
    </row>
    <row r="315" spans="2:3" ht="15" customHeight="1" x14ac:dyDescent="0.2">
      <c r="B315" s="304"/>
      <c r="C315" s="304"/>
    </row>
    <row r="316" spans="2:3" ht="15" customHeight="1" x14ac:dyDescent="0.2">
      <c r="B316" s="304"/>
      <c r="C316" s="304"/>
    </row>
    <row r="317" spans="2:3" ht="15" customHeight="1" x14ac:dyDescent="0.2">
      <c r="B317" s="304"/>
      <c r="C317" s="304"/>
    </row>
    <row r="318" spans="2:3" ht="15" customHeight="1" x14ac:dyDescent="0.2">
      <c r="B318" s="304"/>
      <c r="C318" s="304"/>
    </row>
    <row r="319" spans="2:3" ht="15" customHeight="1" x14ac:dyDescent="0.2">
      <c r="B319" s="304"/>
      <c r="C319" s="304"/>
    </row>
    <row r="320" spans="2:3" ht="15" customHeight="1" x14ac:dyDescent="0.2">
      <c r="B320" s="304"/>
      <c r="C320" s="304"/>
    </row>
    <row r="321" spans="2:3" ht="15" customHeight="1" x14ac:dyDescent="0.2">
      <c r="B321" s="304"/>
      <c r="C321" s="304"/>
    </row>
    <row r="322" spans="2:3" ht="15" customHeight="1" x14ac:dyDescent="0.2">
      <c r="B322" s="304"/>
      <c r="C322" s="304"/>
    </row>
    <row r="323" spans="2:3" ht="15" customHeight="1" x14ac:dyDescent="0.2">
      <c r="B323" s="304"/>
      <c r="C323" s="304"/>
    </row>
    <row r="324" spans="2:3" ht="15" customHeight="1" x14ac:dyDescent="0.2">
      <c r="B324" s="304"/>
      <c r="C324" s="304"/>
    </row>
    <row r="325" spans="2:3" ht="15" customHeight="1" x14ac:dyDescent="0.2">
      <c r="B325" s="304"/>
      <c r="C325" s="304"/>
    </row>
    <row r="326" spans="2:3" ht="15" customHeight="1" x14ac:dyDescent="0.2">
      <c r="B326" s="304"/>
      <c r="C326" s="304"/>
    </row>
    <row r="327" spans="2:3" ht="15" customHeight="1" x14ac:dyDescent="0.2">
      <c r="B327" s="304"/>
      <c r="C327" s="304"/>
    </row>
    <row r="328" spans="2:3" ht="15" customHeight="1" x14ac:dyDescent="0.2">
      <c r="B328" s="304"/>
      <c r="C328" s="304"/>
    </row>
    <row r="329" spans="2:3" ht="15" customHeight="1" x14ac:dyDescent="0.2">
      <c r="B329" s="304"/>
      <c r="C329" s="304"/>
    </row>
    <row r="330" spans="2:3" ht="15" customHeight="1" x14ac:dyDescent="0.2">
      <c r="B330" s="304"/>
      <c r="C330" s="304"/>
    </row>
    <row r="331" spans="2:3" ht="15" customHeight="1" x14ac:dyDescent="0.2">
      <c r="B331" s="304"/>
      <c r="C331" s="304"/>
    </row>
    <row r="332" spans="2:3" ht="15" customHeight="1" x14ac:dyDescent="0.2">
      <c r="B332" s="304"/>
      <c r="C332" s="304"/>
    </row>
    <row r="333" spans="2:3" ht="15" customHeight="1" x14ac:dyDescent="0.2">
      <c r="B333" s="304"/>
      <c r="C333" s="304"/>
    </row>
    <row r="334" spans="2:3" ht="15" customHeight="1" x14ac:dyDescent="0.2">
      <c r="B334" s="304"/>
      <c r="C334" s="304"/>
    </row>
    <row r="335" spans="2:3" ht="15" customHeight="1" x14ac:dyDescent="0.2">
      <c r="B335" s="304"/>
      <c r="C335" s="304"/>
    </row>
    <row r="337" spans="1:88" ht="11.25" x14ac:dyDescent="0.2">
      <c r="A337" s="509" t="s">
        <v>168</v>
      </c>
      <c r="B337" s="509"/>
      <c r="C337" s="446"/>
      <c r="D337" s="447" t="str">
        <f>REPT(A337, 20)</f>
        <v xml:space="preserv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v>
      </c>
      <c r="E337" s="448"/>
      <c r="F337" s="446"/>
      <c r="G337" s="448"/>
      <c r="H337" s="449"/>
      <c r="I337" s="448"/>
      <c r="J337" s="448"/>
      <c r="K337" s="448"/>
      <c r="L337" s="448"/>
      <c r="M337" s="448"/>
      <c r="N337" s="448"/>
      <c r="O337" s="448"/>
      <c r="P337" s="448"/>
      <c r="Q337" s="448"/>
      <c r="R337" s="448"/>
      <c r="S337" s="448"/>
      <c r="T337" s="448"/>
      <c r="U337" s="448"/>
      <c r="V337" s="450"/>
      <c r="W337" s="450"/>
      <c r="X337" s="448"/>
      <c r="Y337" s="448"/>
      <c r="Z337" s="448"/>
      <c r="AA337" s="448"/>
      <c r="AB337" s="448"/>
      <c r="AC337" s="448"/>
      <c r="AD337" s="448"/>
      <c r="AE337" s="450"/>
      <c r="AF337" s="450"/>
      <c r="AG337" s="450"/>
      <c r="AH337" s="450"/>
      <c r="AI337" s="450"/>
      <c r="AJ337" s="448"/>
      <c r="AK337" s="448"/>
      <c r="AL337" s="448"/>
      <c r="AM337" s="448"/>
      <c r="AN337" s="448"/>
      <c r="AO337" s="448"/>
      <c r="AP337" s="450"/>
      <c r="AQ337" s="450"/>
      <c r="AR337" s="448"/>
      <c r="AS337" s="448"/>
      <c r="AT337" s="450"/>
      <c r="AU337" s="450"/>
      <c r="AV337" s="448"/>
      <c r="AW337" s="448"/>
      <c r="AX337" s="450"/>
      <c r="AY337" s="450"/>
      <c r="AZ337" s="448"/>
      <c r="BA337" s="448"/>
      <c r="BB337" s="450"/>
      <c r="BC337" s="450"/>
      <c r="BD337" s="448"/>
      <c r="BE337" s="448"/>
      <c r="BF337" s="450"/>
      <c r="BG337" s="450"/>
      <c r="BH337" s="448"/>
      <c r="BI337" s="448"/>
      <c r="BJ337" s="448"/>
      <c r="BK337" s="448"/>
      <c r="BL337" s="448"/>
      <c r="BM337" s="451"/>
      <c r="BN337" s="451"/>
      <c r="BO337" s="448"/>
      <c r="BP337" s="451"/>
      <c r="BQ337" s="451"/>
      <c r="BR337" s="448"/>
      <c r="BS337" s="448"/>
      <c r="BT337" s="448"/>
      <c r="BU337" s="448"/>
      <c r="BV337" s="448"/>
      <c r="BW337" s="448"/>
      <c r="BX337" s="448"/>
      <c r="BY337" s="448"/>
      <c r="BZ337" s="448"/>
      <c r="CA337" s="448"/>
      <c r="CB337" s="448"/>
      <c r="CC337" s="448"/>
      <c r="CD337" s="448"/>
      <c r="CE337" s="448"/>
      <c r="CF337" s="448"/>
      <c r="CG337" s="448"/>
      <c r="CH337" s="448"/>
      <c r="CI337" s="450"/>
      <c r="CJ337" s="450"/>
    </row>
    <row r="338" spans="1:88" ht="15" customHeight="1" x14ac:dyDescent="0.2">
      <c r="A338" s="297">
        <v>-1</v>
      </c>
      <c r="B338" s="297" t="s">
        <v>457</v>
      </c>
      <c r="C338" s="305"/>
      <c r="D338" s="326" t="s">
        <v>458</v>
      </c>
      <c r="E338" s="283" t="s">
        <v>459</v>
      </c>
      <c r="F338" s="310" t="str">
        <f>LEFT(E338,8)</f>
        <v>##INFO(T</v>
      </c>
      <c r="G338" s="298" t="s">
        <v>460</v>
      </c>
      <c r="H338" s="298" t="s">
        <v>461</v>
      </c>
      <c r="I338" s="306"/>
      <c r="J338" s="299" t="s">
        <v>462</v>
      </c>
      <c r="K338" s="299" t="s">
        <v>463</v>
      </c>
      <c r="L338" s="299" t="s">
        <v>464</v>
      </c>
      <c r="M338" s="299" t="s">
        <v>465</v>
      </c>
      <c r="N338" s="284" t="s">
        <v>466</v>
      </c>
      <c r="O338" s="284" t="s">
        <v>467</v>
      </c>
      <c r="P338" s="284" t="s">
        <v>468</v>
      </c>
      <c r="Q338" s="284" t="s">
        <v>469</v>
      </c>
      <c r="R338" s="285" t="s">
        <v>470</v>
      </c>
      <c r="S338" s="285" t="e">
        <f>R338+R337</f>
        <v>#VALUE!</v>
      </c>
      <c r="T338" s="314" t="s">
        <v>714</v>
      </c>
      <c r="U338" s="314" t="s">
        <v>716</v>
      </c>
      <c r="V338" s="289" t="s">
        <v>471</v>
      </c>
      <c r="W338" s="289" t="s">
        <v>472</v>
      </c>
      <c r="X338" s="289" t="e">
        <f>W338-V338</f>
        <v>#VALUE!</v>
      </c>
      <c r="Y338" s="289" t="e">
        <f>X338/$R338</f>
        <v>#VALUE!</v>
      </c>
      <c r="Z338" s="308" t="s">
        <v>473</v>
      </c>
      <c r="AA338" s="289" t="s">
        <v>474</v>
      </c>
      <c r="AB338" s="289" t="e">
        <f>AA338-Z338</f>
        <v>#VALUE!</v>
      </c>
      <c r="AC338" s="289" t="e">
        <f>AB338/$R338</f>
        <v>#VALUE!</v>
      </c>
      <c r="AD338" s="308" t="s">
        <v>475</v>
      </c>
      <c r="AE338" s="289" t="s">
        <v>476</v>
      </c>
      <c r="AF338" s="289" t="e">
        <f>AE338-AD338</f>
        <v>#VALUE!</v>
      </c>
      <c r="AG338" s="289" t="e">
        <f>AF338/$R338</f>
        <v>#VALUE!</v>
      </c>
      <c r="AH338" s="308" t="s">
        <v>477</v>
      </c>
      <c r="AI338" s="289" t="s">
        <v>478</v>
      </c>
      <c r="AJ338" s="289" t="e">
        <f>AI338-AH338</f>
        <v>#VALUE!</v>
      </c>
      <c r="AK338" s="307" t="e">
        <f>AJ338/$R338</f>
        <v>#VALUE!</v>
      </c>
      <c r="AL338" s="308" t="s">
        <v>728</v>
      </c>
      <c r="AM338" s="289" t="s">
        <v>729</v>
      </c>
      <c r="AN338" s="289" t="e">
        <f>AM338-AL338</f>
        <v>#VALUE!</v>
      </c>
      <c r="AO338" s="307" t="e">
        <f>AN338/$R338</f>
        <v>#VALUE!</v>
      </c>
      <c r="AP338" s="308" t="s">
        <v>734</v>
      </c>
      <c r="AQ338" s="289" t="s">
        <v>735</v>
      </c>
      <c r="AR338" s="289" t="e">
        <f>AQ338-AP338</f>
        <v>#VALUE!</v>
      </c>
      <c r="AS338" s="307" t="e">
        <f>AR338/$R338</f>
        <v>#VALUE!</v>
      </c>
      <c r="AT338" s="308" t="s">
        <v>736</v>
      </c>
      <c r="AU338" s="289" t="s">
        <v>737</v>
      </c>
      <c r="AV338" s="289" t="e">
        <f>AU338-AT338</f>
        <v>#VALUE!</v>
      </c>
      <c r="AW338" s="307" t="e">
        <f>AV338/$R338</f>
        <v>#VALUE!</v>
      </c>
      <c r="AX338" s="308" t="s">
        <v>738</v>
      </c>
      <c r="AY338" s="289" t="s">
        <v>739</v>
      </c>
      <c r="AZ338" s="289" t="e">
        <f>AY338-AX338</f>
        <v>#VALUE!</v>
      </c>
      <c r="BA338" s="307" t="e">
        <f>AZ338/$R338</f>
        <v>#VALUE!</v>
      </c>
      <c r="BB338" s="308" t="s">
        <v>740</v>
      </c>
      <c r="BC338" s="289" t="s">
        <v>741</v>
      </c>
      <c r="BD338" s="289" t="e">
        <f>BC338-BB338</f>
        <v>#VALUE!</v>
      </c>
      <c r="BE338" s="307" t="e">
        <f>BD338/$R338</f>
        <v>#VALUE!</v>
      </c>
      <c r="BF338" s="308" t="s">
        <v>742</v>
      </c>
      <c r="BG338" s="289" t="s">
        <v>743</v>
      </c>
      <c r="BH338" s="289" t="e">
        <f>BG338-BF338</f>
        <v>#VALUE!</v>
      </c>
      <c r="BI338" s="307" t="e">
        <f>BH338/$R338</f>
        <v>#VALUE!</v>
      </c>
      <c r="BJ338" s="281" t="s">
        <v>714</v>
      </c>
      <c r="BK338" s="281" t="s">
        <v>766</v>
      </c>
      <c r="BL338" s="281" t="e">
        <f>BK338-BJ338</f>
        <v>#VALUE!</v>
      </c>
      <c r="BM338" s="408" t="s">
        <v>742</v>
      </c>
      <c r="BN338" s="458" t="s">
        <v>743</v>
      </c>
      <c r="BO338" s="458" t="e">
        <f>BN338-BM338</f>
        <v>#VALUE!</v>
      </c>
      <c r="BP338" s="408" t="s">
        <v>740</v>
      </c>
      <c r="BQ338" s="458" t="s">
        <v>741</v>
      </c>
      <c r="BR338" s="458" t="e">
        <f>BQ338-BP338</f>
        <v>#VALUE!</v>
      </c>
      <c r="BS338" s="281"/>
      <c r="BT338" s="281"/>
      <c r="BU338" s="281"/>
      <c r="BV338" s="281"/>
      <c r="BW338" s="298" t="s">
        <v>479</v>
      </c>
      <c r="BX338" s="422" t="s">
        <v>480</v>
      </c>
      <c r="BY338" s="422" t="s">
        <v>481</v>
      </c>
      <c r="BZ338" s="422" t="s">
        <v>482</v>
      </c>
      <c r="CA338" s="422" t="s">
        <v>483</v>
      </c>
      <c r="CB338" s="422" t="s">
        <v>484</v>
      </c>
      <c r="CC338" s="422" t="s">
        <v>485</v>
      </c>
      <c r="CD338" s="422" t="s">
        <v>486</v>
      </c>
      <c r="CE338" s="422" t="s">
        <v>487</v>
      </c>
      <c r="CF338" s="422" t="s">
        <v>488</v>
      </c>
      <c r="CG338" s="422" t="s">
        <v>489</v>
      </c>
      <c r="CH338" s="422" t="s">
        <v>490</v>
      </c>
      <c r="CI338" s="422" t="s">
        <v>491</v>
      </c>
    </row>
    <row r="339" spans="1:88" ht="15" customHeight="1" x14ac:dyDescent="0.2">
      <c r="A339" s="297">
        <v>-1</v>
      </c>
      <c r="B339" s="297" t="s">
        <v>492</v>
      </c>
      <c r="C339" s="297"/>
      <c r="D339" s="326" t="s">
        <v>458</v>
      </c>
      <c r="E339" s="283" t="s">
        <v>459</v>
      </c>
      <c r="F339" s="310" t="str">
        <f>LEFT(E339,8)</f>
        <v>##INFO(T</v>
      </c>
      <c r="G339" s="298" t="s">
        <v>460</v>
      </c>
      <c r="H339" s="298" t="s">
        <v>461</v>
      </c>
      <c r="I339" s="306"/>
      <c r="J339" s="299" t="s">
        <v>462</v>
      </c>
      <c r="K339" s="299" t="s">
        <v>463</v>
      </c>
      <c r="L339" s="299" t="s">
        <v>464</v>
      </c>
      <c r="M339" s="299" t="s">
        <v>465</v>
      </c>
      <c r="N339" s="284" t="s">
        <v>466</v>
      </c>
      <c r="O339" s="284" t="s">
        <v>467</v>
      </c>
      <c r="P339" s="284" t="s">
        <v>468</v>
      </c>
      <c r="Q339" s="284" t="s">
        <v>469</v>
      </c>
      <c r="R339" s="285" t="s">
        <v>470</v>
      </c>
      <c r="S339" s="285" t="e">
        <f>R339+R338</f>
        <v>#VALUE!</v>
      </c>
      <c r="T339" s="314" t="s">
        <v>715</v>
      </c>
      <c r="U339" s="314" t="s">
        <v>716</v>
      </c>
      <c r="V339" s="289" t="s">
        <v>471</v>
      </c>
      <c r="W339" s="289" t="s">
        <v>472</v>
      </c>
      <c r="X339" s="289" t="e">
        <f>W339-V339-X340</f>
        <v>#VALUE!</v>
      </c>
      <c r="Y339" s="289" t="e">
        <f>X339/$R339</f>
        <v>#VALUE!</v>
      </c>
      <c r="Z339" s="308" t="s">
        <v>473</v>
      </c>
      <c r="AA339" s="289" t="s">
        <v>474</v>
      </c>
      <c r="AB339" s="289" t="e">
        <f>AA339-Z339-AB340</f>
        <v>#VALUE!</v>
      </c>
      <c r="AC339" s="289" t="e">
        <f>AB339/$R339</f>
        <v>#VALUE!</v>
      </c>
      <c r="AD339" s="308" t="s">
        <v>475</v>
      </c>
      <c r="AE339" s="289" t="s">
        <v>476</v>
      </c>
      <c r="AF339" s="289" t="e">
        <f>AE339-AD339-AF340</f>
        <v>#VALUE!</v>
      </c>
      <c r="AG339" s="289" t="e">
        <f>AF339/$R339</f>
        <v>#VALUE!</v>
      </c>
      <c r="AH339" s="308" t="s">
        <v>477</v>
      </c>
      <c r="AI339" s="289" t="s">
        <v>478</v>
      </c>
      <c r="AJ339" s="289" t="e">
        <f>AI339-AH339-AJ340</f>
        <v>#VALUE!</v>
      </c>
      <c r="AK339" s="307" t="e">
        <f>AJ339/$R339</f>
        <v>#VALUE!</v>
      </c>
      <c r="AL339" s="308" t="s">
        <v>728</v>
      </c>
      <c r="AM339" s="289" t="s">
        <v>729</v>
      </c>
      <c r="AN339" s="289" t="e">
        <f>AM339-AL339-AN340</f>
        <v>#VALUE!</v>
      </c>
      <c r="AO339" s="307" t="e">
        <f>AN339/$R339</f>
        <v>#VALUE!</v>
      </c>
      <c r="AP339" s="308" t="s">
        <v>734</v>
      </c>
      <c r="AQ339" s="289" t="s">
        <v>735</v>
      </c>
      <c r="AR339" s="289" t="e">
        <f>AQ339-AP339-AR340</f>
        <v>#VALUE!</v>
      </c>
      <c r="AS339" s="307" t="e">
        <f>AR339/$R339</f>
        <v>#VALUE!</v>
      </c>
      <c r="AT339" s="308" t="s">
        <v>736</v>
      </c>
      <c r="AU339" s="289" t="s">
        <v>737</v>
      </c>
      <c r="AV339" s="289" t="e">
        <f>AU339-AT339-AV340</f>
        <v>#VALUE!</v>
      </c>
      <c r="AW339" s="307" t="e">
        <f>AV339/$R339</f>
        <v>#VALUE!</v>
      </c>
      <c r="AX339" s="308" t="s">
        <v>738</v>
      </c>
      <c r="AY339" s="289" t="s">
        <v>739</v>
      </c>
      <c r="AZ339" s="289" t="e">
        <f>AY339-AX339-AZ340</f>
        <v>#VALUE!</v>
      </c>
      <c r="BA339" s="307" t="e">
        <f>AZ339/$R339</f>
        <v>#VALUE!</v>
      </c>
      <c r="BB339" s="308" t="s">
        <v>740</v>
      </c>
      <c r="BC339" s="289" t="s">
        <v>741</v>
      </c>
      <c r="BD339" s="289" t="e">
        <f>BC339-BB339-BD340</f>
        <v>#VALUE!</v>
      </c>
      <c r="BE339" s="307" t="e">
        <f>BD339/$R339</f>
        <v>#VALUE!</v>
      </c>
      <c r="BF339" s="308" t="s">
        <v>742</v>
      </c>
      <c r="BG339" s="289" t="s">
        <v>743</v>
      </c>
      <c r="BH339" s="289" t="e">
        <f>BG339-BF339-BH340</f>
        <v>#VALUE!</v>
      </c>
      <c r="BI339" s="307" t="e">
        <f>BH339/$R339</f>
        <v>#VALUE!</v>
      </c>
      <c r="BJ339" s="281" t="s">
        <v>714</v>
      </c>
      <c r="BK339" s="281" t="s">
        <v>766</v>
      </c>
      <c r="BL339" s="281" t="e">
        <f>BK339-BJ339-BL340</f>
        <v>#VALUE!</v>
      </c>
      <c r="BM339" s="408" t="s">
        <v>742</v>
      </c>
      <c r="BN339" s="458" t="s">
        <v>743</v>
      </c>
      <c r="BO339" s="458" t="e">
        <f>BN339-BM339-BO340</f>
        <v>#VALUE!</v>
      </c>
      <c r="BP339" s="408" t="s">
        <v>740</v>
      </c>
      <c r="BQ339" s="458" t="s">
        <v>741</v>
      </c>
      <c r="BR339" s="458" t="e">
        <f>BQ339-BP339-BR340</f>
        <v>#VALUE!</v>
      </c>
      <c r="BS339" s="281"/>
      <c r="BT339" s="281"/>
      <c r="BU339" s="281"/>
      <c r="BV339" s="281"/>
      <c r="BW339" s="298" t="s">
        <v>479</v>
      </c>
      <c r="BX339" s="422" t="s">
        <v>480</v>
      </c>
      <c r="BY339" s="422" t="s">
        <v>481</v>
      </c>
      <c r="BZ339" s="422" t="s">
        <v>482</v>
      </c>
      <c r="CA339" s="422" t="s">
        <v>483</v>
      </c>
      <c r="CB339" s="422" t="s">
        <v>484</v>
      </c>
      <c r="CC339" s="422" t="s">
        <v>485</v>
      </c>
      <c r="CD339" s="422" t="s">
        <v>486</v>
      </c>
      <c r="CE339" s="422" t="s">
        <v>487</v>
      </c>
      <c r="CF339" s="422" t="s">
        <v>488</v>
      </c>
      <c r="CG339" s="422" t="s">
        <v>489</v>
      </c>
      <c r="CH339" s="422" t="s">
        <v>490</v>
      </c>
      <c r="CI339" s="422" t="s">
        <v>491</v>
      </c>
    </row>
    <row r="340" spans="1:88" ht="15" customHeight="1" x14ac:dyDescent="0.2">
      <c r="A340" s="297">
        <v>-1</v>
      </c>
      <c r="B340" s="297" t="s">
        <v>493</v>
      </c>
      <c r="C340" s="297"/>
      <c r="D340" s="326" t="s">
        <v>458</v>
      </c>
      <c r="E340" s="283" t="s">
        <v>459</v>
      </c>
      <c r="F340" s="310" t="str">
        <f>LEFT(E340,8)</f>
        <v>##INFO(T</v>
      </c>
      <c r="G340" s="298" t="s">
        <v>460</v>
      </c>
      <c r="H340" s="298" t="s">
        <v>461</v>
      </c>
      <c r="I340" s="306"/>
      <c r="J340" s="300" t="e">
        <f>AVERAGE(J338:J339)</f>
        <v>#DIV/0!</v>
      </c>
      <c r="K340" s="300" t="e">
        <f>AVERAGE(K338:K339)</f>
        <v>#DIV/0!</v>
      </c>
      <c r="L340" s="300" t="e">
        <f>AVERAGE(L338:L339)</f>
        <v>#DIV/0!</v>
      </c>
      <c r="M340" s="300" t="e">
        <f>AVERAGE(M338:M339)</f>
        <v>#DIV/0!</v>
      </c>
      <c r="N340" s="286"/>
      <c r="O340" s="284"/>
      <c r="P340" s="302"/>
      <c r="Q340" s="301"/>
      <c r="R340" s="287" t="e">
        <f>R339+R338</f>
        <v>#VALUE!</v>
      </c>
      <c r="S340" s="287" t="e">
        <f>S339</f>
        <v>#VALUE!</v>
      </c>
      <c r="T340" s="315" t="str">
        <f>T338</f>
        <v>##DATA(Exhaust_Bag, =$$, HVBatt_SOC_CAN4__per)</v>
      </c>
      <c r="U340" s="315" t="str">
        <f>U339</f>
        <v>##DATA(Exhaust_Bag, =$$-,HVBatt_SOC_CAN4__per)</v>
      </c>
      <c r="V340" s="290" t="str">
        <f>V338</f>
        <v>##DATA(Exhaust_Bag, =$$, WP1)</v>
      </c>
      <c r="W340" s="290" t="str">
        <f>W339</f>
        <v>##DATA(Exhaust_Bag, =$$-, WP1)</v>
      </c>
      <c r="X340" s="290" t="e">
        <f>SUM(X338:X339)</f>
        <v>#VALUE!</v>
      </c>
      <c r="Y340" s="290" t="e">
        <f>X340/$R340</f>
        <v>#VALUE!</v>
      </c>
      <c r="Z340" s="290" t="str">
        <f>Z338</f>
        <v>##DATA(Exhaust_Bag, =$$, WP2)</v>
      </c>
      <c r="AA340" s="290" t="str">
        <f>AA339</f>
        <v>##DATA(Exhaust_Bag, =$$-, WP2)</v>
      </c>
      <c r="AB340" s="290" t="e">
        <f>SUM(AB338:AB339)</f>
        <v>#VALUE!</v>
      </c>
      <c r="AC340" s="290" t="e">
        <f>AB340/$R340</f>
        <v>#VALUE!</v>
      </c>
      <c r="AD340" s="290" t="str">
        <f>AD338</f>
        <v>##DATA(Exhaust_Bag, =$$, WP3)</v>
      </c>
      <c r="AE340" s="290" t="str">
        <f>AE339</f>
        <v>##DATA(Exhaust_Bag, =$$-, WP3)</v>
      </c>
      <c r="AF340" s="290" t="e">
        <f>SUM(AF338:AF339)</f>
        <v>#VALUE!</v>
      </c>
      <c r="AG340" s="290" t="e">
        <f>AF340/$R340</f>
        <v>#VALUE!</v>
      </c>
      <c r="AH340" s="290" t="str">
        <f>AH338</f>
        <v>##DATA(Exhaust_Bag, =$$, WP4)</v>
      </c>
      <c r="AI340" s="290" t="str">
        <f>AI339</f>
        <v>##DATA(Exhaust_Bag, =$$-, WP4)</v>
      </c>
      <c r="AJ340" s="290" t="e">
        <f>SUM(AJ338:AJ339)</f>
        <v>#VALUE!</v>
      </c>
      <c r="AK340" s="288" t="e">
        <f>AJ340/$R340</f>
        <v>#VALUE!</v>
      </c>
      <c r="AL340" s="290" t="str">
        <f>AL338</f>
        <v>##DATA(Exhaust_Bag, =$$, WP5)</v>
      </c>
      <c r="AM340" s="290" t="str">
        <f>AM339</f>
        <v>##DATA(Exhaust_Bag, =$$-, WP5)</v>
      </c>
      <c r="AN340" s="290" t="e">
        <f>SUM(AN338:AN339)</f>
        <v>#VALUE!</v>
      </c>
      <c r="AO340" s="288" t="e">
        <f>AN340/$R340</f>
        <v>#VALUE!</v>
      </c>
      <c r="AP340" s="290" t="str">
        <f>AP338</f>
        <v>##DATA(Exhaust_Bag, =$$, WP6)</v>
      </c>
      <c r="AQ340" s="290" t="str">
        <f>AQ339</f>
        <v>##DATA(Exhaust_Bag, =$$-, WP6)</v>
      </c>
      <c r="AR340" s="290" t="e">
        <f>SUM(AR338:AR339)</f>
        <v>#VALUE!</v>
      </c>
      <c r="AS340" s="288" t="e">
        <f>AR340/$R340</f>
        <v>#VALUE!</v>
      </c>
      <c r="AT340" s="290" t="str">
        <f>AT338</f>
        <v>##DATA(Exhaust_Bag, =$$, WP7)</v>
      </c>
      <c r="AU340" s="290" t="str">
        <f>AU339</f>
        <v>##DATA(Exhaust_Bag, =$$-, WP7)</v>
      </c>
      <c r="AV340" s="290" t="e">
        <f>SUM(AV338:AV339)</f>
        <v>#VALUE!</v>
      </c>
      <c r="AW340" s="288" t="e">
        <f>AV340/$R340</f>
        <v>#VALUE!</v>
      </c>
      <c r="AX340" s="290" t="str">
        <f>AX338</f>
        <v>##DATA(Exhaust_Bag, =$$, WP8)</v>
      </c>
      <c r="AY340" s="290" t="str">
        <f>AY339</f>
        <v>##DATA(Exhaust_Bag, =$$-, WP8)</v>
      </c>
      <c r="AZ340" s="290" t="e">
        <f>SUM(AZ338:AZ339)</f>
        <v>#VALUE!</v>
      </c>
      <c r="BA340" s="288" t="e">
        <f>AZ340/$R340</f>
        <v>#VALUE!</v>
      </c>
      <c r="BB340" s="290" t="str">
        <f>BB338</f>
        <v>##DATA(Exhaust_Bag, =$$, WP9)</v>
      </c>
      <c r="BC340" s="290" t="str">
        <f>BC339</f>
        <v>##DATA(Exhaust_Bag, =$$-, WP9)</v>
      </c>
      <c r="BD340" s="290" t="e">
        <f>SUM(BD338:BD339)</f>
        <v>#VALUE!</v>
      </c>
      <c r="BE340" s="288" t="e">
        <f>BD340/$R340</f>
        <v>#VALUE!</v>
      </c>
      <c r="BF340" s="290" t="str">
        <f>BF338</f>
        <v>##DATA(Exhaust_Bag, =$$, WP10)</v>
      </c>
      <c r="BG340" s="290" t="str">
        <f>BG339</f>
        <v>##DATA(Exhaust_Bag, =$$-, WP10)</v>
      </c>
      <c r="BH340" s="290" t="e">
        <f>SUM(BH338:BH339)</f>
        <v>#VALUE!</v>
      </c>
      <c r="BI340" s="288" t="e">
        <f>BH340/$R340</f>
        <v>#VALUE!</v>
      </c>
      <c r="BJ340" s="282"/>
      <c r="BK340" s="282"/>
      <c r="BL340" s="282" t="e">
        <f>SUM(BL338:BL339)</f>
        <v>#VALUE!</v>
      </c>
      <c r="BM340" s="459" t="str">
        <f>BM338</f>
        <v>##DATA(Exhaust_Bag, =$$, WP10)</v>
      </c>
      <c r="BN340" s="459" t="str">
        <f>BN339</f>
        <v>##DATA(Exhaust_Bag, =$$-, WP10)</v>
      </c>
      <c r="BO340" s="459" t="e">
        <f>SUM(BO338:BO339)</f>
        <v>#VALUE!</v>
      </c>
      <c r="BP340" s="459" t="str">
        <f>BP338</f>
        <v>##DATA(Exhaust_Bag, =$$, WP9)</v>
      </c>
      <c r="BQ340" s="459" t="str">
        <f>BQ339</f>
        <v>##DATA(Exhaust_Bag, =$$-, WP9)</v>
      </c>
      <c r="BR340" s="459" t="e">
        <f>SUM(BR338:BR339)</f>
        <v>#VALUE!</v>
      </c>
      <c r="BS340" s="282"/>
      <c r="BT340" s="282"/>
      <c r="BU340" s="282"/>
      <c r="BV340" s="282"/>
      <c r="BW340" s="298" t="s">
        <v>479</v>
      </c>
      <c r="BX340" s="422" t="s">
        <v>480</v>
      </c>
      <c r="BY340" s="422" t="s">
        <v>481</v>
      </c>
      <c r="BZ340" s="422" t="s">
        <v>482</v>
      </c>
      <c r="CA340" s="422" t="s">
        <v>483</v>
      </c>
      <c r="CB340" s="422" t="s">
        <v>484</v>
      </c>
      <c r="CC340" s="422" t="s">
        <v>485</v>
      </c>
      <c r="CD340" s="422" t="s">
        <v>486</v>
      </c>
      <c r="CE340" s="422" t="s">
        <v>487</v>
      </c>
      <c r="CF340" s="422" t="s">
        <v>488</v>
      </c>
      <c r="CG340" s="422" t="s">
        <v>489</v>
      </c>
      <c r="CH340" s="422" t="s">
        <v>490</v>
      </c>
      <c r="CI340" s="422" t="s">
        <v>491</v>
      </c>
    </row>
  </sheetData>
  <mergeCells count="5">
    <mergeCell ref="A337:B337"/>
    <mergeCell ref="T3:U3"/>
    <mergeCell ref="Y3:AE3"/>
    <mergeCell ref="BS6:BV6"/>
    <mergeCell ref="BJ6:BL6"/>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J63"/>
  <sheetViews>
    <sheetView zoomScaleNormal="100" workbookViewId="0">
      <pane xSplit="2" ySplit="7" topLeftCell="C8" activePane="bottomRight" state="frozen"/>
      <selection pane="topRight" activeCell="C1" sqref="C1"/>
      <selection pane="bottomLeft" activeCell="A8" sqref="A8"/>
      <selection pane="bottomRight" activeCell="C1" sqref="C1"/>
    </sheetView>
  </sheetViews>
  <sheetFormatPr defaultColWidth="9.140625" defaultRowHeight="15" customHeight="1" x14ac:dyDescent="0.2"/>
  <cols>
    <col min="1" max="1" width="16" style="423" customWidth="1"/>
    <col min="2" max="2" width="50.140625" style="423" customWidth="1"/>
    <col min="3" max="3" width="14.42578125" style="423" customWidth="1"/>
    <col min="4" max="4" width="64.5703125" style="422" customWidth="1"/>
    <col min="5" max="5" width="16.42578125" style="423" customWidth="1"/>
    <col min="6" max="6" width="8.42578125" style="431" bestFit="1" customWidth="1"/>
    <col min="7" max="7" width="118" style="423" customWidth="1"/>
    <col min="8" max="8" width="59" style="422" customWidth="1"/>
    <col min="9" max="12" width="10" style="422" customWidth="1"/>
    <col min="13" max="13" width="10.85546875" style="422" customWidth="1"/>
    <col min="14" max="14" width="5.42578125" style="422" customWidth="1"/>
    <col min="15" max="15" width="6" style="422" customWidth="1"/>
    <col min="16" max="16" width="5.5703125" style="422" customWidth="1"/>
    <col min="17" max="17" width="8.5703125" style="422" customWidth="1"/>
    <col min="18" max="18" width="9" style="422" customWidth="1"/>
    <col min="19" max="19" width="9.5703125" style="428" customWidth="1"/>
    <col min="20" max="20" width="10" style="428" customWidth="1"/>
    <col min="21" max="21" width="11.42578125" style="428" bestFit="1" customWidth="1"/>
    <col min="22" max="23" width="10.7109375" style="429" customWidth="1"/>
    <col min="24" max="30" width="10.7109375" style="428" customWidth="1"/>
    <col min="31" max="33" width="10.7109375" style="430" customWidth="1"/>
    <col min="34" max="35" width="10.7109375" style="429" customWidth="1"/>
    <col min="36" max="41" width="10.7109375" style="422" customWidth="1"/>
    <col min="42" max="43" width="10.7109375" style="429" customWidth="1"/>
    <col min="44" max="45" width="10.7109375" style="422" customWidth="1"/>
    <col min="46" max="47" width="10.7109375" style="429" customWidth="1"/>
    <col min="48" max="49" width="10.7109375" style="422" customWidth="1"/>
    <col min="50" max="51" width="10.7109375" style="429" customWidth="1"/>
    <col min="52" max="53" width="10.7109375" style="422" customWidth="1"/>
    <col min="54" max="55" width="10.7109375" style="429" customWidth="1"/>
    <col min="56" max="57" width="10.7109375" style="422" customWidth="1"/>
    <col min="58" max="59" width="10.7109375" style="429" customWidth="1"/>
    <col min="60" max="70" width="10.7109375" style="422" customWidth="1"/>
    <col min="71" max="71" width="14.5703125" style="422" customWidth="1"/>
    <col min="72" max="72" width="12.42578125" style="422" customWidth="1"/>
    <col min="73" max="16384" width="9.140625" style="422"/>
  </cols>
  <sheetData>
    <row r="1" spans="1:87" s="423" customFormat="1" ht="11.25" x14ac:dyDescent="0.2">
      <c r="A1" s="477">
        <v>1</v>
      </c>
      <c r="B1" s="423">
        <v>2</v>
      </c>
      <c r="C1" s="423">
        <v>3</v>
      </c>
      <c r="D1" s="423">
        <v>4</v>
      </c>
      <c r="E1" s="423">
        <v>5</v>
      </c>
      <c r="F1" s="423">
        <v>6</v>
      </c>
      <c r="G1" s="423">
        <v>7</v>
      </c>
      <c r="H1" s="423">
        <v>8</v>
      </c>
      <c r="I1" s="423">
        <v>9</v>
      </c>
      <c r="J1" s="423">
        <v>10</v>
      </c>
      <c r="K1" s="423">
        <v>11</v>
      </c>
      <c r="L1" s="423">
        <v>12</v>
      </c>
      <c r="M1" s="423">
        <v>13</v>
      </c>
      <c r="N1" s="423">
        <v>14</v>
      </c>
      <c r="O1" s="423">
        <v>15</v>
      </c>
      <c r="P1" s="423">
        <v>16</v>
      </c>
      <c r="Q1" s="423">
        <v>17</v>
      </c>
      <c r="R1" s="423">
        <v>18</v>
      </c>
      <c r="S1" s="423">
        <v>19</v>
      </c>
      <c r="T1" s="423">
        <v>20</v>
      </c>
      <c r="U1" s="423">
        <v>21</v>
      </c>
      <c r="V1" s="423">
        <v>22</v>
      </c>
      <c r="W1" s="423">
        <v>23</v>
      </c>
      <c r="X1" s="423">
        <v>24</v>
      </c>
      <c r="Y1" s="423">
        <v>25</v>
      </c>
      <c r="Z1" s="423">
        <v>26</v>
      </c>
      <c r="AA1" s="423">
        <v>27</v>
      </c>
      <c r="AB1" s="423">
        <v>28</v>
      </c>
      <c r="AC1" s="423">
        <v>29</v>
      </c>
      <c r="AD1" s="423">
        <v>30</v>
      </c>
      <c r="AE1" s="423">
        <v>31</v>
      </c>
      <c r="AF1" s="423">
        <v>32</v>
      </c>
      <c r="AG1" s="423">
        <v>33</v>
      </c>
      <c r="AH1" s="423">
        <v>34</v>
      </c>
      <c r="AI1" s="423">
        <v>35</v>
      </c>
      <c r="AJ1" s="423">
        <v>36</v>
      </c>
      <c r="AK1" s="423">
        <v>37</v>
      </c>
      <c r="AL1" s="423">
        <v>38</v>
      </c>
      <c r="AM1" s="423">
        <v>39</v>
      </c>
      <c r="AN1" s="423">
        <v>40</v>
      </c>
      <c r="AO1" s="423">
        <v>41</v>
      </c>
      <c r="AP1" s="423">
        <v>42</v>
      </c>
      <c r="AQ1" s="423">
        <v>43</v>
      </c>
      <c r="AR1" s="423">
        <v>44</v>
      </c>
      <c r="AS1" s="423">
        <v>45</v>
      </c>
      <c r="AT1" s="423">
        <v>46</v>
      </c>
      <c r="AU1" s="423">
        <v>47</v>
      </c>
      <c r="AV1" s="423">
        <v>48</v>
      </c>
      <c r="AW1" s="423">
        <v>49</v>
      </c>
      <c r="AX1" s="423">
        <v>50</v>
      </c>
      <c r="AY1" s="423">
        <v>51</v>
      </c>
      <c r="AZ1" s="423">
        <v>52</v>
      </c>
      <c r="BA1" s="423">
        <v>53</v>
      </c>
      <c r="BB1" s="423">
        <v>54</v>
      </c>
      <c r="BC1" s="423">
        <v>55</v>
      </c>
      <c r="BD1" s="423">
        <v>56</v>
      </c>
      <c r="BE1" s="423">
        <v>57</v>
      </c>
      <c r="BF1" s="423">
        <v>58</v>
      </c>
      <c r="BG1" s="423">
        <v>59</v>
      </c>
      <c r="BH1" s="423">
        <v>60</v>
      </c>
      <c r="BI1" s="423">
        <v>61</v>
      </c>
      <c r="BJ1" s="423">
        <v>62</v>
      </c>
      <c r="BK1" s="423">
        <v>63</v>
      </c>
      <c r="BL1" s="423">
        <v>64</v>
      </c>
      <c r="BM1" s="423">
        <v>65</v>
      </c>
      <c r="BN1" s="423">
        <v>66</v>
      </c>
      <c r="BO1" s="423">
        <v>67</v>
      </c>
      <c r="BP1" s="423">
        <v>68</v>
      </c>
      <c r="BQ1" s="423">
        <v>69</v>
      </c>
      <c r="BR1" s="423">
        <v>70</v>
      </c>
      <c r="BS1" s="423">
        <v>71</v>
      </c>
      <c r="BT1" s="423">
        <v>72</v>
      </c>
      <c r="BU1" s="423">
        <v>73</v>
      </c>
      <c r="BV1" s="423">
        <v>74</v>
      </c>
      <c r="BW1" s="423">
        <v>75</v>
      </c>
      <c r="BX1" s="423">
        <v>76</v>
      </c>
      <c r="BY1" s="423">
        <v>77</v>
      </c>
      <c r="BZ1" s="423">
        <v>78</v>
      </c>
      <c r="CA1" s="423">
        <v>79</v>
      </c>
      <c r="CB1" s="423">
        <v>80</v>
      </c>
      <c r="CC1" s="423">
        <v>81</v>
      </c>
      <c r="CD1" s="423">
        <v>82</v>
      </c>
      <c r="CE1" s="423">
        <v>83</v>
      </c>
      <c r="CF1" s="423">
        <v>84</v>
      </c>
      <c r="CG1" s="423">
        <v>85</v>
      </c>
      <c r="CH1" s="423">
        <v>86</v>
      </c>
      <c r="CI1" s="423">
        <v>87</v>
      </c>
    </row>
    <row r="2" spans="1:87" ht="12" thickBot="1" x14ac:dyDescent="0.25">
      <c r="A2" s="475" t="s">
        <v>5</v>
      </c>
      <c r="B2" s="425" t="str">
        <f>TestPlan!B1</f>
        <v>2020 Chevrolet Bolt</v>
      </c>
      <c r="C2" s="425"/>
      <c r="F2" s="426" t="s">
        <v>6</v>
      </c>
      <c r="G2" s="427" t="s">
        <v>334</v>
      </c>
      <c r="H2" s="427"/>
      <c r="I2" s="427"/>
      <c r="J2" s="427"/>
      <c r="K2" s="427"/>
      <c r="L2" s="427"/>
      <c r="N2" s="424"/>
      <c r="O2" s="424"/>
      <c r="P2" s="424"/>
    </row>
    <row r="3" spans="1:87" ht="12" thickBot="1" x14ac:dyDescent="0.25">
      <c r="A3" s="475" t="s">
        <v>7</v>
      </c>
      <c r="B3" s="425" t="str">
        <f>TestPlan!B2</f>
        <v>NHTSA 2020 Vehicle Technology Assessment</v>
      </c>
      <c r="C3" s="425"/>
      <c r="H3" s="432"/>
      <c r="I3" s="432"/>
      <c r="J3" s="432"/>
      <c r="K3" s="432"/>
      <c r="L3" s="432"/>
      <c r="N3" s="15"/>
      <c r="O3" s="15"/>
      <c r="P3" s="15"/>
      <c r="S3" s="433"/>
      <c r="T3" s="510" t="s">
        <v>672</v>
      </c>
      <c r="U3" s="511"/>
      <c r="X3" s="433"/>
      <c r="Y3" s="510" t="s">
        <v>672</v>
      </c>
      <c r="Z3" s="511"/>
      <c r="AA3" s="511"/>
      <c r="AB3" s="511"/>
      <c r="AC3" s="511"/>
      <c r="AD3" s="511"/>
      <c r="AE3" s="511"/>
      <c r="AF3" s="423"/>
      <c r="AG3" s="423"/>
      <c r="AI3" s="434" t="s">
        <v>396</v>
      </c>
      <c r="AJ3" s="423" t="s">
        <v>394</v>
      </c>
      <c r="AK3" s="423" t="s">
        <v>395</v>
      </c>
      <c r="AL3" s="422" t="e">
        <f>#REF!/#REF!</f>
        <v>#REF!</v>
      </c>
      <c r="AO3" s="423"/>
      <c r="AP3" s="434"/>
      <c r="AQ3" s="434"/>
      <c r="AT3" s="434"/>
      <c r="AU3" s="434"/>
      <c r="AX3" s="434"/>
      <c r="AY3" s="434"/>
      <c r="BB3" s="434"/>
      <c r="BC3" s="434"/>
      <c r="BF3" s="434"/>
      <c r="BG3" s="434"/>
    </row>
    <row r="4" spans="1:87" ht="11.25" x14ac:dyDescent="0.2">
      <c r="A4" s="474" t="s">
        <v>373</v>
      </c>
    </row>
    <row r="5" spans="1:87" ht="11.25" x14ac:dyDescent="0.2">
      <c r="A5" s="474" t="s">
        <v>373</v>
      </c>
    </row>
    <row r="6" spans="1:87" s="435" customFormat="1" ht="15" customHeight="1" thickBot="1" x14ac:dyDescent="0.25">
      <c r="A6" s="476" t="s">
        <v>373</v>
      </c>
      <c r="B6" s="436"/>
      <c r="C6" s="436"/>
      <c r="E6" s="436"/>
      <c r="F6" s="437"/>
      <c r="G6" s="436"/>
      <c r="S6" s="438" t="s">
        <v>104</v>
      </c>
      <c r="T6" s="438"/>
      <c r="U6" s="438"/>
      <c r="V6" s="439"/>
      <c r="W6" s="439"/>
      <c r="X6" s="438" t="s">
        <v>104</v>
      </c>
      <c r="Y6" s="438"/>
      <c r="Z6" s="438"/>
      <c r="AA6" s="438"/>
      <c r="AB6" s="438"/>
      <c r="AC6" s="438"/>
      <c r="AD6" s="438"/>
      <c r="AE6" s="440"/>
      <c r="AF6" s="440"/>
      <c r="AG6" s="440"/>
      <c r="AH6" s="439"/>
      <c r="AI6" s="439"/>
      <c r="AJ6" s="441"/>
      <c r="AK6" s="441"/>
      <c r="AL6" s="441"/>
      <c r="AM6" s="441"/>
      <c r="AN6" s="441"/>
      <c r="AO6" s="441"/>
      <c r="AP6" s="439"/>
      <c r="AQ6" s="439"/>
      <c r="AR6" s="441"/>
      <c r="AS6" s="441"/>
      <c r="AT6" s="439"/>
      <c r="AU6" s="439"/>
      <c r="AV6" s="441"/>
      <c r="AW6" s="441"/>
      <c r="AX6" s="439"/>
      <c r="AY6" s="439"/>
      <c r="AZ6" s="441"/>
      <c r="BA6" s="441"/>
      <c r="BB6" s="439"/>
      <c r="BC6" s="439"/>
      <c r="BD6" s="441"/>
      <c r="BE6" s="441"/>
      <c r="BF6" s="439"/>
      <c r="BG6" s="439"/>
      <c r="BH6" s="441"/>
      <c r="BI6" s="441"/>
      <c r="BJ6" s="513" t="s">
        <v>106</v>
      </c>
      <c r="BK6" s="513"/>
      <c r="BL6" s="513"/>
      <c r="BM6" s="442" t="s">
        <v>362</v>
      </c>
      <c r="BN6" s="442"/>
      <c r="BO6" s="442"/>
      <c r="BP6" s="442" t="s">
        <v>362</v>
      </c>
      <c r="BQ6" s="442"/>
      <c r="BR6" s="442"/>
      <c r="BS6" s="512" t="s">
        <v>362</v>
      </c>
      <c r="BT6" s="512"/>
      <c r="BU6" s="512"/>
      <c r="BV6" s="512"/>
    </row>
    <row r="7" spans="1:87" s="445" customFormat="1" ht="67.5" x14ac:dyDescent="0.25">
      <c r="A7" s="309" t="s">
        <v>361</v>
      </c>
      <c r="B7" s="291" t="s">
        <v>1</v>
      </c>
      <c r="C7" s="291" t="s">
        <v>494</v>
      </c>
      <c r="D7" s="303" t="s">
        <v>98</v>
      </c>
      <c r="E7" s="291" t="s">
        <v>495</v>
      </c>
      <c r="F7" s="291" t="s">
        <v>384</v>
      </c>
      <c r="G7" s="291" t="s">
        <v>2</v>
      </c>
      <c r="H7" s="291" t="s">
        <v>3</v>
      </c>
      <c r="I7" s="292" t="s">
        <v>90</v>
      </c>
      <c r="J7" s="293" t="s">
        <v>360</v>
      </c>
      <c r="K7" s="293" t="s">
        <v>297</v>
      </c>
      <c r="L7" s="293" t="s">
        <v>298</v>
      </c>
      <c r="M7" s="293" t="s">
        <v>496</v>
      </c>
      <c r="N7" s="294" t="s">
        <v>206</v>
      </c>
      <c r="O7" s="294" t="s">
        <v>46</v>
      </c>
      <c r="P7" s="294" t="s">
        <v>47</v>
      </c>
      <c r="Q7" s="294" t="s">
        <v>48</v>
      </c>
      <c r="R7" s="295" t="s">
        <v>299</v>
      </c>
      <c r="S7" s="295" t="s">
        <v>113</v>
      </c>
      <c r="T7" s="313" t="s">
        <v>497</v>
      </c>
      <c r="U7" s="313" t="s">
        <v>498</v>
      </c>
      <c r="V7" s="342" t="s">
        <v>499</v>
      </c>
      <c r="W7" s="342" t="s">
        <v>744</v>
      </c>
      <c r="X7" s="343" t="s">
        <v>618</v>
      </c>
      <c r="Y7" s="343" t="s">
        <v>619</v>
      </c>
      <c r="Z7" s="342" t="s">
        <v>717</v>
      </c>
      <c r="AA7" s="342" t="s">
        <v>745</v>
      </c>
      <c r="AB7" s="343" t="s">
        <v>720</v>
      </c>
      <c r="AC7" s="343" t="s">
        <v>721</v>
      </c>
      <c r="AD7" s="342" t="s">
        <v>718</v>
      </c>
      <c r="AE7" s="342" t="s">
        <v>719</v>
      </c>
      <c r="AF7" s="343" t="s">
        <v>722</v>
      </c>
      <c r="AG7" s="343" t="s">
        <v>723</v>
      </c>
      <c r="AH7" s="342" t="s">
        <v>724</v>
      </c>
      <c r="AI7" s="342" t="s">
        <v>725</v>
      </c>
      <c r="AJ7" s="296" t="s">
        <v>726</v>
      </c>
      <c r="AK7" s="296" t="s">
        <v>727</v>
      </c>
      <c r="AL7" s="340" t="s">
        <v>730</v>
      </c>
      <c r="AM7" s="340" t="s">
        <v>731</v>
      </c>
      <c r="AN7" s="296" t="s">
        <v>732</v>
      </c>
      <c r="AO7" s="296" t="s">
        <v>733</v>
      </c>
      <c r="AP7" s="340" t="s">
        <v>746</v>
      </c>
      <c r="AQ7" s="340" t="s">
        <v>747</v>
      </c>
      <c r="AR7" s="296" t="s">
        <v>752</v>
      </c>
      <c r="AS7" s="296" t="s">
        <v>753</v>
      </c>
      <c r="AT7" s="340" t="s">
        <v>748</v>
      </c>
      <c r="AU7" s="340" t="s">
        <v>749</v>
      </c>
      <c r="AV7" s="296" t="s">
        <v>754</v>
      </c>
      <c r="AW7" s="296" t="s">
        <v>755</v>
      </c>
      <c r="AX7" s="340" t="s">
        <v>750</v>
      </c>
      <c r="AY7" s="340" t="s">
        <v>751</v>
      </c>
      <c r="AZ7" s="296" t="s">
        <v>756</v>
      </c>
      <c r="BA7" s="296" t="s">
        <v>757</v>
      </c>
      <c r="BB7" s="340" t="s">
        <v>758</v>
      </c>
      <c r="BC7" s="340" t="s">
        <v>759</v>
      </c>
      <c r="BD7" s="296" t="s">
        <v>760</v>
      </c>
      <c r="BE7" s="296" t="s">
        <v>761</v>
      </c>
      <c r="BF7" s="340" t="s">
        <v>762</v>
      </c>
      <c r="BG7" s="340" t="s">
        <v>763</v>
      </c>
      <c r="BH7" s="296" t="s">
        <v>764</v>
      </c>
      <c r="BI7" s="296" t="s">
        <v>765</v>
      </c>
      <c r="BJ7" s="470" t="s">
        <v>497</v>
      </c>
      <c r="BK7" s="471" t="s">
        <v>498</v>
      </c>
      <c r="BL7" s="470" t="s">
        <v>514</v>
      </c>
      <c r="BM7" s="344" t="s">
        <v>767</v>
      </c>
      <c r="BN7" s="344" t="s">
        <v>768</v>
      </c>
      <c r="BO7" s="316" t="s">
        <v>515</v>
      </c>
      <c r="BP7" s="344" t="s">
        <v>769</v>
      </c>
      <c r="BQ7" s="344" t="s">
        <v>770</v>
      </c>
      <c r="BR7" s="316" t="s">
        <v>771</v>
      </c>
      <c r="BS7" s="280" t="s">
        <v>358</v>
      </c>
      <c r="BT7" s="280" t="s">
        <v>518</v>
      </c>
      <c r="BU7" s="280"/>
      <c r="BV7" s="280"/>
      <c r="BW7" s="443" t="s">
        <v>500</v>
      </c>
      <c r="BX7" s="443" t="s">
        <v>501</v>
      </c>
      <c r="BY7" s="443" t="s">
        <v>502</v>
      </c>
      <c r="BZ7" s="443" t="s">
        <v>503</v>
      </c>
      <c r="CA7" s="443" t="s">
        <v>504</v>
      </c>
      <c r="CB7" s="443" t="s">
        <v>505</v>
      </c>
      <c r="CC7" s="443" t="s">
        <v>506</v>
      </c>
      <c r="CD7" s="443" t="s">
        <v>507</v>
      </c>
      <c r="CE7" s="443" t="s">
        <v>508</v>
      </c>
      <c r="CF7" s="443" t="s">
        <v>509</v>
      </c>
      <c r="CG7" s="443" t="s">
        <v>510</v>
      </c>
      <c r="CH7" s="443" t="s">
        <v>511</v>
      </c>
      <c r="CI7" s="444" t="s">
        <v>512</v>
      </c>
    </row>
    <row r="8" spans="1:87" ht="15" customHeight="1" x14ac:dyDescent="0.2">
      <c r="A8" s="457" t="s">
        <v>513</v>
      </c>
      <c r="B8" s="334"/>
      <c r="C8" s="334"/>
      <c r="D8" s="335"/>
      <c r="E8" s="334"/>
      <c r="F8" s="334"/>
      <c r="G8" s="335"/>
      <c r="H8" s="335"/>
      <c r="I8" s="335"/>
      <c r="J8" s="335"/>
      <c r="K8" s="335"/>
      <c r="L8" s="335"/>
      <c r="M8" s="335"/>
      <c r="N8" s="335"/>
      <c r="O8" s="335"/>
      <c r="P8" s="336"/>
      <c r="Q8" s="337"/>
      <c r="R8" s="334"/>
      <c r="S8" s="334"/>
      <c r="T8" s="334"/>
      <c r="U8" s="334"/>
      <c r="V8" s="341"/>
      <c r="W8" s="341"/>
      <c r="X8" s="334"/>
      <c r="Y8" s="334"/>
      <c r="Z8" s="334"/>
      <c r="AA8" s="334"/>
      <c r="AB8" s="334"/>
      <c r="AC8" s="334"/>
      <c r="AD8" s="334"/>
      <c r="AE8" s="341"/>
      <c r="AF8" s="341"/>
      <c r="AG8" s="341"/>
      <c r="AH8" s="341"/>
      <c r="AI8" s="341"/>
      <c r="AJ8" s="334"/>
      <c r="AK8" s="334"/>
      <c r="AL8" s="334"/>
      <c r="AM8" s="334"/>
      <c r="AN8" s="334"/>
      <c r="AO8" s="334"/>
      <c r="AP8" s="341"/>
      <c r="AQ8" s="341"/>
      <c r="AR8" s="334"/>
      <c r="AS8" s="334"/>
      <c r="AT8" s="341"/>
      <c r="AU8" s="341"/>
      <c r="AV8" s="334"/>
      <c r="AW8" s="334"/>
      <c r="AX8" s="341"/>
      <c r="AY8" s="341"/>
      <c r="AZ8" s="334"/>
      <c r="BA8" s="334"/>
      <c r="BB8" s="341"/>
      <c r="BC8" s="341"/>
      <c r="BD8" s="334"/>
      <c r="BE8" s="334"/>
      <c r="BF8" s="341"/>
      <c r="BG8" s="341"/>
      <c r="BH8" s="334"/>
      <c r="BI8" s="334"/>
      <c r="BJ8" s="334"/>
      <c r="BK8" s="334"/>
      <c r="BL8" s="334"/>
      <c r="BM8" s="334"/>
      <c r="BN8" s="334"/>
      <c r="BO8" s="334"/>
      <c r="BP8" s="334"/>
      <c r="BQ8" s="334"/>
      <c r="BR8" s="334"/>
      <c r="BS8" s="334"/>
      <c r="BT8" s="334"/>
      <c r="BU8" s="334"/>
      <c r="BV8" s="334"/>
      <c r="BW8" s="334"/>
      <c r="BX8" s="334"/>
      <c r="BY8" s="334"/>
      <c r="BZ8" s="334"/>
      <c r="CA8" s="334"/>
      <c r="CB8" s="334"/>
      <c r="CC8" s="334"/>
      <c r="CD8" s="334"/>
      <c r="CE8" s="334"/>
      <c r="CF8" s="334"/>
      <c r="CG8" s="334"/>
      <c r="CH8" s="334"/>
      <c r="CI8" s="338"/>
    </row>
    <row r="9" spans="1:87" ht="15" customHeight="1" x14ac:dyDescent="0.2">
      <c r="A9" s="457" t="s">
        <v>1025</v>
      </c>
      <c r="B9" s="334"/>
      <c r="C9" s="334"/>
      <c r="D9" s="335"/>
      <c r="E9" s="334"/>
      <c r="F9" s="334"/>
      <c r="G9" s="335"/>
      <c r="H9" s="335"/>
      <c r="I9" s="335"/>
      <c r="J9" s="335"/>
      <c r="K9" s="335"/>
      <c r="L9" s="335"/>
      <c r="M9" s="335"/>
      <c r="N9" s="335"/>
      <c r="O9" s="335"/>
      <c r="P9" s="336"/>
      <c r="Q9" s="337"/>
      <c r="R9" s="334"/>
      <c r="S9" s="334"/>
      <c r="T9" s="334"/>
      <c r="U9" s="334"/>
      <c r="V9" s="341"/>
      <c r="W9" s="341"/>
      <c r="X9" s="334"/>
      <c r="Y9" s="334"/>
      <c r="Z9" s="334"/>
      <c r="AA9" s="334"/>
      <c r="AB9" s="334"/>
      <c r="AC9" s="334"/>
      <c r="AD9" s="334"/>
      <c r="AE9" s="341"/>
      <c r="AF9" s="341"/>
      <c r="AG9" s="341"/>
      <c r="AH9" s="341"/>
      <c r="AI9" s="341"/>
      <c r="AJ9" s="334"/>
      <c r="AK9" s="334"/>
      <c r="AL9" s="334"/>
      <c r="AM9" s="334"/>
      <c r="AN9" s="334"/>
      <c r="AO9" s="334"/>
      <c r="AP9" s="341"/>
      <c r="AQ9" s="341"/>
      <c r="AR9" s="334"/>
      <c r="AS9" s="334"/>
      <c r="AT9" s="341"/>
      <c r="AU9" s="341"/>
      <c r="AV9" s="334"/>
      <c r="AW9" s="334"/>
      <c r="AX9" s="341"/>
      <c r="AY9" s="341"/>
      <c r="AZ9" s="334"/>
      <c r="BA9" s="334"/>
      <c r="BB9" s="341"/>
      <c r="BC9" s="341"/>
      <c r="BD9" s="334"/>
      <c r="BE9" s="334"/>
      <c r="BF9" s="341"/>
      <c r="BG9" s="341"/>
      <c r="BH9" s="334"/>
      <c r="BI9" s="334"/>
      <c r="BJ9" s="334"/>
      <c r="BK9" s="334"/>
      <c r="BL9" s="334"/>
      <c r="BM9" s="334"/>
      <c r="BN9" s="334"/>
      <c r="BO9" s="334"/>
      <c r="BP9" s="334"/>
      <c r="BQ9" s="334"/>
      <c r="BR9" s="334"/>
      <c r="BS9" s="334"/>
      <c r="BT9" s="334"/>
      <c r="BU9" s="334"/>
      <c r="BV9" s="334"/>
      <c r="BW9" s="334"/>
      <c r="BX9" s="334"/>
      <c r="BY9" s="334"/>
      <c r="BZ9" s="334"/>
      <c r="CA9" s="334"/>
      <c r="CB9" s="334"/>
      <c r="CC9" s="334"/>
      <c r="CD9" s="334"/>
      <c r="CE9" s="334"/>
      <c r="CF9" s="334"/>
      <c r="CG9" s="334"/>
      <c r="CH9" s="334"/>
      <c r="CI9" s="338"/>
    </row>
    <row r="10" spans="1:87" ht="15" customHeight="1" x14ac:dyDescent="0.2">
      <c r="A10" s="423">
        <v>62001001</v>
      </c>
      <c r="B10" s="304" t="s">
        <v>1026</v>
      </c>
      <c r="C10" s="304" t="s">
        <v>626</v>
      </c>
      <c r="D10" s="326" t="s">
        <v>458</v>
      </c>
      <c r="E10" s="283" t="s">
        <v>459</v>
      </c>
      <c r="F10" s="310" t="str">
        <f t="shared" ref="F10:F19" si="0">LEFT(E10,8)</f>
        <v>##INFO(T</v>
      </c>
      <c r="G10" s="298" t="s">
        <v>460</v>
      </c>
      <c r="H10" s="298" t="s">
        <v>461</v>
      </c>
      <c r="I10" s="306"/>
      <c r="J10" s="299" t="s">
        <v>1027</v>
      </c>
      <c r="K10" s="299" t="s">
        <v>1028</v>
      </c>
      <c r="L10" s="299" t="s">
        <v>1029</v>
      </c>
      <c r="M10" s="299" t="s">
        <v>1030</v>
      </c>
      <c r="N10" s="284" t="s">
        <v>466</v>
      </c>
      <c r="O10" s="284" t="s">
        <v>467</v>
      </c>
      <c r="P10" s="284" t="s">
        <v>468</v>
      </c>
      <c r="Q10" s="284" t="s">
        <v>469</v>
      </c>
      <c r="R10" s="285" t="s">
        <v>1031</v>
      </c>
      <c r="S10" s="285" t="e">
        <f t="shared" ref="S10:S19" si="1">R10+R9</f>
        <v>#VALUE!</v>
      </c>
      <c r="T10" s="314" t="s">
        <v>1032</v>
      </c>
      <c r="U10" s="314" t="s">
        <v>1033</v>
      </c>
      <c r="V10" s="289" t="s">
        <v>1034</v>
      </c>
      <c r="W10" s="289" t="s">
        <v>1035</v>
      </c>
      <c r="X10" s="289" t="e">
        <f t="shared" ref="X10:X19" si="2">W10-V10</f>
        <v>#VALUE!</v>
      </c>
      <c r="Y10" s="289" t="e">
        <f t="shared" ref="Y10:Y19" si="3">X10/$R10</f>
        <v>#VALUE!</v>
      </c>
      <c r="Z10" s="308" t="s">
        <v>1036</v>
      </c>
      <c r="AA10" s="289" t="s">
        <v>1037</v>
      </c>
      <c r="AB10" s="289" t="e">
        <f t="shared" ref="AB10:AB19" si="4">AA10-Z10</f>
        <v>#VALUE!</v>
      </c>
      <c r="AC10" s="289" t="e">
        <f t="shared" ref="AC10:AC19" si="5">AB10/$R10</f>
        <v>#VALUE!</v>
      </c>
      <c r="AD10" s="308" t="s">
        <v>1038</v>
      </c>
      <c r="AE10" s="289" t="s">
        <v>1039</v>
      </c>
      <c r="AF10" s="289" t="e">
        <f t="shared" ref="AF10:AF19" si="6">AE10-AD10</f>
        <v>#VALUE!</v>
      </c>
      <c r="AG10" s="289" t="e">
        <f t="shared" ref="AG10:AG19" si="7">AF10/$R10</f>
        <v>#VALUE!</v>
      </c>
      <c r="AH10" s="308" t="s">
        <v>1040</v>
      </c>
      <c r="AI10" s="289" t="s">
        <v>1041</v>
      </c>
      <c r="AJ10" s="289" t="e">
        <f t="shared" ref="AJ10:AJ19" si="8">AI10-AH10</f>
        <v>#VALUE!</v>
      </c>
      <c r="AK10" s="307" t="e">
        <f t="shared" ref="AK10:AK19" si="9">AJ10/$R10</f>
        <v>#VALUE!</v>
      </c>
      <c r="AL10" s="308" t="s">
        <v>1042</v>
      </c>
      <c r="AM10" s="289" t="s">
        <v>1043</v>
      </c>
      <c r="AN10" s="289" t="e">
        <f t="shared" ref="AN10:AN19" si="10">AM10-AL10</f>
        <v>#VALUE!</v>
      </c>
      <c r="AO10" s="307" t="e">
        <f t="shared" ref="AO10:AO19" si="11">AN10/$R10</f>
        <v>#VALUE!</v>
      </c>
      <c r="AP10" s="308" t="s">
        <v>1044</v>
      </c>
      <c r="AQ10" s="289" t="s">
        <v>1045</v>
      </c>
      <c r="AR10" s="289" t="e">
        <f t="shared" ref="AR10:AR19" si="12">AQ10-AP10</f>
        <v>#VALUE!</v>
      </c>
      <c r="AS10" s="307" t="e">
        <f t="shared" ref="AS10:AS19" si="13">AR10/$R10</f>
        <v>#VALUE!</v>
      </c>
      <c r="AT10" s="308" t="s">
        <v>1046</v>
      </c>
      <c r="AU10" s="289" t="s">
        <v>1047</v>
      </c>
      <c r="AV10" s="289" t="e">
        <f t="shared" ref="AV10:AV19" si="14">AU10-AT10</f>
        <v>#VALUE!</v>
      </c>
      <c r="AW10" s="307" t="e">
        <f t="shared" ref="AW10:AW19" si="15">AV10/$R10</f>
        <v>#VALUE!</v>
      </c>
      <c r="AX10" s="308" t="s">
        <v>1048</v>
      </c>
      <c r="AY10" s="289" t="s">
        <v>1049</v>
      </c>
      <c r="AZ10" s="289" t="e">
        <f t="shared" ref="AZ10:AZ19" si="16">AY10-AX10</f>
        <v>#VALUE!</v>
      </c>
      <c r="BA10" s="307" t="e">
        <f t="shared" ref="BA10:BA19" si="17">AZ10/$R10</f>
        <v>#VALUE!</v>
      </c>
      <c r="BB10" s="308" t="s">
        <v>1050</v>
      </c>
      <c r="BC10" s="289" t="s">
        <v>1051</v>
      </c>
      <c r="BD10" s="289" t="e">
        <f t="shared" ref="BD10:BD19" si="18">BC10-BB10</f>
        <v>#VALUE!</v>
      </c>
      <c r="BE10" s="307" t="e">
        <f t="shared" ref="BE10:BE19" si="19">BD10/$R10</f>
        <v>#VALUE!</v>
      </c>
      <c r="BF10" s="308" t="s">
        <v>1052</v>
      </c>
      <c r="BG10" s="289" t="s">
        <v>1053</v>
      </c>
      <c r="BH10" s="289" t="e">
        <f t="shared" ref="BH10:BH19" si="20">BG10-BF10</f>
        <v>#VALUE!</v>
      </c>
      <c r="BI10" s="307" t="e">
        <f t="shared" ref="BI10:BI19" si="21">BH10/$R10</f>
        <v>#VALUE!</v>
      </c>
      <c r="BJ10" s="281" t="s">
        <v>1032</v>
      </c>
      <c r="BK10" s="281" t="s">
        <v>1054</v>
      </c>
      <c r="BL10" s="281" t="e">
        <f t="shared" ref="BL10:BL19" si="22">BK10-BJ10</f>
        <v>#VALUE!</v>
      </c>
      <c r="BM10" s="408" t="s">
        <v>1052</v>
      </c>
      <c r="BN10" s="458" t="s">
        <v>1053</v>
      </c>
      <c r="BO10" s="458" t="e">
        <f t="shared" ref="BO10:BO19" si="23">BN10-BM10</f>
        <v>#VALUE!</v>
      </c>
      <c r="BP10" s="408" t="s">
        <v>1050</v>
      </c>
      <c r="BQ10" s="458" t="s">
        <v>1051</v>
      </c>
      <c r="BR10" s="458" t="e">
        <f t="shared" ref="BR10:BR19" si="24">BQ10-BP10</f>
        <v>#VALUE!</v>
      </c>
      <c r="BS10" s="281"/>
      <c r="BT10" s="281"/>
      <c r="BU10" s="281"/>
      <c r="BV10" s="281"/>
      <c r="BW10" s="298" t="s">
        <v>479</v>
      </c>
      <c r="BX10" s="422" t="s">
        <v>1055</v>
      </c>
      <c r="BY10" s="422" t="s">
        <v>1056</v>
      </c>
      <c r="BZ10" s="422" t="s">
        <v>1057</v>
      </c>
      <c r="CA10" s="422" t="s">
        <v>1058</v>
      </c>
      <c r="CB10" s="422" t="s">
        <v>1059</v>
      </c>
      <c r="CC10" s="422" t="s">
        <v>1060</v>
      </c>
      <c r="CD10" s="422" t="s">
        <v>1061</v>
      </c>
      <c r="CE10" s="422" t="s">
        <v>1062</v>
      </c>
      <c r="CF10" s="422" t="s">
        <v>1063</v>
      </c>
      <c r="CG10" s="422" t="s">
        <v>1064</v>
      </c>
      <c r="CH10" s="422" t="s">
        <v>1065</v>
      </c>
      <c r="CI10" s="422" t="s">
        <v>1066</v>
      </c>
    </row>
    <row r="11" spans="1:87" ht="15" customHeight="1" x14ac:dyDescent="0.2">
      <c r="A11" s="423">
        <v>62001002</v>
      </c>
      <c r="B11" s="297" t="s">
        <v>617</v>
      </c>
      <c r="C11" s="297" t="s">
        <v>626</v>
      </c>
      <c r="D11" s="326" t="s">
        <v>458</v>
      </c>
      <c r="E11" s="283" t="s">
        <v>459</v>
      </c>
      <c r="F11" s="310" t="str">
        <f t="shared" si="0"/>
        <v>##INFO(T</v>
      </c>
      <c r="G11" s="298" t="s">
        <v>460</v>
      </c>
      <c r="H11" s="298" t="s">
        <v>461</v>
      </c>
      <c r="I11" s="306"/>
      <c r="J11" s="299" t="s">
        <v>1027</v>
      </c>
      <c r="K11" s="299" t="s">
        <v>1028</v>
      </c>
      <c r="L11" s="299" t="s">
        <v>1029</v>
      </c>
      <c r="M11" s="299" t="s">
        <v>1030</v>
      </c>
      <c r="N11" s="284" t="s">
        <v>466</v>
      </c>
      <c r="O11" s="284" t="s">
        <v>467</v>
      </c>
      <c r="P11" s="284" t="s">
        <v>468</v>
      </c>
      <c r="Q11" s="284" t="s">
        <v>469</v>
      </c>
      <c r="R11" s="285" t="s">
        <v>1031</v>
      </c>
      <c r="S11" s="285" t="e">
        <f t="shared" si="1"/>
        <v>#VALUE!</v>
      </c>
      <c r="T11" s="314" t="s">
        <v>1032</v>
      </c>
      <c r="U11" s="314" t="s">
        <v>1033</v>
      </c>
      <c r="V11" s="289" t="s">
        <v>1034</v>
      </c>
      <c r="W11" s="289" t="s">
        <v>1035</v>
      </c>
      <c r="X11" s="289" t="e">
        <f t="shared" si="2"/>
        <v>#VALUE!</v>
      </c>
      <c r="Y11" s="289" t="e">
        <f t="shared" si="3"/>
        <v>#VALUE!</v>
      </c>
      <c r="Z11" s="308" t="s">
        <v>1036</v>
      </c>
      <c r="AA11" s="289" t="s">
        <v>1037</v>
      </c>
      <c r="AB11" s="289" t="e">
        <f t="shared" si="4"/>
        <v>#VALUE!</v>
      </c>
      <c r="AC11" s="289" t="e">
        <f t="shared" si="5"/>
        <v>#VALUE!</v>
      </c>
      <c r="AD11" s="308" t="s">
        <v>1038</v>
      </c>
      <c r="AE11" s="289" t="s">
        <v>1039</v>
      </c>
      <c r="AF11" s="289" t="e">
        <f t="shared" si="6"/>
        <v>#VALUE!</v>
      </c>
      <c r="AG11" s="289" t="e">
        <f t="shared" si="7"/>
        <v>#VALUE!</v>
      </c>
      <c r="AH11" s="308" t="s">
        <v>1040</v>
      </c>
      <c r="AI11" s="289" t="s">
        <v>1041</v>
      </c>
      <c r="AJ11" s="289" t="e">
        <f t="shared" si="8"/>
        <v>#VALUE!</v>
      </c>
      <c r="AK11" s="307" t="e">
        <f t="shared" si="9"/>
        <v>#VALUE!</v>
      </c>
      <c r="AL11" s="308" t="s">
        <v>1042</v>
      </c>
      <c r="AM11" s="289" t="s">
        <v>1043</v>
      </c>
      <c r="AN11" s="289" t="e">
        <f t="shared" si="10"/>
        <v>#VALUE!</v>
      </c>
      <c r="AO11" s="307" t="e">
        <f t="shared" si="11"/>
        <v>#VALUE!</v>
      </c>
      <c r="AP11" s="308" t="s">
        <v>1044</v>
      </c>
      <c r="AQ11" s="289" t="s">
        <v>1045</v>
      </c>
      <c r="AR11" s="289" t="e">
        <f t="shared" si="12"/>
        <v>#VALUE!</v>
      </c>
      <c r="AS11" s="307" t="e">
        <f t="shared" si="13"/>
        <v>#VALUE!</v>
      </c>
      <c r="AT11" s="308" t="s">
        <v>1046</v>
      </c>
      <c r="AU11" s="289" t="s">
        <v>1047</v>
      </c>
      <c r="AV11" s="289" t="e">
        <f t="shared" si="14"/>
        <v>#VALUE!</v>
      </c>
      <c r="AW11" s="307" t="e">
        <f t="shared" si="15"/>
        <v>#VALUE!</v>
      </c>
      <c r="AX11" s="308" t="s">
        <v>1048</v>
      </c>
      <c r="AY11" s="289" t="s">
        <v>1049</v>
      </c>
      <c r="AZ11" s="289" t="e">
        <f t="shared" si="16"/>
        <v>#VALUE!</v>
      </c>
      <c r="BA11" s="307" t="e">
        <f t="shared" si="17"/>
        <v>#VALUE!</v>
      </c>
      <c r="BB11" s="308" t="s">
        <v>1050</v>
      </c>
      <c r="BC11" s="289" t="s">
        <v>1051</v>
      </c>
      <c r="BD11" s="289" t="e">
        <f t="shared" si="18"/>
        <v>#VALUE!</v>
      </c>
      <c r="BE11" s="307" t="e">
        <f t="shared" si="19"/>
        <v>#VALUE!</v>
      </c>
      <c r="BF11" s="308" t="s">
        <v>1052</v>
      </c>
      <c r="BG11" s="289" t="s">
        <v>1053</v>
      </c>
      <c r="BH11" s="289" t="e">
        <f t="shared" si="20"/>
        <v>#VALUE!</v>
      </c>
      <c r="BI11" s="307" t="e">
        <f t="shared" si="21"/>
        <v>#VALUE!</v>
      </c>
      <c r="BJ11" s="281" t="s">
        <v>1032</v>
      </c>
      <c r="BK11" s="281" t="s">
        <v>1054</v>
      </c>
      <c r="BL11" s="281" t="e">
        <f t="shared" si="22"/>
        <v>#VALUE!</v>
      </c>
      <c r="BM11" s="408" t="s">
        <v>1052</v>
      </c>
      <c r="BN11" s="458" t="s">
        <v>1053</v>
      </c>
      <c r="BO11" s="458" t="e">
        <f t="shared" si="23"/>
        <v>#VALUE!</v>
      </c>
      <c r="BP11" s="408" t="s">
        <v>1050</v>
      </c>
      <c r="BQ11" s="458" t="s">
        <v>1051</v>
      </c>
      <c r="BR11" s="458" t="e">
        <f t="shared" si="24"/>
        <v>#VALUE!</v>
      </c>
      <c r="BS11" s="281"/>
      <c r="BT11" s="281"/>
      <c r="BU11" s="281"/>
      <c r="BV11" s="281"/>
      <c r="BW11" s="298" t="s">
        <v>479</v>
      </c>
      <c r="BX11" s="422" t="s">
        <v>1055</v>
      </c>
      <c r="BY11" s="422" t="s">
        <v>1056</v>
      </c>
      <c r="BZ11" s="422" t="s">
        <v>1057</v>
      </c>
      <c r="CA11" s="422" t="s">
        <v>1058</v>
      </c>
      <c r="CB11" s="422" t="s">
        <v>1059</v>
      </c>
      <c r="CC11" s="422" t="s">
        <v>1060</v>
      </c>
      <c r="CD11" s="422" t="s">
        <v>1061</v>
      </c>
      <c r="CE11" s="422" t="s">
        <v>1062</v>
      </c>
      <c r="CF11" s="422" t="s">
        <v>1063</v>
      </c>
      <c r="CG11" s="422" t="s">
        <v>1064</v>
      </c>
      <c r="CH11" s="422" t="s">
        <v>1065</v>
      </c>
      <c r="CI11" s="422" t="s">
        <v>1066</v>
      </c>
    </row>
    <row r="12" spans="1:87" ht="15" customHeight="1" x14ac:dyDescent="0.2">
      <c r="A12" s="423">
        <v>62001002</v>
      </c>
      <c r="B12" s="297" t="s">
        <v>617</v>
      </c>
      <c r="C12" s="297" t="s">
        <v>627</v>
      </c>
      <c r="D12" s="326" t="s">
        <v>458</v>
      </c>
      <c r="E12" s="283" t="s">
        <v>459</v>
      </c>
      <c r="F12" s="310" t="str">
        <f t="shared" si="0"/>
        <v>##INFO(T</v>
      </c>
      <c r="G12" s="298" t="s">
        <v>460</v>
      </c>
      <c r="H12" s="298" t="s">
        <v>461</v>
      </c>
      <c r="I12" s="306"/>
      <c r="J12" s="299" t="s">
        <v>1067</v>
      </c>
      <c r="K12" s="299" t="s">
        <v>1068</v>
      </c>
      <c r="L12" s="299" t="s">
        <v>1069</v>
      </c>
      <c r="M12" s="299" t="s">
        <v>1070</v>
      </c>
      <c r="N12" s="284" t="s">
        <v>466</v>
      </c>
      <c r="O12" s="284" t="s">
        <v>467</v>
      </c>
      <c r="P12" s="284" t="s">
        <v>468</v>
      </c>
      <c r="Q12" s="284" t="s">
        <v>469</v>
      </c>
      <c r="R12" s="285" t="s">
        <v>1071</v>
      </c>
      <c r="S12" s="285" t="e">
        <f t="shared" si="1"/>
        <v>#VALUE!</v>
      </c>
      <c r="T12" s="314" t="s">
        <v>1072</v>
      </c>
      <c r="U12" s="314" t="s">
        <v>1073</v>
      </c>
      <c r="V12" s="289" t="s">
        <v>1074</v>
      </c>
      <c r="W12" s="289" t="s">
        <v>1075</v>
      </c>
      <c r="X12" s="289" t="e">
        <f t="shared" si="2"/>
        <v>#VALUE!</v>
      </c>
      <c r="Y12" s="289" t="e">
        <f t="shared" si="3"/>
        <v>#VALUE!</v>
      </c>
      <c r="Z12" s="308" t="s">
        <v>1076</v>
      </c>
      <c r="AA12" s="289" t="s">
        <v>1077</v>
      </c>
      <c r="AB12" s="289" t="e">
        <f t="shared" si="4"/>
        <v>#VALUE!</v>
      </c>
      <c r="AC12" s="289" t="e">
        <f t="shared" si="5"/>
        <v>#VALUE!</v>
      </c>
      <c r="AD12" s="308" t="s">
        <v>1078</v>
      </c>
      <c r="AE12" s="289" t="s">
        <v>1079</v>
      </c>
      <c r="AF12" s="289" t="e">
        <f t="shared" si="6"/>
        <v>#VALUE!</v>
      </c>
      <c r="AG12" s="289" t="e">
        <f t="shared" si="7"/>
        <v>#VALUE!</v>
      </c>
      <c r="AH12" s="308" t="s">
        <v>1080</v>
      </c>
      <c r="AI12" s="289" t="s">
        <v>1081</v>
      </c>
      <c r="AJ12" s="289" t="e">
        <f t="shared" si="8"/>
        <v>#VALUE!</v>
      </c>
      <c r="AK12" s="307" t="e">
        <f t="shared" si="9"/>
        <v>#VALUE!</v>
      </c>
      <c r="AL12" s="308" t="s">
        <v>1082</v>
      </c>
      <c r="AM12" s="289" t="s">
        <v>1083</v>
      </c>
      <c r="AN12" s="289" t="e">
        <f t="shared" si="10"/>
        <v>#VALUE!</v>
      </c>
      <c r="AO12" s="307" t="e">
        <f t="shared" si="11"/>
        <v>#VALUE!</v>
      </c>
      <c r="AP12" s="308" t="s">
        <v>1084</v>
      </c>
      <c r="AQ12" s="289" t="s">
        <v>1085</v>
      </c>
      <c r="AR12" s="289" t="e">
        <f t="shared" si="12"/>
        <v>#VALUE!</v>
      </c>
      <c r="AS12" s="307" t="e">
        <f t="shared" si="13"/>
        <v>#VALUE!</v>
      </c>
      <c r="AT12" s="308" t="s">
        <v>1086</v>
      </c>
      <c r="AU12" s="289" t="s">
        <v>1087</v>
      </c>
      <c r="AV12" s="289" t="e">
        <f t="shared" si="14"/>
        <v>#VALUE!</v>
      </c>
      <c r="AW12" s="307" t="e">
        <f t="shared" si="15"/>
        <v>#VALUE!</v>
      </c>
      <c r="AX12" s="308" t="s">
        <v>1088</v>
      </c>
      <c r="AY12" s="289" t="s">
        <v>1089</v>
      </c>
      <c r="AZ12" s="289" t="e">
        <f t="shared" si="16"/>
        <v>#VALUE!</v>
      </c>
      <c r="BA12" s="307" t="e">
        <f t="shared" si="17"/>
        <v>#VALUE!</v>
      </c>
      <c r="BB12" s="308" t="s">
        <v>1090</v>
      </c>
      <c r="BC12" s="289" t="s">
        <v>1091</v>
      </c>
      <c r="BD12" s="289" t="e">
        <f t="shared" si="18"/>
        <v>#VALUE!</v>
      </c>
      <c r="BE12" s="307" t="e">
        <f t="shared" si="19"/>
        <v>#VALUE!</v>
      </c>
      <c r="BF12" s="308" t="s">
        <v>1092</v>
      </c>
      <c r="BG12" s="289" t="s">
        <v>1093</v>
      </c>
      <c r="BH12" s="289" t="e">
        <f t="shared" si="20"/>
        <v>#VALUE!</v>
      </c>
      <c r="BI12" s="307" t="e">
        <f t="shared" si="21"/>
        <v>#VALUE!</v>
      </c>
      <c r="BJ12" s="281" t="s">
        <v>1072</v>
      </c>
      <c r="BK12" s="281" t="s">
        <v>1094</v>
      </c>
      <c r="BL12" s="281" t="e">
        <f t="shared" si="22"/>
        <v>#VALUE!</v>
      </c>
      <c r="BM12" s="408" t="s">
        <v>1092</v>
      </c>
      <c r="BN12" s="458" t="s">
        <v>1093</v>
      </c>
      <c r="BO12" s="458" t="e">
        <f t="shared" si="23"/>
        <v>#VALUE!</v>
      </c>
      <c r="BP12" s="408" t="s">
        <v>1090</v>
      </c>
      <c r="BQ12" s="458" t="s">
        <v>1091</v>
      </c>
      <c r="BR12" s="458" t="e">
        <f t="shared" si="24"/>
        <v>#VALUE!</v>
      </c>
      <c r="BS12" s="281"/>
      <c r="BT12" s="281"/>
      <c r="BU12" s="281"/>
      <c r="BV12" s="281"/>
      <c r="BW12" s="298" t="s">
        <v>479</v>
      </c>
      <c r="BX12" s="422" t="s">
        <v>1095</v>
      </c>
      <c r="BY12" s="422" t="s">
        <v>1096</v>
      </c>
      <c r="BZ12" s="422" t="s">
        <v>1097</v>
      </c>
      <c r="CA12" s="422" t="s">
        <v>1098</v>
      </c>
      <c r="CB12" s="422" t="s">
        <v>1099</v>
      </c>
      <c r="CC12" s="422" t="s">
        <v>1100</v>
      </c>
      <c r="CD12" s="422" t="s">
        <v>1101</v>
      </c>
      <c r="CE12" s="422" t="s">
        <v>1102</v>
      </c>
      <c r="CF12" s="422" t="s">
        <v>1103</v>
      </c>
      <c r="CG12" s="422" t="s">
        <v>1104</v>
      </c>
      <c r="CH12" s="422" t="s">
        <v>1105</v>
      </c>
      <c r="CI12" s="422" t="s">
        <v>1106</v>
      </c>
    </row>
    <row r="13" spans="1:87" ht="15" customHeight="1" x14ac:dyDescent="0.2">
      <c r="A13" s="423">
        <v>62001002</v>
      </c>
      <c r="B13" s="297" t="s">
        <v>617</v>
      </c>
      <c r="C13" s="297" t="s">
        <v>629</v>
      </c>
      <c r="D13" s="326" t="s">
        <v>458</v>
      </c>
      <c r="E13" s="283" t="s">
        <v>459</v>
      </c>
      <c r="F13" s="310" t="str">
        <f t="shared" si="0"/>
        <v>##INFO(T</v>
      </c>
      <c r="G13" s="298" t="s">
        <v>460</v>
      </c>
      <c r="H13" s="298" t="s">
        <v>461</v>
      </c>
      <c r="I13" s="306"/>
      <c r="J13" s="299" t="s">
        <v>1107</v>
      </c>
      <c r="K13" s="299" t="s">
        <v>1108</v>
      </c>
      <c r="L13" s="299" t="s">
        <v>1109</v>
      </c>
      <c r="M13" s="299" t="s">
        <v>1110</v>
      </c>
      <c r="N13" s="284" t="s">
        <v>466</v>
      </c>
      <c r="O13" s="284" t="s">
        <v>467</v>
      </c>
      <c r="P13" s="284" t="s">
        <v>468</v>
      </c>
      <c r="Q13" s="284" t="s">
        <v>469</v>
      </c>
      <c r="R13" s="285" t="s">
        <v>1111</v>
      </c>
      <c r="S13" s="285" t="e">
        <f t="shared" si="1"/>
        <v>#VALUE!</v>
      </c>
      <c r="T13" s="314" t="s">
        <v>1112</v>
      </c>
      <c r="U13" s="314" t="s">
        <v>1113</v>
      </c>
      <c r="V13" s="289" t="s">
        <v>1114</v>
      </c>
      <c r="W13" s="289" t="s">
        <v>1115</v>
      </c>
      <c r="X13" s="289" t="e">
        <f t="shared" si="2"/>
        <v>#VALUE!</v>
      </c>
      <c r="Y13" s="289" t="e">
        <f t="shared" si="3"/>
        <v>#VALUE!</v>
      </c>
      <c r="Z13" s="308" t="s">
        <v>1116</v>
      </c>
      <c r="AA13" s="289" t="s">
        <v>1117</v>
      </c>
      <c r="AB13" s="289" t="e">
        <f t="shared" si="4"/>
        <v>#VALUE!</v>
      </c>
      <c r="AC13" s="289" t="e">
        <f t="shared" si="5"/>
        <v>#VALUE!</v>
      </c>
      <c r="AD13" s="308" t="s">
        <v>1118</v>
      </c>
      <c r="AE13" s="289" t="s">
        <v>1119</v>
      </c>
      <c r="AF13" s="289" t="e">
        <f t="shared" si="6"/>
        <v>#VALUE!</v>
      </c>
      <c r="AG13" s="289" t="e">
        <f t="shared" si="7"/>
        <v>#VALUE!</v>
      </c>
      <c r="AH13" s="308" t="s">
        <v>1120</v>
      </c>
      <c r="AI13" s="289" t="s">
        <v>1121</v>
      </c>
      <c r="AJ13" s="289" t="e">
        <f t="shared" si="8"/>
        <v>#VALUE!</v>
      </c>
      <c r="AK13" s="307" t="e">
        <f t="shared" si="9"/>
        <v>#VALUE!</v>
      </c>
      <c r="AL13" s="308" t="s">
        <v>1122</v>
      </c>
      <c r="AM13" s="289" t="s">
        <v>1123</v>
      </c>
      <c r="AN13" s="289" t="e">
        <f t="shared" si="10"/>
        <v>#VALUE!</v>
      </c>
      <c r="AO13" s="307" t="e">
        <f t="shared" si="11"/>
        <v>#VALUE!</v>
      </c>
      <c r="AP13" s="308" t="s">
        <v>1124</v>
      </c>
      <c r="AQ13" s="289" t="s">
        <v>1125</v>
      </c>
      <c r="AR13" s="289" t="e">
        <f t="shared" si="12"/>
        <v>#VALUE!</v>
      </c>
      <c r="AS13" s="307" t="e">
        <f t="shared" si="13"/>
        <v>#VALUE!</v>
      </c>
      <c r="AT13" s="308" t="s">
        <v>1126</v>
      </c>
      <c r="AU13" s="289" t="s">
        <v>1127</v>
      </c>
      <c r="AV13" s="289" t="e">
        <f t="shared" si="14"/>
        <v>#VALUE!</v>
      </c>
      <c r="AW13" s="307" t="e">
        <f t="shared" si="15"/>
        <v>#VALUE!</v>
      </c>
      <c r="AX13" s="308" t="s">
        <v>1128</v>
      </c>
      <c r="AY13" s="289" t="s">
        <v>1129</v>
      </c>
      <c r="AZ13" s="289" t="e">
        <f t="shared" si="16"/>
        <v>#VALUE!</v>
      </c>
      <c r="BA13" s="307" t="e">
        <f t="shared" si="17"/>
        <v>#VALUE!</v>
      </c>
      <c r="BB13" s="308" t="s">
        <v>1130</v>
      </c>
      <c r="BC13" s="289" t="s">
        <v>1131</v>
      </c>
      <c r="BD13" s="289" t="e">
        <f t="shared" si="18"/>
        <v>#VALUE!</v>
      </c>
      <c r="BE13" s="307" t="e">
        <f t="shared" si="19"/>
        <v>#VALUE!</v>
      </c>
      <c r="BF13" s="308" t="s">
        <v>1132</v>
      </c>
      <c r="BG13" s="289" t="s">
        <v>1133</v>
      </c>
      <c r="BH13" s="289" t="e">
        <f t="shared" si="20"/>
        <v>#VALUE!</v>
      </c>
      <c r="BI13" s="307" t="e">
        <f t="shared" si="21"/>
        <v>#VALUE!</v>
      </c>
      <c r="BJ13" s="281" t="s">
        <v>1112</v>
      </c>
      <c r="BK13" s="281" t="s">
        <v>1134</v>
      </c>
      <c r="BL13" s="281" t="e">
        <f t="shared" si="22"/>
        <v>#VALUE!</v>
      </c>
      <c r="BM13" s="408" t="s">
        <v>1132</v>
      </c>
      <c r="BN13" s="458" t="s">
        <v>1133</v>
      </c>
      <c r="BO13" s="458" t="e">
        <f t="shared" si="23"/>
        <v>#VALUE!</v>
      </c>
      <c r="BP13" s="408" t="s">
        <v>1130</v>
      </c>
      <c r="BQ13" s="458" t="s">
        <v>1131</v>
      </c>
      <c r="BR13" s="458" t="e">
        <f t="shared" si="24"/>
        <v>#VALUE!</v>
      </c>
      <c r="BS13" s="281"/>
      <c r="BT13" s="281"/>
      <c r="BU13" s="281"/>
      <c r="BV13" s="281"/>
      <c r="BW13" s="298" t="s">
        <v>479</v>
      </c>
      <c r="BX13" s="422" t="s">
        <v>1135</v>
      </c>
      <c r="BY13" s="422" t="s">
        <v>1136</v>
      </c>
      <c r="BZ13" s="422" t="s">
        <v>1137</v>
      </c>
      <c r="CA13" s="422" t="s">
        <v>1138</v>
      </c>
      <c r="CB13" s="422" t="s">
        <v>1139</v>
      </c>
      <c r="CC13" s="422" t="s">
        <v>1140</v>
      </c>
      <c r="CD13" s="422" t="s">
        <v>1141</v>
      </c>
      <c r="CE13" s="422" t="s">
        <v>1142</v>
      </c>
      <c r="CF13" s="422" t="s">
        <v>1143</v>
      </c>
      <c r="CG13" s="422" t="s">
        <v>1144</v>
      </c>
      <c r="CH13" s="422" t="s">
        <v>1145</v>
      </c>
      <c r="CI13" s="422" t="s">
        <v>1146</v>
      </c>
    </row>
    <row r="14" spans="1:87" ht="15" customHeight="1" x14ac:dyDescent="0.2">
      <c r="A14" s="423">
        <v>62001003</v>
      </c>
      <c r="B14" s="297" t="s">
        <v>617</v>
      </c>
      <c r="C14" s="297" t="s">
        <v>626</v>
      </c>
      <c r="D14" s="326" t="s">
        <v>458</v>
      </c>
      <c r="E14" s="283" t="s">
        <v>459</v>
      </c>
      <c r="F14" s="310" t="str">
        <f t="shared" si="0"/>
        <v>##INFO(T</v>
      </c>
      <c r="G14" s="298" t="s">
        <v>460</v>
      </c>
      <c r="H14" s="298" t="s">
        <v>461</v>
      </c>
      <c r="I14" s="306"/>
      <c r="J14" s="299" t="s">
        <v>1027</v>
      </c>
      <c r="K14" s="299" t="s">
        <v>1028</v>
      </c>
      <c r="L14" s="299" t="s">
        <v>1029</v>
      </c>
      <c r="M14" s="299" t="s">
        <v>1030</v>
      </c>
      <c r="N14" s="284" t="s">
        <v>466</v>
      </c>
      <c r="O14" s="284" t="s">
        <v>467</v>
      </c>
      <c r="P14" s="284" t="s">
        <v>468</v>
      </c>
      <c r="Q14" s="284" t="s">
        <v>469</v>
      </c>
      <c r="R14" s="285" t="s">
        <v>1031</v>
      </c>
      <c r="S14" s="285" t="e">
        <f t="shared" si="1"/>
        <v>#VALUE!</v>
      </c>
      <c r="T14" s="314" t="s">
        <v>1032</v>
      </c>
      <c r="U14" s="314" t="s">
        <v>1033</v>
      </c>
      <c r="V14" s="289" t="s">
        <v>1034</v>
      </c>
      <c r="W14" s="289" t="s">
        <v>1035</v>
      </c>
      <c r="X14" s="289" t="e">
        <f t="shared" si="2"/>
        <v>#VALUE!</v>
      </c>
      <c r="Y14" s="289" t="e">
        <f t="shared" si="3"/>
        <v>#VALUE!</v>
      </c>
      <c r="Z14" s="308" t="s">
        <v>1036</v>
      </c>
      <c r="AA14" s="289" t="s">
        <v>1037</v>
      </c>
      <c r="AB14" s="289" t="e">
        <f t="shared" si="4"/>
        <v>#VALUE!</v>
      </c>
      <c r="AC14" s="289" t="e">
        <f t="shared" si="5"/>
        <v>#VALUE!</v>
      </c>
      <c r="AD14" s="308" t="s">
        <v>1038</v>
      </c>
      <c r="AE14" s="289" t="s">
        <v>1039</v>
      </c>
      <c r="AF14" s="289" t="e">
        <f t="shared" si="6"/>
        <v>#VALUE!</v>
      </c>
      <c r="AG14" s="289" t="e">
        <f t="shared" si="7"/>
        <v>#VALUE!</v>
      </c>
      <c r="AH14" s="308" t="s">
        <v>1040</v>
      </c>
      <c r="AI14" s="289" t="s">
        <v>1041</v>
      </c>
      <c r="AJ14" s="289" t="e">
        <f t="shared" si="8"/>
        <v>#VALUE!</v>
      </c>
      <c r="AK14" s="307" t="e">
        <f t="shared" si="9"/>
        <v>#VALUE!</v>
      </c>
      <c r="AL14" s="308" t="s">
        <v>1042</v>
      </c>
      <c r="AM14" s="289" t="s">
        <v>1043</v>
      </c>
      <c r="AN14" s="289" t="e">
        <f t="shared" si="10"/>
        <v>#VALUE!</v>
      </c>
      <c r="AO14" s="307" t="e">
        <f t="shared" si="11"/>
        <v>#VALUE!</v>
      </c>
      <c r="AP14" s="308" t="s">
        <v>1044</v>
      </c>
      <c r="AQ14" s="289" t="s">
        <v>1045</v>
      </c>
      <c r="AR14" s="289" t="e">
        <f t="shared" si="12"/>
        <v>#VALUE!</v>
      </c>
      <c r="AS14" s="307" t="e">
        <f t="shared" si="13"/>
        <v>#VALUE!</v>
      </c>
      <c r="AT14" s="308" t="s">
        <v>1046</v>
      </c>
      <c r="AU14" s="289" t="s">
        <v>1047</v>
      </c>
      <c r="AV14" s="289" t="e">
        <f t="shared" si="14"/>
        <v>#VALUE!</v>
      </c>
      <c r="AW14" s="307" t="e">
        <f t="shared" si="15"/>
        <v>#VALUE!</v>
      </c>
      <c r="AX14" s="308" t="s">
        <v>1048</v>
      </c>
      <c r="AY14" s="289" t="s">
        <v>1049</v>
      </c>
      <c r="AZ14" s="289" t="e">
        <f t="shared" si="16"/>
        <v>#VALUE!</v>
      </c>
      <c r="BA14" s="307" t="e">
        <f t="shared" si="17"/>
        <v>#VALUE!</v>
      </c>
      <c r="BB14" s="308" t="s">
        <v>1050</v>
      </c>
      <c r="BC14" s="289" t="s">
        <v>1051</v>
      </c>
      <c r="BD14" s="289" t="e">
        <f t="shared" si="18"/>
        <v>#VALUE!</v>
      </c>
      <c r="BE14" s="307" t="e">
        <f t="shared" si="19"/>
        <v>#VALUE!</v>
      </c>
      <c r="BF14" s="308" t="s">
        <v>1052</v>
      </c>
      <c r="BG14" s="289" t="s">
        <v>1053</v>
      </c>
      <c r="BH14" s="289" t="e">
        <f t="shared" si="20"/>
        <v>#VALUE!</v>
      </c>
      <c r="BI14" s="307" t="e">
        <f t="shared" si="21"/>
        <v>#VALUE!</v>
      </c>
      <c r="BJ14" s="281" t="s">
        <v>1032</v>
      </c>
      <c r="BK14" s="281" t="s">
        <v>1054</v>
      </c>
      <c r="BL14" s="281" t="e">
        <f t="shared" si="22"/>
        <v>#VALUE!</v>
      </c>
      <c r="BM14" s="408" t="s">
        <v>1052</v>
      </c>
      <c r="BN14" s="458" t="s">
        <v>1053</v>
      </c>
      <c r="BO14" s="458" t="e">
        <f t="shared" si="23"/>
        <v>#VALUE!</v>
      </c>
      <c r="BP14" s="408" t="s">
        <v>1050</v>
      </c>
      <c r="BQ14" s="458" t="s">
        <v>1051</v>
      </c>
      <c r="BR14" s="458" t="e">
        <f t="shared" si="24"/>
        <v>#VALUE!</v>
      </c>
      <c r="BS14" s="281"/>
      <c r="BT14" s="281"/>
      <c r="BU14" s="281"/>
      <c r="BV14" s="281"/>
      <c r="BW14" s="298" t="s">
        <v>479</v>
      </c>
      <c r="BX14" s="422" t="s">
        <v>1055</v>
      </c>
      <c r="BY14" s="422" t="s">
        <v>1056</v>
      </c>
      <c r="BZ14" s="422" t="s">
        <v>1057</v>
      </c>
      <c r="CA14" s="422" t="s">
        <v>1058</v>
      </c>
      <c r="CB14" s="422" t="s">
        <v>1059</v>
      </c>
      <c r="CC14" s="422" t="s">
        <v>1060</v>
      </c>
      <c r="CD14" s="422" t="s">
        <v>1061</v>
      </c>
      <c r="CE14" s="422" t="s">
        <v>1062</v>
      </c>
      <c r="CF14" s="422" t="s">
        <v>1063</v>
      </c>
      <c r="CG14" s="422" t="s">
        <v>1064</v>
      </c>
      <c r="CH14" s="422" t="s">
        <v>1065</v>
      </c>
      <c r="CI14" s="422" t="s">
        <v>1066</v>
      </c>
    </row>
    <row r="15" spans="1:87" ht="15" customHeight="1" x14ac:dyDescent="0.2">
      <c r="A15" s="423">
        <v>62001003</v>
      </c>
      <c r="B15" s="297" t="s">
        <v>617</v>
      </c>
      <c r="C15" s="297" t="s">
        <v>627</v>
      </c>
      <c r="D15" s="326" t="s">
        <v>458</v>
      </c>
      <c r="E15" s="283" t="s">
        <v>459</v>
      </c>
      <c r="F15" s="310" t="str">
        <f t="shared" si="0"/>
        <v>##INFO(T</v>
      </c>
      <c r="G15" s="298" t="s">
        <v>460</v>
      </c>
      <c r="H15" s="298" t="s">
        <v>461</v>
      </c>
      <c r="I15" s="306"/>
      <c r="J15" s="299" t="s">
        <v>1067</v>
      </c>
      <c r="K15" s="299" t="s">
        <v>1068</v>
      </c>
      <c r="L15" s="299" t="s">
        <v>1069</v>
      </c>
      <c r="M15" s="299" t="s">
        <v>1070</v>
      </c>
      <c r="N15" s="284" t="s">
        <v>466</v>
      </c>
      <c r="O15" s="284" t="s">
        <v>467</v>
      </c>
      <c r="P15" s="284" t="s">
        <v>468</v>
      </c>
      <c r="Q15" s="284" t="s">
        <v>469</v>
      </c>
      <c r="R15" s="285" t="s">
        <v>1071</v>
      </c>
      <c r="S15" s="285" t="e">
        <f t="shared" si="1"/>
        <v>#VALUE!</v>
      </c>
      <c r="T15" s="314" t="s">
        <v>1072</v>
      </c>
      <c r="U15" s="314" t="s">
        <v>1073</v>
      </c>
      <c r="V15" s="289" t="s">
        <v>1074</v>
      </c>
      <c r="W15" s="289" t="s">
        <v>1075</v>
      </c>
      <c r="X15" s="289" t="e">
        <f t="shared" si="2"/>
        <v>#VALUE!</v>
      </c>
      <c r="Y15" s="289" t="e">
        <f t="shared" si="3"/>
        <v>#VALUE!</v>
      </c>
      <c r="Z15" s="308" t="s">
        <v>1076</v>
      </c>
      <c r="AA15" s="289" t="s">
        <v>1077</v>
      </c>
      <c r="AB15" s="289" t="e">
        <f t="shared" si="4"/>
        <v>#VALUE!</v>
      </c>
      <c r="AC15" s="289" t="e">
        <f t="shared" si="5"/>
        <v>#VALUE!</v>
      </c>
      <c r="AD15" s="308" t="s">
        <v>1078</v>
      </c>
      <c r="AE15" s="289" t="s">
        <v>1079</v>
      </c>
      <c r="AF15" s="289" t="e">
        <f t="shared" si="6"/>
        <v>#VALUE!</v>
      </c>
      <c r="AG15" s="289" t="e">
        <f t="shared" si="7"/>
        <v>#VALUE!</v>
      </c>
      <c r="AH15" s="308" t="s">
        <v>1080</v>
      </c>
      <c r="AI15" s="289" t="s">
        <v>1081</v>
      </c>
      <c r="AJ15" s="289" t="e">
        <f t="shared" si="8"/>
        <v>#VALUE!</v>
      </c>
      <c r="AK15" s="307" t="e">
        <f t="shared" si="9"/>
        <v>#VALUE!</v>
      </c>
      <c r="AL15" s="308" t="s">
        <v>1082</v>
      </c>
      <c r="AM15" s="289" t="s">
        <v>1083</v>
      </c>
      <c r="AN15" s="289" t="e">
        <f t="shared" si="10"/>
        <v>#VALUE!</v>
      </c>
      <c r="AO15" s="307" t="e">
        <f t="shared" si="11"/>
        <v>#VALUE!</v>
      </c>
      <c r="AP15" s="308" t="s">
        <v>1084</v>
      </c>
      <c r="AQ15" s="289" t="s">
        <v>1085</v>
      </c>
      <c r="AR15" s="289" t="e">
        <f t="shared" si="12"/>
        <v>#VALUE!</v>
      </c>
      <c r="AS15" s="307" t="e">
        <f t="shared" si="13"/>
        <v>#VALUE!</v>
      </c>
      <c r="AT15" s="308" t="s">
        <v>1086</v>
      </c>
      <c r="AU15" s="289" t="s">
        <v>1087</v>
      </c>
      <c r="AV15" s="289" t="e">
        <f t="shared" si="14"/>
        <v>#VALUE!</v>
      </c>
      <c r="AW15" s="307" t="e">
        <f t="shared" si="15"/>
        <v>#VALUE!</v>
      </c>
      <c r="AX15" s="308" t="s">
        <v>1088</v>
      </c>
      <c r="AY15" s="289" t="s">
        <v>1089</v>
      </c>
      <c r="AZ15" s="289" t="e">
        <f t="shared" si="16"/>
        <v>#VALUE!</v>
      </c>
      <c r="BA15" s="307" t="e">
        <f t="shared" si="17"/>
        <v>#VALUE!</v>
      </c>
      <c r="BB15" s="308" t="s">
        <v>1090</v>
      </c>
      <c r="BC15" s="289" t="s">
        <v>1091</v>
      </c>
      <c r="BD15" s="289" t="e">
        <f t="shared" si="18"/>
        <v>#VALUE!</v>
      </c>
      <c r="BE15" s="307" t="e">
        <f t="shared" si="19"/>
        <v>#VALUE!</v>
      </c>
      <c r="BF15" s="308" t="s">
        <v>1092</v>
      </c>
      <c r="BG15" s="289" t="s">
        <v>1093</v>
      </c>
      <c r="BH15" s="289" t="e">
        <f t="shared" si="20"/>
        <v>#VALUE!</v>
      </c>
      <c r="BI15" s="307" t="e">
        <f t="shared" si="21"/>
        <v>#VALUE!</v>
      </c>
      <c r="BJ15" s="281" t="s">
        <v>1072</v>
      </c>
      <c r="BK15" s="281" t="s">
        <v>1094</v>
      </c>
      <c r="BL15" s="281" t="e">
        <f t="shared" si="22"/>
        <v>#VALUE!</v>
      </c>
      <c r="BM15" s="408" t="s">
        <v>1092</v>
      </c>
      <c r="BN15" s="458" t="s">
        <v>1093</v>
      </c>
      <c r="BO15" s="458" t="e">
        <f t="shared" si="23"/>
        <v>#VALUE!</v>
      </c>
      <c r="BP15" s="408" t="s">
        <v>1090</v>
      </c>
      <c r="BQ15" s="458" t="s">
        <v>1091</v>
      </c>
      <c r="BR15" s="458" t="e">
        <f t="shared" si="24"/>
        <v>#VALUE!</v>
      </c>
      <c r="BS15" s="281"/>
      <c r="BT15" s="281"/>
      <c r="BU15" s="281"/>
      <c r="BV15" s="281"/>
      <c r="BW15" s="298" t="s">
        <v>479</v>
      </c>
      <c r="BX15" s="422" t="s">
        <v>1095</v>
      </c>
      <c r="BY15" s="422" t="s">
        <v>1096</v>
      </c>
      <c r="BZ15" s="422" t="s">
        <v>1097</v>
      </c>
      <c r="CA15" s="422" t="s">
        <v>1098</v>
      </c>
      <c r="CB15" s="422" t="s">
        <v>1099</v>
      </c>
      <c r="CC15" s="422" t="s">
        <v>1100</v>
      </c>
      <c r="CD15" s="422" t="s">
        <v>1101</v>
      </c>
      <c r="CE15" s="422" t="s">
        <v>1102</v>
      </c>
      <c r="CF15" s="422" t="s">
        <v>1103</v>
      </c>
      <c r="CG15" s="422" t="s">
        <v>1104</v>
      </c>
      <c r="CH15" s="422" t="s">
        <v>1105</v>
      </c>
      <c r="CI15" s="422" t="s">
        <v>1106</v>
      </c>
    </row>
    <row r="16" spans="1:87" ht="15" customHeight="1" x14ac:dyDescent="0.2">
      <c r="A16" s="423">
        <v>62001003</v>
      </c>
      <c r="B16" s="297" t="s">
        <v>617</v>
      </c>
      <c r="C16" s="297" t="s">
        <v>629</v>
      </c>
      <c r="D16" s="326" t="s">
        <v>458</v>
      </c>
      <c r="E16" s="283" t="s">
        <v>459</v>
      </c>
      <c r="F16" s="310" t="str">
        <f t="shared" si="0"/>
        <v>##INFO(T</v>
      </c>
      <c r="G16" s="298" t="s">
        <v>460</v>
      </c>
      <c r="H16" s="298" t="s">
        <v>461</v>
      </c>
      <c r="I16" s="306"/>
      <c r="J16" s="299" t="s">
        <v>1107</v>
      </c>
      <c r="K16" s="299" t="s">
        <v>1108</v>
      </c>
      <c r="L16" s="299" t="s">
        <v>1109</v>
      </c>
      <c r="M16" s="299" t="s">
        <v>1110</v>
      </c>
      <c r="N16" s="284" t="s">
        <v>466</v>
      </c>
      <c r="O16" s="284" t="s">
        <v>467</v>
      </c>
      <c r="P16" s="284" t="s">
        <v>468</v>
      </c>
      <c r="Q16" s="284" t="s">
        <v>469</v>
      </c>
      <c r="R16" s="285" t="s">
        <v>1111</v>
      </c>
      <c r="S16" s="285" t="e">
        <f t="shared" si="1"/>
        <v>#VALUE!</v>
      </c>
      <c r="T16" s="314" t="s">
        <v>1112</v>
      </c>
      <c r="U16" s="314" t="s">
        <v>1113</v>
      </c>
      <c r="V16" s="289" t="s">
        <v>1114</v>
      </c>
      <c r="W16" s="289" t="s">
        <v>1115</v>
      </c>
      <c r="X16" s="289" t="e">
        <f t="shared" si="2"/>
        <v>#VALUE!</v>
      </c>
      <c r="Y16" s="289" t="e">
        <f t="shared" si="3"/>
        <v>#VALUE!</v>
      </c>
      <c r="Z16" s="308" t="s">
        <v>1116</v>
      </c>
      <c r="AA16" s="289" t="s">
        <v>1117</v>
      </c>
      <c r="AB16" s="289" t="e">
        <f t="shared" si="4"/>
        <v>#VALUE!</v>
      </c>
      <c r="AC16" s="289" t="e">
        <f t="shared" si="5"/>
        <v>#VALUE!</v>
      </c>
      <c r="AD16" s="308" t="s">
        <v>1118</v>
      </c>
      <c r="AE16" s="289" t="s">
        <v>1119</v>
      </c>
      <c r="AF16" s="289" t="e">
        <f t="shared" si="6"/>
        <v>#VALUE!</v>
      </c>
      <c r="AG16" s="289" t="e">
        <f t="shared" si="7"/>
        <v>#VALUE!</v>
      </c>
      <c r="AH16" s="308" t="s">
        <v>1120</v>
      </c>
      <c r="AI16" s="289" t="s">
        <v>1121</v>
      </c>
      <c r="AJ16" s="289" t="e">
        <f t="shared" si="8"/>
        <v>#VALUE!</v>
      </c>
      <c r="AK16" s="307" t="e">
        <f t="shared" si="9"/>
        <v>#VALUE!</v>
      </c>
      <c r="AL16" s="308" t="s">
        <v>1122</v>
      </c>
      <c r="AM16" s="289" t="s">
        <v>1123</v>
      </c>
      <c r="AN16" s="289" t="e">
        <f t="shared" si="10"/>
        <v>#VALUE!</v>
      </c>
      <c r="AO16" s="307" t="e">
        <f t="shared" si="11"/>
        <v>#VALUE!</v>
      </c>
      <c r="AP16" s="308" t="s">
        <v>1124</v>
      </c>
      <c r="AQ16" s="289" t="s">
        <v>1125</v>
      </c>
      <c r="AR16" s="289" t="e">
        <f t="shared" si="12"/>
        <v>#VALUE!</v>
      </c>
      <c r="AS16" s="307" t="e">
        <f t="shared" si="13"/>
        <v>#VALUE!</v>
      </c>
      <c r="AT16" s="308" t="s">
        <v>1126</v>
      </c>
      <c r="AU16" s="289" t="s">
        <v>1127</v>
      </c>
      <c r="AV16" s="289" t="e">
        <f t="shared" si="14"/>
        <v>#VALUE!</v>
      </c>
      <c r="AW16" s="307" t="e">
        <f t="shared" si="15"/>
        <v>#VALUE!</v>
      </c>
      <c r="AX16" s="308" t="s">
        <v>1128</v>
      </c>
      <c r="AY16" s="289" t="s">
        <v>1129</v>
      </c>
      <c r="AZ16" s="289" t="e">
        <f t="shared" si="16"/>
        <v>#VALUE!</v>
      </c>
      <c r="BA16" s="307" t="e">
        <f t="shared" si="17"/>
        <v>#VALUE!</v>
      </c>
      <c r="BB16" s="308" t="s">
        <v>1130</v>
      </c>
      <c r="BC16" s="289" t="s">
        <v>1131</v>
      </c>
      <c r="BD16" s="289" t="e">
        <f t="shared" si="18"/>
        <v>#VALUE!</v>
      </c>
      <c r="BE16" s="307" t="e">
        <f t="shared" si="19"/>
        <v>#VALUE!</v>
      </c>
      <c r="BF16" s="308" t="s">
        <v>1132</v>
      </c>
      <c r="BG16" s="289" t="s">
        <v>1133</v>
      </c>
      <c r="BH16" s="289" t="e">
        <f t="shared" si="20"/>
        <v>#VALUE!</v>
      </c>
      <c r="BI16" s="307" t="e">
        <f t="shared" si="21"/>
        <v>#VALUE!</v>
      </c>
      <c r="BJ16" s="281" t="s">
        <v>1112</v>
      </c>
      <c r="BK16" s="281" t="s">
        <v>1134</v>
      </c>
      <c r="BL16" s="281" t="e">
        <f t="shared" si="22"/>
        <v>#VALUE!</v>
      </c>
      <c r="BM16" s="408" t="s">
        <v>1132</v>
      </c>
      <c r="BN16" s="458" t="s">
        <v>1133</v>
      </c>
      <c r="BO16" s="458" t="e">
        <f t="shared" si="23"/>
        <v>#VALUE!</v>
      </c>
      <c r="BP16" s="408" t="s">
        <v>1130</v>
      </c>
      <c r="BQ16" s="458" t="s">
        <v>1131</v>
      </c>
      <c r="BR16" s="458" t="e">
        <f t="shared" si="24"/>
        <v>#VALUE!</v>
      </c>
      <c r="BS16" s="281"/>
      <c r="BT16" s="281"/>
      <c r="BU16" s="281"/>
      <c r="BV16" s="281"/>
      <c r="BW16" s="298" t="s">
        <v>479</v>
      </c>
      <c r="BX16" s="422" t="s">
        <v>1135</v>
      </c>
      <c r="BY16" s="422" t="s">
        <v>1136</v>
      </c>
      <c r="BZ16" s="422" t="s">
        <v>1137</v>
      </c>
      <c r="CA16" s="422" t="s">
        <v>1138</v>
      </c>
      <c r="CB16" s="422" t="s">
        <v>1139</v>
      </c>
      <c r="CC16" s="422" t="s">
        <v>1140</v>
      </c>
      <c r="CD16" s="422" t="s">
        <v>1141</v>
      </c>
      <c r="CE16" s="422" t="s">
        <v>1142</v>
      </c>
      <c r="CF16" s="422" t="s">
        <v>1143</v>
      </c>
      <c r="CG16" s="422" t="s">
        <v>1144</v>
      </c>
      <c r="CH16" s="422" t="s">
        <v>1145</v>
      </c>
      <c r="CI16" s="422" t="s">
        <v>1146</v>
      </c>
    </row>
    <row r="17" spans="1:87" ht="15" customHeight="1" x14ac:dyDescent="0.2">
      <c r="A17" s="423">
        <v>62001004</v>
      </c>
      <c r="B17" s="297" t="s">
        <v>617</v>
      </c>
      <c r="C17" s="297" t="s">
        <v>626</v>
      </c>
      <c r="D17" s="326" t="s">
        <v>458</v>
      </c>
      <c r="E17" s="283" t="s">
        <v>459</v>
      </c>
      <c r="F17" s="310" t="str">
        <f t="shared" si="0"/>
        <v>##INFO(T</v>
      </c>
      <c r="G17" s="298" t="s">
        <v>460</v>
      </c>
      <c r="H17" s="298" t="s">
        <v>461</v>
      </c>
      <c r="I17" s="306"/>
      <c r="J17" s="299" t="s">
        <v>1027</v>
      </c>
      <c r="K17" s="299" t="s">
        <v>1028</v>
      </c>
      <c r="L17" s="299" t="s">
        <v>1029</v>
      </c>
      <c r="M17" s="299" t="s">
        <v>1030</v>
      </c>
      <c r="N17" s="284" t="s">
        <v>466</v>
      </c>
      <c r="O17" s="284" t="s">
        <v>467</v>
      </c>
      <c r="P17" s="284" t="s">
        <v>468</v>
      </c>
      <c r="Q17" s="284" t="s">
        <v>469</v>
      </c>
      <c r="R17" s="285" t="s">
        <v>1031</v>
      </c>
      <c r="S17" s="285" t="e">
        <f t="shared" si="1"/>
        <v>#VALUE!</v>
      </c>
      <c r="T17" s="314" t="s">
        <v>1032</v>
      </c>
      <c r="U17" s="314" t="s">
        <v>1033</v>
      </c>
      <c r="V17" s="289" t="s">
        <v>1034</v>
      </c>
      <c r="W17" s="289" t="s">
        <v>1035</v>
      </c>
      <c r="X17" s="289" t="e">
        <f t="shared" si="2"/>
        <v>#VALUE!</v>
      </c>
      <c r="Y17" s="289" t="e">
        <f t="shared" si="3"/>
        <v>#VALUE!</v>
      </c>
      <c r="Z17" s="308" t="s">
        <v>1036</v>
      </c>
      <c r="AA17" s="289" t="s">
        <v>1037</v>
      </c>
      <c r="AB17" s="289" t="e">
        <f t="shared" si="4"/>
        <v>#VALUE!</v>
      </c>
      <c r="AC17" s="289" t="e">
        <f t="shared" si="5"/>
        <v>#VALUE!</v>
      </c>
      <c r="AD17" s="308" t="s">
        <v>1038</v>
      </c>
      <c r="AE17" s="289" t="s">
        <v>1039</v>
      </c>
      <c r="AF17" s="289" t="e">
        <f t="shared" si="6"/>
        <v>#VALUE!</v>
      </c>
      <c r="AG17" s="289" t="e">
        <f t="shared" si="7"/>
        <v>#VALUE!</v>
      </c>
      <c r="AH17" s="308" t="s">
        <v>1040</v>
      </c>
      <c r="AI17" s="289" t="s">
        <v>1041</v>
      </c>
      <c r="AJ17" s="289" t="e">
        <f t="shared" si="8"/>
        <v>#VALUE!</v>
      </c>
      <c r="AK17" s="307" t="e">
        <f t="shared" si="9"/>
        <v>#VALUE!</v>
      </c>
      <c r="AL17" s="308" t="s">
        <v>1042</v>
      </c>
      <c r="AM17" s="289" t="s">
        <v>1043</v>
      </c>
      <c r="AN17" s="289" t="e">
        <f t="shared" si="10"/>
        <v>#VALUE!</v>
      </c>
      <c r="AO17" s="307" t="e">
        <f t="shared" si="11"/>
        <v>#VALUE!</v>
      </c>
      <c r="AP17" s="308" t="s">
        <v>1044</v>
      </c>
      <c r="AQ17" s="289" t="s">
        <v>1045</v>
      </c>
      <c r="AR17" s="289" t="e">
        <f t="shared" si="12"/>
        <v>#VALUE!</v>
      </c>
      <c r="AS17" s="307" t="e">
        <f t="shared" si="13"/>
        <v>#VALUE!</v>
      </c>
      <c r="AT17" s="308" t="s">
        <v>1046</v>
      </c>
      <c r="AU17" s="289" t="s">
        <v>1047</v>
      </c>
      <c r="AV17" s="289" t="e">
        <f t="shared" si="14"/>
        <v>#VALUE!</v>
      </c>
      <c r="AW17" s="307" t="e">
        <f t="shared" si="15"/>
        <v>#VALUE!</v>
      </c>
      <c r="AX17" s="308" t="s">
        <v>1048</v>
      </c>
      <c r="AY17" s="289" t="s">
        <v>1049</v>
      </c>
      <c r="AZ17" s="289" t="e">
        <f t="shared" si="16"/>
        <v>#VALUE!</v>
      </c>
      <c r="BA17" s="307" t="e">
        <f t="shared" si="17"/>
        <v>#VALUE!</v>
      </c>
      <c r="BB17" s="308" t="s">
        <v>1050</v>
      </c>
      <c r="BC17" s="289" t="s">
        <v>1051</v>
      </c>
      <c r="BD17" s="289" t="e">
        <f t="shared" si="18"/>
        <v>#VALUE!</v>
      </c>
      <c r="BE17" s="307" t="e">
        <f t="shared" si="19"/>
        <v>#VALUE!</v>
      </c>
      <c r="BF17" s="308" t="s">
        <v>1052</v>
      </c>
      <c r="BG17" s="289" t="s">
        <v>1053</v>
      </c>
      <c r="BH17" s="289" t="e">
        <f t="shared" si="20"/>
        <v>#VALUE!</v>
      </c>
      <c r="BI17" s="307" t="e">
        <f t="shared" si="21"/>
        <v>#VALUE!</v>
      </c>
      <c r="BJ17" s="281" t="s">
        <v>1032</v>
      </c>
      <c r="BK17" s="281" t="s">
        <v>1054</v>
      </c>
      <c r="BL17" s="281" t="e">
        <f t="shared" si="22"/>
        <v>#VALUE!</v>
      </c>
      <c r="BM17" s="408" t="s">
        <v>1052</v>
      </c>
      <c r="BN17" s="458" t="s">
        <v>1053</v>
      </c>
      <c r="BO17" s="458" t="e">
        <f t="shared" si="23"/>
        <v>#VALUE!</v>
      </c>
      <c r="BP17" s="408" t="s">
        <v>1050</v>
      </c>
      <c r="BQ17" s="458" t="s">
        <v>1051</v>
      </c>
      <c r="BR17" s="458" t="e">
        <f t="shared" si="24"/>
        <v>#VALUE!</v>
      </c>
      <c r="BS17" s="281"/>
      <c r="BT17" s="281"/>
      <c r="BU17" s="281"/>
      <c r="BV17" s="281"/>
      <c r="BW17" s="298" t="s">
        <v>479</v>
      </c>
      <c r="BX17" s="422" t="s">
        <v>1055</v>
      </c>
      <c r="BY17" s="422" t="s">
        <v>1056</v>
      </c>
      <c r="BZ17" s="422" t="s">
        <v>1057</v>
      </c>
      <c r="CA17" s="422" t="s">
        <v>1058</v>
      </c>
      <c r="CB17" s="422" t="s">
        <v>1059</v>
      </c>
      <c r="CC17" s="422" t="s">
        <v>1060</v>
      </c>
      <c r="CD17" s="422" t="s">
        <v>1061</v>
      </c>
      <c r="CE17" s="422" t="s">
        <v>1062</v>
      </c>
      <c r="CF17" s="422" t="s">
        <v>1063</v>
      </c>
      <c r="CG17" s="422" t="s">
        <v>1064</v>
      </c>
      <c r="CH17" s="422" t="s">
        <v>1065</v>
      </c>
      <c r="CI17" s="422" t="s">
        <v>1066</v>
      </c>
    </row>
    <row r="18" spans="1:87" ht="15" customHeight="1" x14ac:dyDescent="0.2">
      <c r="A18" s="423">
        <v>62001004</v>
      </c>
      <c r="B18" s="297" t="s">
        <v>617</v>
      </c>
      <c r="C18" s="297" t="s">
        <v>627</v>
      </c>
      <c r="D18" s="326" t="s">
        <v>458</v>
      </c>
      <c r="E18" s="283" t="s">
        <v>459</v>
      </c>
      <c r="F18" s="310" t="str">
        <f t="shared" si="0"/>
        <v>##INFO(T</v>
      </c>
      <c r="G18" s="298" t="s">
        <v>460</v>
      </c>
      <c r="H18" s="298" t="s">
        <v>461</v>
      </c>
      <c r="I18" s="306"/>
      <c r="J18" s="299" t="s">
        <v>1067</v>
      </c>
      <c r="K18" s="299" t="s">
        <v>1068</v>
      </c>
      <c r="L18" s="299" t="s">
        <v>1069</v>
      </c>
      <c r="M18" s="299" t="s">
        <v>1070</v>
      </c>
      <c r="N18" s="284" t="s">
        <v>466</v>
      </c>
      <c r="O18" s="284" t="s">
        <v>467</v>
      </c>
      <c r="P18" s="284" t="s">
        <v>468</v>
      </c>
      <c r="Q18" s="284" t="s">
        <v>469</v>
      </c>
      <c r="R18" s="285" t="s">
        <v>1071</v>
      </c>
      <c r="S18" s="285" t="e">
        <f t="shared" si="1"/>
        <v>#VALUE!</v>
      </c>
      <c r="T18" s="314" t="s">
        <v>1072</v>
      </c>
      <c r="U18" s="314" t="s">
        <v>1073</v>
      </c>
      <c r="V18" s="289" t="s">
        <v>1074</v>
      </c>
      <c r="W18" s="289" t="s">
        <v>1075</v>
      </c>
      <c r="X18" s="289" t="e">
        <f t="shared" si="2"/>
        <v>#VALUE!</v>
      </c>
      <c r="Y18" s="289" t="e">
        <f t="shared" si="3"/>
        <v>#VALUE!</v>
      </c>
      <c r="Z18" s="308" t="s">
        <v>1076</v>
      </c>
      <c r="AA18" s="289" t="s">
        <v>1077</v>
      </c>
      <c r="AB18" s="289" t="e">
        <f t="shared" si="4"/>
        <v>#VALUE!</v>
      </c>
      <c r="AC18" s="289" t="e">
        <f t="shared" si="5"/>
        <v>#VALUE!</v>
      </c>
      <c r="AD18" s="308" t="s">
        <v>1078</v>
      </c>
      <c r="AE18" s="289" t="s">
        <v>1079</v>
      </c>
      <c r="AF18" s="289" t="e">
        <f t="shared" si="6"/>
        <v>#VALUE!</v>
      </c>
      <c r="AG18" s="289" t="e">
        <f t="shared" si="7"/>
        <v>#VALUE!</v>
      </c>
      <c r="AH18" s="308" t="s">
        <v>1080</v>
      </c>
      <c r="AI18" s="289" t="s">
        <v>1081</v>
      </c>
      <c r="AJ18" s="289" t="e">
        <f t="shared" si="8"/>
        <v>#VALUE!</v>
      </c>
      <c r="AK18" s="307" t="e">
        <f t="shared" si="9"/>
        <v>#VALUE!</v>
      </c>
      <c r="AL18" s="308" t="s">
        <v>1082</v>
      </c>
      <c r="AM18" s="289" t="s">
        <v>1083</v>
      </c>
      <c r="AN18" s="289" t="e">
        <f t="shared" si="10"/>
        <v>#VALUE!</v>
      </c>
      <c r="AO18" s="307" t="e">
        <f t="shared" si="11"/>
        <v>#VALUE!</v>
      </c>
      <c r="AP18" s="308" t="s">
        <v>1084</v>
      </c>
      <c r="AQ18" s="289" t="s">
        <v>1085</v>
      </c>
      <c r="AR18" s="289" t="e">
        <f t="shared" si="12"/>
        <v>#VALUE!</v>
      </c>
      <c r="AS18" s="307" t="e">
        <f t="shared" si="13"/>
        <v>#VALUE!</v>
      </c>
      <c r="AT18" s="308" t="s">
        <v>1086</v>
      </c>
      <c r="AU18" s="289" t="s">
        <v>1087</v>
      </c>
      <c r="AV18" s="289" t="e">
        <f t="shared" si="14"/>
        <v>#VALUE!</v>
      </c>
      <c r="AW18" s="307" t="e">
        <f t="shared" si="15"/>
        <v>#VALUE!</v>
      </c>
      <c r="AX18" s="308" t="s">
        <v>1088</v>
      </c>
      <c r="AY18" s="289" t="s">
        <v>1089</v>
      </c>
      <c r="AZ18" s="289" t="e">
        <f t="shared" si="16"/>
        <v>#VALUE!</v>
      </c>
      <c r="BA18" s="307" t="e">
        <f t="shared" si="17"/>
        <v>#VALUE!</v>
      </c>
      <c r="BB18" s="308" t="s">
        <v>1090</v>
      </c>
      <c r="BC18" s="289" t="s">
        <v>1091</v>
      </c>
      <c r="BD18" s="289" t="e">
        <f t="shared" si="18"/>
        <v>#VALUE!</v>
      </c>
      <c r="BE18" s="307" t="e">
        <f t="shared" si="19"/>
        <v>#VALUE!</v>
      </c>
      <c r="BF18" s="308" t="s">
        <v>1092</v>
      </c>
      <c r="BG18" s="289" t="s">
        <v>1093</v>
      </c>
      <c r="BH18" s="289" t="e">
        <f t="shared" si="20"/>
        <v>#VALUE!</v>
      </c>
      <c r="BI18" s="307" t="e">
        <f t="shared" si="21"/>
        <v>#VALUE!</v>
      </c>
      <c r="BJ18" s="281" t="s">
        <v>1072</v>
      </c>
      <c r="BK18" s="281" t="s">
        <v>1094</v>
      </c>
      <c r="BL18" s="281" t="e">
        <f t="shared" si="22"/>
        <v>#VALUE!</v>
      </c>
      <c r="BM18" s="408" t="s">
        <v>1092</v>
      </c>
      <c r="BN18" s="458" t="s">
        <v>1093</v>
      </c>
      <c r="BO18" s="458" t="e">
        <f t="shared" si="23"/>
        <v>#VALUE!</v>
      </c>
      <c r="BP18" s="408" t="s">
        <v>1090</v>
      </c>
      <c r="BQ18" s="458" t="s">
        <v>1091</v>
      </c>
      <c r="BR18" s="458" t="e">
        <f t="shared" si="24"/>
        <v>#VALUE!</v>
      </c>
      <c r="BS18" s="281"/>
      <c r="BT18" s="281"/>
      <c r="BU18" s="281"/>
      <c r="BV18" s="281"/>
      <c r="BW18" s="298" t="s">
        <v>479</v>
      </c>
      <c r="BX18" s="422" t="s">
        <v>1095</v>
      </c>
      <c r="BY18" s="422" t="s">
        <v>1096</v>
      </c>
      <c r="BZ18" s="422" t="s">
        <v>1097</v>
      </c>
      <c r="CA18" s="422" t="s">
        <v>1098</v>
      </c>
      <c r="CB18" s="422" t="s">
        <v>1099</v>
      </c>
      <c r="CC18" s="422" t="s">
        <v>1100</v>
      </c>
      <c r="CD18" s="422" t="s">
        <v>1101</v>
      </c>
      <c r="CE18" s="422" t="s">
        <v>1102</v>
      </c>
      <c r="CF18" s="422" t="s">
        <v>1103</v>
      </c>
      <c r="CG18" s="422" t="s">
        <v>1104</v>
      </c>
      <c r="CH18" s="422" t="s">
        <v>1105</v>
      </c>
      <c r="CI18" s="422" t="s">
        <v>1106</v>
      </c>
    </row>
    <row r="19" spans="1:87" ht="15" customHeight="1" x14ac:dyDescent="0.2">
      <c r="A19" s="423">
        <v>62001004</v>
      </c>
      <c r="B19" s="297" t="s">
        <v>617</v>
      </c>
      <c r="C19" s="297" t="s">
        <v>629</v>
      </c>
      <c r="D19" s="326" t="s">
        <v>458</v>
      </c>
      <c r="E19" s="283" t="s">
        <v>459</v>
      </c>
      <c r="F19" s="310" t="str">
        <f t="shared" si="0"/>
        <v>##INFO(T</v>
      </c>
      <c r="G19" s="298" t="s">
        <v>460</v>
      </c>
      <c r="H19" s="298" t="s">
        <v>461</v>
      </c>
      <c r="I19" s="306"/>
      <c r="J19" s="299" t="s">
        <v>1107</v>
      </c>
      <c r="K19" s="299" t="s">
        <v>1108</v>
      </c>
      <c r="L19" s="299" t="s">
        <v>1109</v>
      </c>
      <c r="M19" s="299" t="s">
        <v>1110</v>
      </c>
      <c r="N19" s="284" t="s">
        <v>466</v>
      </c>
      <c r="O19" s="284" t="s">
        <v>467</v>
      </c>
      <c r="P19" s="284" t="s">
        <v>468</v>
      </c>
      <c r="Q19" s="284" t="s">
        <v>469</v>
      </c>
      <c r="R19" s="285" t="s">
        <v>1111</v>
      </c>
      <c r="S19" s="285" t="e">
        <f t="shared" si="1"/>
        <v>#VALUE!</v>
      </c>
      <c r="T19" s="314" t="s">
        <v>1112</v>
      </c>
      <c r="U19" s="314" t="s">
        <v>1113</v>
      </c>
      <c r="V19" s="289" t="s">
        <v>1114</v>
      </c>
      <c r="W19" s="289" t="s">
        <v>1115</v>
      </c>
      <c r="X19" s="289" t="e">
        <f t="shared" si="2"/>
        <v>#VALUE!</v>
      </c>
      <c r="Y19" s="289" t="e">
        <f t="shared" si="3"/>
        <v>#VALUE!</v>
      </c>
      <c r="Z19" s="308" t="s">
        <v>1116</v>
      </c>
      <c r="AA19" s="289" t="s">
        <v>1117</v>
      </c>
      <c r="AB19" s="289" t="e">
        <f t="shared" si="4"/>
        <v>#VALUE!</v>
      </c>
      <c r="AC19" s="289" t="e">
        <f t="shared" si="5"/>
        <v>#VALUE!</v>
      </c>
      <c r="AD19" s="308" t="s">
        <v>1118</v>
      </c>
      <c r="AE19" s="289" t="s">
        <v>1119</v>
      </c>
      <c r="AF19" s="289" t="e">
        <f t="shared" si="6"/>
        <v>#VALUE!</v>
      </c>
      <c r="AG19" s="289" t="e">
        <f t="shared" si="7"/>
        <v>#VALUE!</v>
      </c>
      <c r="AH19" s="308" t="s">
        <v>1120</v>
      </c>
      <c r="AI19" s="289" t="s">
        <v>1121</v>
      </c>
      <c r="AJ19" s="289" t="e">
        <f t="shared" si="8"/>
        <v>#VALUE!</v>
      </c>
      <c r="AK19" s="307" t="e">
        <f t="shared" si="9"/>
        <v>#VALUE!</v>
      </c>
      <c r="AL19" s="308" t="s">
        <v>1122</v>
      </c>
      <c r="AM19" s="289" t="s">
        <v>1123</v>
      </c>
      <c r="AN19" s="289" t="e">
        <f t="shared" si="10"/>
        <v>#VALUE!</v>
      </c>
      <c r="AO19" s="307" t="e">
        <f t="shared" si="11"/>
        <v>#VALUE!</v>
      </c>
      <c r="AP19" s="308" t="s">
        <v>1124</v>
      </c>
      <c r="AQ19" s="289" t="s">
        <v>1125</v>
      </c>
      <c r="AR19" s="289" t="e">
        <f t="shared" si="12"/>
        <v>#VALUE!</v>
      </c>
      <c r="AS19" s="307" t="e">
        <f t="shared" si="13"/>
        <v>#VALUE!</v>
      </c>
      <c r="AT19" s="308" t="s">
        <v>1126</v>
      </c>
      <c r="AU19" s="289" t="s">
        <v>1127</v>
      </c>
      <c r="AV19" s="289" t="e">
        <f t="shared" si="14"/>
        <v>#VALUE!</v>
      </c>
      <c r="AW19" s="307" t="e">
        <f t="shared" si="15"/>
        <v>#VALUE!</v>
      </c>
      <c r="AX19" s="308" t="s">
        <v>1128</v>
      </c>
      <c r="AY19" s="289" t="s">
        <v>1129</v>
      </c>
      <c r="AZ19" s="289" t="e">
        <f t="shared" si="16"/>
        <v>#VALUE!</v>
      </c>
      <c r="BA19" s="307" t="e">
        <f t="shared" si="17"/>
        <v>#VALUE!</v>
      </c>
      <c r="BB19" s="308" t="s">
        <v>1130</v>
      </c>
      <c r="BC19" s="289" t="s">
        <v>1131</v>
      </c>
      <c r="BD19" s="289" t="e">
        <f t="shared" si="18"/>
        <v>#VALUE!</v>
      </c>
      <c r="BE19" s="307" t="e">
        <f t="shared" si="19"/>
        <v>#VALUE!</v>
      </c>
      <c r="BF19" s="308" t="s">
        <v>1132</v>
      </c>
      <c r="BG19" s="289" t="s">
        <v>1133</v>
      </c>
      <c r="BH19" s="289" t="e">
        <f t="shared" si="20"/>
        <v>#VALUE!</v>
      </c>
      <c r="BI19" s="307" t="e">
        <f t="shared" si="21"/>
        <v>#VALUE!</v>
      </c>
      <c r="BJ19" s="281" t="s">
        <v>1112</v>
      </c>
      <c r="BK19" s="281" t="s">
        <v>1134</v>
      </c>
      <c r="BL19" s="281" t="e">
        <f t="shared" si="22"/>
        <v>#VALUE!</v>
      </c>
      <c r="BM19" s="408" t="s">
        <v>1132</v>
      </c>
      <c r="BN19" s="458" t="s">
        <v>1133</v>
      </c>
      <c r="BO19" s="458" t="e">
        <f t="shared" si="23"/>
        <v>#VALUE!</v>
      </c>
      <c r="BP19" s="408" t="s">
        <v>1130</v>
      </c>
      <c r="BQ19" s="458" t="s">
        <v>1131</v>
      </c>
      <c r="BR19" s="458" t="e">
        <f t="shared" si="24"/>
        <v>#VALUE!</v>
      </c>
      <c r="BS19" s="281"/>
      <c r="BT19" s="281"/>
      <c r="BU19" s="281"/>
      <c r="BV19" s="281"/>
      <c r="BW19" s="298" t="s">
        <v>479</v>
      </c>
      <c r="BX19" s="422" t="s">
        <v>1135</v>
      </c>
      <c r="BY19" s="422" t="s">
        <v>1136</v>
      </c>
      <c r="BZ19" s="422" t="s">
        <v>1137</v>
      </c>
      <c r="CA19" s="422" t="s">
        <v>1138</v>
      </c>
      <c r="CB19" s="422" t="s">
        <v>1139</v>
      </c>
      <c r="CC19" s="422" t="s">
        <v>1140</v>
      </c>
      <c r="CD19" s="422" t="s">
        <v>1141</v>
      </c>
      <c r="CE19" s="422" t="s">
        <v>1142</v>
      </c>
      <c r="CF19" s="422" t="s">
        <v>1143</v>
      </c>
      <c r="CG19" s="422" t="s">
        <v>1144</v>
      </c>
      <c r="CH19" s="422" t="s">
        <v>1145</v>
      </c>
      <c r="CI19" s="422" t="s">
        <v>1146</v>
      </c>
    </row>
    <row r="20" spans="1:87" ht="15" customHeight="1" x14ac:dyDescent="0.2">
      <c r="A20" s="423">
        <v>62001005</v>
      </c>
      <c r="B20" s="297" t="s">
        <v>598</v>
      </c>
      <c r="C20" s="297" t="s">
        <v>626</v>
      </c>
    </row>
    <row r="21" spans="1:87" ht="15" customHeight="1" x14ac:dyDescent="0.2">
      <c r="B21" s="304"/>
      <c r="C21" s="304"/>
    </row>
    <row r="22" spans="1:87" ht="15" customHeight="1" x14ac:dyDescent="0.2">
      <c r="B22" s="304"/>
      <c r="C22" s="304"/>
    </row>
    <row r="23" spans="1:87" ht="15" customHeight="1" x14ac:dyDescent="0.2">
      <c r="B23" s="304"/>
      <c r="C23" s="304"/>
    </row>
    <row r="24" spans="1:87" ht="15" customHeight="1" x14ac:dyDescent="0.2">
      <c r="B24" s="304"/>
      <c r="C24" s="304"/>
    </row>
    <row r="25" spans="1:87" ht="15" customHeight="1" x14ac:dyDescent="0.2">
      <c r="B25" s="304"/>
      <c r="C25" s="304"/>
    </row>
    <row r="26" spans="1:87" ht="15" customHeight="1" x14ac:dyDescent="0.2">
      <c r="B26" s="304"/>
      <c r="C26" s="304"/>
    </row>
    <row r="27" spans="1:87" ht="15" customHeight="1" x14ac:dyDescent="0.2">
      <c r="B27" s="304"/>
      <c r="C27" s="304"/>
    </row>
    <row r="28" spans="1:87" ht="15" customHeight="1" x14ac:dyDescent="0.2">
      <c r="B28" s="304"/>
      <c r="C28" s="304"/>
    </row>
    <row r="29" spans="1:87" ht="15" customHeight="1" x14ac:dyDescent="0.2">
      <c r="B29" s="304"/>
      <c r="C29" s="304"/>
    </row>
    <row r="30" spans="1:87" ht="15" customHeight="1" x14ac:dyDescent="0.2">
      <c r="B30" s="304"/>
      <c r="C30" s="304"/>
    </row>
    <row r="31" spans="1:87" ht="15" customHeight="1" x14ac:dyDescent="0.2">
      <c r="B31" s="304"/>
      <c r="C31" s="304"/>
    </row>
    <row r="32" spans="1:87" ht="15" customHeight="1" x14ac:dyDescent="0.2">
      <c r="B32" s="304"/>
      <c r="C32" s="304"/>
    </row>
    <row r="33" spans="2:3" ht="15" customHeight="1" x14ac:dyDescent="0.2">
      <c r="B33" s="304"/>
      <c r="C33" s="304"/>
    </row>
    <row r="34" spans="2:3" ht="15" customHeight="1" x14ac:dyDescent="0.2">
      <c r="B34" s="304"/>
      <c r="C34" s="304"/>
    </row>
    <row r="35" spans="2:3" ht="15" customHeight="1" x14ac:dyDescent="0.2">
      <c r="B35" s="304"/>
      <c r="C35" s="304"/>
    </row>
    <row r="36" spans="2:3" ht="15" customHeight="1" x14ac:dyDescent="0.2">
      <c r="B36" s="304"/>
      <c r="C36" s="304"/>
    </row>
    <row r="37" spans="2:3" ht="15" customHeight="1" x14ac:dyDescent="0.2">
      <c r="B37" s="304"/>
      <c r="C37" s="304"/>
    </row>
    <row r="38" spans="2:3" ht="15" customHeight="1" x14ac:dyDescent="0.2">
      <c r="B38" s="304"/>
      <c r="C38" s="304"/>
    </row>
    <row r="39" spans="2:3" ht="15" customHeight="1" x14ac:dyDescent="0.2">
      <c r="B39" s="304"/>
      <c r="C39" s="304"/>
    </row>
    <row r="40" spans="2:3" ht="15" customHeight="1" x14ac:dyDescent="0.2">
      <c r="B40" s="304"/>
      <c r="C40" s="304"/>
    </row>
    <row r="41" spans="2:3" ht="15" customHeight="1" x14ac:dyDescent="0.2">
      <c r="B41" s="304"/>
      <c r="C41" s="304"/>
    </row>
    <row r="42" spans="2:3" ht="15" customHeight="1" x14ac:dyDescent="0.2">
      <c r="B42" s="304"/>
      <c r="C42" s="304"/>
    </row>
    <row r="43" spans="2:3" ht="15" customHeight="1" x14ac:dyDescent="0.2">
      <c r="B43" s="304"/>
      <c r="C43" s="304"/>
    </row>
    <row r="44" spans="2:3" ht="15" customHeight="1" x14ac:dyDescent="0.2">
      <c r="B44" s="304"/>
      <c r="C44" s="304"/>
    </row>
    <row r="45" spans="2:3" ht="15" customHeight="1" x14ac:dyDescent="0.2">
      <c r="B45" s="304"/>
      <c r="C45" s="304"/>
    </row>
    <row r="46" spans="2:3" ht="15" customHeight="1" x14ac:dyDescent="0.2">
      <c r="B46" s="304"/>
      <c r="C46" s="304"/>
    </row>
    <row r="47" spans="2:3" ht="15" customHeight="1" x14ac:dyDescent="0.2">
      <c r="B47" s="304"/>
      <c r="C47" s="304"/>
    </row>
    <row r="48" spans="2:3" ht="15" customHeight="1" x14ac:dyDescent="0.2">
      <c r="B48" s="304"/>
      <c r="C48" s="304"/>
    </row>
    <row r="49" spans="1:88" ht="15" customHeight="1" x14ac:dyDescent="0.2">
      <c r="B49" s="304"/>
      <c r="C49" s="304"/>
    </row>
    <row r="50" spans="1:88" ht="15" customHeight="1" x14ac:dyDescent="0.2">
      <c r="B50" s="304"/>
      <c r="C50" s="304"/>
    </row>
    <row r="51" spans="1:88" ht="15" customHeight="1" x14ac:dyDescent="0.2">
      <c r="B51" s="304"/>
      <c r="C51" s="304"/>
    </row>
    <row r="52" spans="1:88" ht="15" customHeight="1" x14ac:dyDescent="0.2">
      <c r="B52" s="304"/>
      <c r="C52" s="304"/>
    </row>
    <row r="53" spans="1:88" ht="15" customHeight="1" x14ac:dyDescent="0.2">
      <c r="B53" s="304"/>
      <c r="C53" s="304"/>
    </row>
    <row r="54" spans="1:88" ht="15" customHeight="1" x14ac:dyDescent="0.2">
      <c r="B54" s="304"/>
      <c r="C54" s="304"/>
    </row>
    <row r="55" spans="1:88" ht="15" customHeight="1" x14ac:dyDescent="0.2">
      <c r="B55" s="304"/>
      <c r="C55" s="304"/>
    </row>
    <row r="56" spans="1:88" ht="15" customHeight="1" x14ac:dyDescent="0.2">
      <c r="B56" s="304"/>
      <c r="C56" s="304"/>
    </row>
    <row r="57" spans="1:88" ht="15" customHeight="1" x14ac:dyDescent="0.2">
      <c r="B57" s="304"/>
      <c r="C57" s="304"/>
    </row>
    <row r="58" spans="1:88" ht="15" customHeight="1" x14ac:dyDescent="0.2">
      <c r="B58" s="304"/>
      <c r="C58" s="304"/>
    </row>
    <row r="60" spans="1:88" ht="11.25" x14ac:dyDescent="0.2">
      <c r="A60" s="509" t="s">
        <v>168</v>
      </c>
      <c r="B60" s="509"/>
      <c r="C60" s="446"/>
      <c r="D60" s="447" t="str">
        <f>REPT(A60, 20)</f>
        <v xml:space="preserv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v>
      </c>
      <c r="E60" s="448"/>
      <c r="F60" s="446"/>
      <c r="G60" s="448"/>
      <c r="H60" s="449"/>
      <c r="I60" s="448"/>
      <c r="J60" s="448"/>
      <c r="K60" s="448"/>
      <c r="L60" s="448"/>
      <c r="M60" s="448"/>
      <c r="N60" s="448"/>
      <c r="O60" s="448"/>
      <c r="P60" s="448"/>
      <c r="Q60" s="448"/>
      <c r="R60" s="448"/>
      <c r="S60" s="448"/>
      <c r="T60" s="448"/>
      <c r="U60" s="448"/>
      <c r="V60" s="450"/>
      <c r="W60" s="450"/>
      <c r="X60" s="448"/>
      <c r="Y60" s="448"/>
      <c r="Z60" s="448"/>
      <c r="AA60" s="448"/>
      <c r="AB60" s="448"/>
      <c r="AC60" s="448"/>
      <c r="AD60" s="448"/>
      <c r="AE60" s="450"/>
      <c r="AF60" s="450"/>
      <c r="AG60" s="450"/>
      <c r="AH60" s="450"/>
      <c r="AI60" s="450"/>
      <c r="AJ60" s="448"/>
      <c r="AK60" s="448"/>
      <c r="AL60" s="448"/>
      <c r="AM60" s="448"/>
      <c r="AN60" s="448"/>
      <c r="AO60" s="448"/>
      <c r="AP60" s="450"/>
      <c r="AQ60" s="450"/>
      <c r="AR60" s="448"/>
      <c r="AS60" s="448"/>
      <c r="AT60" s="450"/>
      <c r="AU60" s="450"/>
      <c r="AV60" s="448"/>
      <c r="AW60" s="448"/>
      <c r="AX60" s="450"/>
      <c r="AY60" s="450"/>
      <c r="AZ60" s="448"/>
      <c r="BA60" s="448"/>
      <c r="BB60" s="450"/>
      <c r="BC60" s="450"/>
      <c r="BD60" s="448"/>
      <c r="BE60" s="448"/>
      <c r="BF60" s="450"/>
      <c r="BG60" s="450"/>
      <c r="BH60" s="448"/>
      <c r="BI60" s="448"/>
      <c r="BJ60" s="448"/>
      <c r="BK60" s="448"/>
      <c r="BL60" s="448"/>
      <c r="BM60" s="451"/>
      <c r="BN60" s="451"/>
      <c r="BO60" s="448"/>
      <c r="BP60" s="451"/>
      <c r="BQ60" s="451"/>
      <c r="BR60" s="448"/>
      <c r="BS60" s="448"/>
      <c r="BT60" s="448"/>
      <c r="BU60" s="448"/>
      <c r="BV60" s="448"/>
      <c r="BW60" s="448"/>
      <c r="BX60" s="448"/>
      <c r="BY60" s="448"/>
      <c r="BZ60" s="448"/>
      <c r="CA60" s="448"/>
      <c r="CB60" s="448"/>
      <c r="CC60" s="448"/>
      <c r="CD60" s="448"/>
      <c r="CE60" s="448"/>
      <c r="CF60" s="448"/>
      <c r="CG60" s="448"/>
      <c r="CH60" s="448"/>
      <c r="CI60" s="450"/>
      <c r="CJ60" s="450"/>
    </row>
    <row r="61" spans="1:88" ht="15" customHeight="1" x14ac:dyDescent="0.2">
      <c r="A61" s="297">
        <v>-1</v>
      </c>
      <c r="B61" s="297" t="s">
        <v>457</v>
      </c>
      <c r="C61" s="305"/>
      <c r="D61" s="326" t="s">
        <v>458</v>
      </c>
      <c r="E61" s="283" t="s">
        <v>459</v>
      </c>
      <c r="F61" s="310" t="str">
        <f>LEFT(E61,8)</f>
        <v>##INFO(T</v>
      </c>
      <c r="G61" s="298" t="s">
        <v>460</v>
      </c>
      <c r="H61" s="298" t="s">
        <v>461</v>
      </c>
      <c r="I61" s="306"/>
      <c r="J61" s="299" t="s">
        <v>462</v>
      </c>
      <c r="K61" s="299" t="s">
        <v>463</v>
      </c>
      <c r="L61" s="299" t="s">
        <v>464</v>
      </c>
      <c r="M61" s="299" t="s">
        <v>465</v>
      </c>
      <c r="N61" s="284" t="s">
        <v>466</v>
      </c>
      <c r="O61" s="284" t="s">
        <v>467</v>
      </c>
      <c r="P61" s="284" t="s">
        <v>468</v>
      </c>
      <c r="Q61" s="284" t="s">
        <v>469</v>
      </c>
      <c r="R61" s="285" t="s">
        <v>470</v>
      </c>
      <c r="S61" s="285" t="e">
        <f>R61+R60</f>
        <v>#VALUE!</v>
      </c>
      <c r="T61" s="314" t="s">
        <v>714</v>
      </c>
      <c r="U61" s="314" t="s">
        <v>716</v>
      </c>
      <c r="V61" s="289" t="s">
        <v>471</v>
      </c>
      <c r="W61" s="289" t="s">
        <v>472</v>
      </c>
      <c r="X61" s="289" t="e">
        <f>W61-V61</f>
        <v>#VALUE!</v>
      </c>
      <c r="Y61" s="289" t="e">
        <f>X61/$R61</f>
        <v>#VALUE!</v>
      </c>
      <c r="Z61" s="308" t="s">
        <v>473</v>
      </c>
      <c r="AA61" s="289" t="s">
        <v>474</v>
      </c>
      <c r="AB61" s="289" t="e">
        <f>AA61-Z61</f>
        <v>#VALUE!</v>
      </c>
      <c r="AC61" s="289" t="e">
        <f>AB61/$R61</f>
        <v>#VALUE!</v>
      </c>
      <c r="AD61" s="308" t="s">
        <v>475</v>
      </c>
      <c r="AE61" s="289" t="s">
        <v>476</v>
      </c>
      <c r="AF61" s="289" t="e">
        <f>AE61-AD61</f>
        <v>#VALUE!</v>
      </c>
      <c r="AG61" s="289" t="e">
        <f>AF61/$R61</f>
        <v>#VALUE!</v>
      </c>
      <c r="AH61" s="308" t="s">
        <v>477</v>
      </c>
      <c r="AI61" s="289" t="s">
        <v>478</v>
      </c>
      <c r="AJ61" s="289" t="e">
        <f>AI61-AH61</f>
        <v>#VALUE!</v>
      </c>
      <c r="AK61" s="307" t="e">
        <f>AJ61/$R61</f>
        <v>#VALUE!</v>
      </c>
      <c r="AL61" s="308" t="s">
        <v>728</v>
      </c>
      <c r="AM61" s="289" t="s">
        <v>729</v>
      </c>
      <c r="AN61" s="289" t="e">
        <f>AM61-AL61</f>
        <v>#VALUE!</v>
      </c>
      <c r="AO61" s="307" t="e">
        <f>AN61/$R61</f>
        <v>#VALUE!</v>
      </c>
      <c r="AP61" s="308" t="s">
        <v>734</v>
      </c>
      <c r="AQ61" s="289" t="s">
        <v>735</v>
      </c>
      <c r="AR61" s="289" t="e">
        <f>AQ61-AP61</f>
        <v>#VALUE!</v>
      </c>
      <c r="AS61" s="307" t="e">
        <f>AR61/$R61</f>
        <v>#VALUE!</v>
      </c>
      <c r="AT61" s="308" t="s">
        <v>736</v>
      </c>
      <c r="AU61" s="289" t="s">
        <v>737</v>
      </c>
      <c r="AV61" s="289" t="e">
        <f>AU61-AT61</f>
        <v>#VALUE!</v>
      </c>
      <c r="AW61" s="307" t="e">
        <f>AV61/$R61</f>
        <v>#VALUE!</v>
      </c>
      <c r="AX61" s="308" t="s">
        <v>738</v>
      </c>
      <c r="AY61" s="289" t="s">
        <v>739</v>
      </c>
      <c r="AZ61" s="289" t="e">
        <f>AY61-AX61</f>
        <v>#VALUE!</v>
      </c>
      <c r="BA61" s="307" t="e">
        <f>AZ61/$R61</f>
        <v>#VALUE!</v>
      </c>
      <c r="BB61" s="308" t="s">
        <v>740</v>
      </c>
      <c r="BC61" s="289" t="s">
        <v>741</v>
      </c>
      <c r="BD61" s="289" t="e">
        <f>BC61-BB61</f>
        <v>#VALUE!</v>
      </c>
      <c r="BE61" s="307" t="e">
        <f>BD61/$R61</f>
        <v>#VALUE!</v>
      </c>
      <c r="BF61" s="308" t="s">
        <v>742</v>
      </c>
      <c r="BG61" s="289" t="s">
        <v>743</v>
      </c>
      <c r="BH61" s="289" t="e">
        <f>BG61-BF61</f>
        <v>#VALUE!</v>
      </c>
      <c r="BI61" s="307" t="e">
        <f>BH61/$R61</f>
        <v>#VALUE!</v>
      </c>
      <c r="BJ61" s="281" t="s">
        <v>714</v>
      </c>
      <c r="BK61" s="281" t="s">
        <v>766</v>
      </c>
      <c r="BL61" s="281" t="e">
        <f>BK61-BJ61</f>
        <v>#VALUE!</v>
      </c>
      <c r="BM61" s="408" t="s">
        <v>742</v>
      </c>
      <c r="BN61" s="458" t="s">
        <v>743</v>
      </c>
      <c r="BO61" s="458" t="e">
        <f>BN61-BM61</f>
        <v>#VALUE!</v>
      </c>
      <c r="BP61" s="408" t="s">
        <v>740</v>
      </c>
      <c r="BQ61" s="458" t="s">
        <v>741</v>
      </c>
      <c r="BR61" s="458" t="e">
        <f>BQ61-BP61</f>
        <v>#VALUE!</v>
      </c>
      <c r="BS61" s="281"/>
      <c r="BT61" s="281"/>
      <c r="BU61" s="281"/>
      <c r="BV61" s="281"/>
      <c r="BW61" s="298" t="s">
        <v>479</v>
      </c>
      <c r="BX61" s="422" t="s">
        <v>480</v>
      </c>
      <c r="BY61" s="422" t="s">
        <v>481</v>
      </c>
      <c r="BZ61" s="422" t="s">
        <v>482</v>
      </c>
      <c r="CA61" s="422" t="s">
        <v>483</v>
      </c>
      <c r="CB61" s="422" t="s">
        <v>484</v>
      </c>
      <c r="CC61" s="422" t="s">
        <v>485</v>
      </c>
      <c r="CD61" s="422" t="s">
        <v>486</v>
      </c>
      <c r="CE61" s="422" t="s">
        <v>487</v>
      </c>
      <c r="CF61" s="422" t="s">
        <v>488</v>
      </c>
      <c r="CG61" s="422" t="s">
        <v>489</v>
      </c>
      <c r="CH61" s="422" t="s">
        <v>490</v>
      </c>
      <c r="CI61" s="422" t="s">
        <v>491</v>
      </c>
    </row>
    <row r="62" spans="1:88" ht="15" customHeight="1" x14ac:dyDescent="0.2">
      <c r="A62" s="297">
        <v>-1</v>
      </c>
      <c r="B62" s="297" t="s">
        <v>492</v>
      </c>
      <c r="C62" s="297"/>
      <c r="D62" s="326" t="s">
        <v>458</v>
      </c>
      <c r="E62" s="283" t="s">
        <v>459</v>
      </c>
      <c r="F62" s="310" t="str">
        <f>LEFT(E62,8)</f>
        <v>##INFO(T</v>
      </c>
      <c r="G62" s="298" t="s">
        <v>460</v>
      </c>
      <c r="H62" s="298" t="s">
        <v>461</v>
      </c>
      <c r="I62" s="306"/>
      <c r="J62" s="299" t="s">
        <v>462</v>
      </c>
      <c r="K62" s="299" t="s">
        <v>463</v>
      </c>
      <c r="L62" s="299" t="s">
        <v>464</v>
      </c>
      <c r="M62" s="299" t="s">
        <v>465</v>
      </c>
      <c r="N62" s="284" t="s">
        <v>466</v>
      </c>
      <c r="O62" s="284" t="s">
        <v>467</v>
      </c>
      <c r="P62" s="284" t="s">
        <v>468</v>
      </c>
      <c r="Q62" s="284" t="s">
        <v>469</v>
      </c>
      <c r="R62" s="285" t="s">
        <v>470</v>
      </c>
      <c r="S62" s="285" t="e">
        <f>R62+R61</f>
        <v>#VALUE!</v>
      </c>
      <c r="T62" s="314" t="s">
        <v>715</v>
      </c>
      <c r="U62" s="314" t="s">
        <v>716</v>
      </c>
      <c r="V62" s="289" t="s">
        <v>471</v>
      </c>
      <c r="W62" s="289" t="s">
        <v>472</v>
      </c>
      <c r="X62" s="289" t="e">
        <f>W62-V62-X63</f>
        <v>#VALUE!</v>
      </c>
      <c r="Y62" s="289" t="e">
        <f>X62/$R62</f>
        <v>#VALUE!</v>
      </c>
      <c r="Z62" s="308" t="s">
        <v>473</v>
      </c>
      <c r="AA62" s="289" t="s">
        <v>474</v>
      </c>
      <c r="AB62" s="289" t="e">
        <f>AA62-Z62-AB63</f>
        <v>#VALUE!</v>
      </c>
      <c r="AC62" s="289" t="e">
        <f>AB62/$R62</f>
        <v>#VALUE!</v>
      </c>
      <c r="AD62" s="308" t="s">
        <v>475</v>
      </c>
      <c r="AE62" s="289" t="s">
        <v>476</v>
      </c>
      <c r="AF62" s="289" t="e">
        <f>AE62-AD62-AF63</f>
        <v>#VALUE!</v>
      </c>
      <c r="AG62" s="289" t="e">
        <f>AF62/$R62</f>
        <v>#VALUE!</v>
      </c>
      <c r="AH62" s="308" t="s">
        <v>477</v>
      </c>
      <c r="AI62" s="289" t="s">
        <v>478</v>
      </c>
      <c r="AJ62" s="289" t="e">
        <f>AI62-AH62-AJ63</f>
        <v>#VALUE!</v>
      </c>
      <c r="AK62" s="307" t="e">
        <f>AJ62/$R62</f>
        <v>#VALUE!</v>
      </c>
      <c r="AL62" s="308" t="s">
        <v>728</v>
      </c>
      <c r="AM62" s="289" t="s">
        <v>729</v>
      </c>
      <c r="AN62" s="289" t="e">
        <f>AM62-AL62-AN63</f>
        <v>#VALUE!</v>
      </c>
      <c r="AO62" s="307" t="e">
        <f>AN62/$R62</f>
        <v>#VALUE!</v>
      </c>
      <c r="AP62" s="308" t="s">
        <v>734</v>
      </c>
      <c r="AQ62" s="289" t="s">
        <v>735</v>
      </c>
      <c r="AR62" s="289" t="e">
        <f>AQ62-AP62-AR63</f>
        <v>#VALUE!</v>
      </c>
      <c r="AS62" s="307" t="e">
        <f>AR62/$R62</f>
        <v>#VALUE!</v>
      </c>
      <c r="AT62" s="308" t="s">
        <v>736</v>
      </c>
      <c r="AU62" s="289" t="s">
        <v>737</v>
      </c>
      <c r="AV62" s="289" t="e">
        <f>AU62-AT62-AV63</f>
        <v>#VALUE!</v>
      </c>
      <c r="AW62" s="307" t="e">
        <f>AV62/$R62</f>
        <v>#VALUE!</v>
      </c>
      <c r="AX62" s="308" t="s">
        <v>738</v>
      </c>
      <c r="AY62" s="289" t="s">
        <v>739</v>
      </c>
      <c r="AZ62" s="289" t="e">
        <f>AY62-AX62-AZ63</f>
        <v>#VALUE!</v>
      </c>
      <c r="BA62" s="307" t="e">
        <f>AZ62/$R62</f>
        <v>#VALUE!</v>
      </c>
      <c r="BB62" s="308" t="s">
        <v>740</v>
      </c>
      <c r="BC62" s="289" t="s">
        <v>741</v>
      </c>
      <c r="BD62" s="289" t="e">
        <f>BC62-BB62-BD63</f>
        <v>#VALUE!</v>
      </c>
      <c r="BE62" s="307" t="e">
        <f>BD62/$R62</f>
        <v>#VALUE!</v>
      </c>
      <c r="BF62" s="308" t="s">
        <v>742</v>
      </c>
      <c r="BG62" s="289" t="s">
        <v>743</v>
      </c>
      <c r="BH62" s="289" t="e">
        <f>BG62-BF62-BH63</f>
        <v>#VALUE!</v>
      </c>
      <c r="BI62" s="307" t="e">
        <f>BH62/$R62</f>
        <v>#VALUE!</v>
      </c>
      <c r="BJ62" s="281" t="s">
        <v>714</v>
      </c>
      <c r="BK62" s="281" t="s">
        <v>766</v>
      </c>
      <c r="BL62" s="281" t="e">
        <f>BK62-BJ62-BL63</f>
        <v>#VALUE!</v>
      </c>
      <c r="BM62" s="408" t="s">
        <v>742</v>
      </c>
      <c r="BN62" s="458" t="s">
        <v>743</v>
      </c>
      <c r="BO62" s="458" t="e">
        <f>BN62-BM62-BO63</f>
        <v>#VALUE!</v>
      </c>
      <c r="BP62" s="408" t="s">
        <v>740</v>
      </c>
      <c r="BQ62" s="458" t="s">
        <v>741</v>
      </c>
      <c r="BR62" s="458" t="e">
        <f>BQ62-BP62-BR63</f>
        <v>#VALUE!</v>
      </c>
      <c r="BS62" s="281"/>
      <c r="BT62" s="281"/>
      <c r="BU62" s="281"/>
      <c r="BV62" s="281"/>
      <c r="BW62" s="298" t="s">
        <v>479</v>
      </c>
      <c r="BX62" s="422" t="s">
        <v>480</v>
      </c>
      <c r="BY62" s="422" t="s">
        <v>481</v>
      </c>
      <c r="BZ62" s="422" t="s">
        <v>482</v>
      </c>
      <c r="CA62" s="422" t="s">
        <v>483</v>
      </c>
      <c r="CB62" s="422" t="s">
        <v>484</v>
      </c>
      <c r="CC62" s="422" t="s">
        <v>485</v>
      </c>
      <c r="CD62" s="422" t="s">
        <v>486</v>
      </c>
      <c r="CE62" s="422" t="s">
        <v>487</v>
      </c>
      <c r="CF62" s="422" t="s">
        <v>488</v>
      </c>
      <c r="CG62" s="422" t="s">
        <v>489</v>
      </c>
      <c r="CH62" s="422" t="s">
        <v>490</v>
      </c>
      <c r="CI62" s="422" t="s">
        <v>491</v>
      </c>
    </row>
    <row r="63" spans="1:88" ht="15" customHeight="1" x14ac:dyDescent="0.2">
      <c r="A63" s="297">
        <v>-1</v>
      </c>
      <c r="B63" s="297" t="s">
        <v>493</v>
      </c>
      <c r="C63" s="297"/>
      <c r="D63" s="326" t="s">
        <v>458</v>
      </c>
      <c r="E63" s="283" t="s">
        <v>459</v>
      </c>
      <c r="F63" s="310" t="str">
        <f>LEFT(E63,8)</f>
        <v>##INFO(T</v>
      </c>
      <c r="G63" s="298" t="s">
        <v>460</v>
      </c>
      <c r="H63" s="298" t="s">
        <v>461</v>
      </c>
      <c r="I63" s="306"/>
      <c r="J63" s="300" t="e">
        <f>AVERAGE(J61:J62)</f>
        <v>#DIV/0!</v>
      </c>
      <c r="K63" s="300" t="e">
        <f>AVERAGE(K61:K62)</f>
        <v>#DIV/0!</v>
      </c>
      <c r="L63" s="300" t="e">
        <f>AVERAGE(L61:L62)</f>
        <v>#DIV/0!</v>
      </c>
      <c r="M63" s="300" t="e">
        <f>AVERAGE(M61:M62)</f>
        <v>#DIV/0!</v>
      </c>
      <c r="N63" s="286"/>
      <c r="O63" s="284"/>
      <c r="P63" s="302"/>
      <c r="Q63" s="301"/>
      <c r="R63" s="287" t="e">
        <f>R62+R61</f>
        <v>#VALUE!</v>
      </c>
      <c r="S63" s="287" t="e">
        <f>S62</f>
        <v>#VALUE!</v>
      </c>
      <c r="T63" s="315" t="str">
        <f>T61</f>
        <v>##DATA(Exhaust_Bag, =$$, HVBatt_SOC_CAN4__per)</v>
      </c>
      <c r="U63" s="315" t="str">
        <f>U62</f>
        <v>##DATA(Exhaust_Bag, =$$-,HVBatt_SOC_CAN4__per)</v>
      </c>
      <c r="V63" s="290" t="str">
        <f>V61</f>
        <v>##DATA(Exhaust_Bag, =$$, WP1)</v>
      </c>
      <c r="W63" s="290" t="str">
        <f>W62</f>
        <v>##DATA(Exhaust_Bag, =$$-, WP1)</v>
      </c>
      <c r="X63" s="290" t="e">
        <f>SUM(X61:X62)</f>
        <v>#VALUE!</v>
      </c>
      <c r="Y63" s="290" t="e">
        <f>X63/$R63</f>
        <v>#VALUE!</v>
      </c>
      <c r="Z63" s="290" t="str">
        <f>Z61</f>
        <v>##DATA(Exhaust_Bag, =$$, WP2)</v>
      </c>
      <c r="AA63" s="290" t="str">
        <f>AA62</f>
        <v>##DATA(Exhaust_Bag, =$$-, WP2)</v>
      </c>
      <c r="AB63" s="290" t="e">
        <f>SUM(AB61:AB62)</f>
        <v>#VALUE!</v>
      </c>
      <c r="AC63" s="290" t="e">
        <f>AB63/$R63</f>
        <v>#VALUE!</v>
      </c>
      <c r="AD63" s="290" t="str">
        <f>AD61</f>
        <v>##DATA(Exhaust_Bag, =$$, WP3)</v>
      </c>
      <c r="AE63" s="290" t="str">
        <f>AE62</f>
        <v>##DATA(Exhaust_Bag, =$$-, WP3)</v>
      </c>
      <c r="AF63" s="290" t="e">
        <f>SUM(AF61:AF62)</f>
        <v>#VALUE!</v>
      </c>
      <c r="AG63" s="290" t="e">
        <f>AF63/$R63</f>
        <v>#VALUE!</v>
      </c>
      <c r="AH63" s="290" t="str">
        <f>AH61</f>
        <v>##DATA(Exhaust_Bag, =$$, WP4)</v>
      </c>
      <c r="AI63" s="290" t="str">
        <f>AI62</f>
        <v>##DATA(Exhaust_Bag, =$$-, WP4)</v>
      </c>
      <c r="AJ63" s="290" t="e">
        <f>SUM(AJ61:AJ62)</f>
        <v>#VALUE!</v>
      </c>
      <c r="AK63" s="288" t="e">
        <f>AJ63/$R63</f>
        <v>#VALUE!</v>
      </c>
      <c r="AL63" s="290" t="str">
        <f>AL61</f>
        <v>##DATA(Exhaust_Bag, =$$, WP5)</v>
      </c>
      <c r="AM63" s="290" t="str">
        <f>AM62</f>
        <v>##DATA(Exhaust_Bag, =$$-, WP5)</v>
      </c>
      <c r="AN63" s="290" t="e">
        <f>SUM(AN61:AN62)</f>
        <v>#VALUE!</v>
      </c>
      <c r="AO63" s="288" t="e">
        <f>AN63/$R63</f>
        <v>#VALUE!</v>
      </c>
      <c r="AP63" s="290" t="str">
        <f>AP61</f>
        <v>##DATA(Exhaust_Bag, =$$, WP6)</v>
      </c>
      <c r="AQ63" s="290" t="str">
        <f>AQ62</f>
        <v>##DATA(Exhaust_Bag, =$$-, WP6)</v>
      </c>
      <c r="AR63" s="290" t="e">
        <f>SUM(AR61:AR62)</f>
        <v>#VALUE!</v>
      </c>
      <c r="AS63" s="288" t="e">
        <f>AR63/$R63</f>
        <v>#VALUE!</v>
      </c>
      <c r="AT63" s="290" t="str">
        <f>AT61</f>
        <v>##DATA(Exhaust_Bag, =$$, WP7)</v>
      </c>
      <c r="AU63" s="290" t="str">
        <f>AU62</f>
        <v>##DATA(Exhaust_Bag, =$$-, WP7)</v>
      </c>
      <c r="AV63" s="290" t="e">
        <f>SUM(AV61:AV62)</f>
        <v>#VALUE!</v>
      </c>
      <c r="AW63" s="288" t="e">
        <f>AV63/$R63</f>
        <v>#VALUE!</v>
      </c>
      <c r="AX63" s="290" t="str">
        <f>AX61</f>
        <v>##DATA(Exhaust_Bag, =$$, WP8)</v>
      </c>
      <c r="AY63" s="290" t="str">
        <f>AY62</f>
        <v>##DATA(Exhaust_Bag, =$$-, WP8)</v>
      </c>
      <c r="AZ63" s="290" t="e">
        <f>SUM(AZ61:AZ62)</f>
        <v>#VALUE!</v>
      </c>
      <c r="BA63" s="288" t="e">
        <f>AZ63/$R63</f>
        <v>#VALUE!</v>
      </c>
      <c r="BB63" s="290" t="str">
        <f>BB61</f>
        <v>##DATA(Exhaust_Bag, =$$, WP9)</v>
      </c>
      <c r="BC63" s="290" t="str">
        <f>BC62</f>
        <v>##DATA(Exhaust_Bag, =$$-, WP9)</v>
      </c>
      <c r="BD63" s="290" t="e">
        <f>SUM(BD61:BD62)</f>
        <v>#VALUE!</v>
      </c>
      <c r="BE63" s="288" t="e">
        <f>BD63/$R63</f>
        <v>#VALUE!</v>
      </c>
      <c r="BF63" s="290" t="str">
        <f>BF61</f>
        <v>##DATA(Exhaust_Bag, =$$, WP10)</v>
      </c>
      <c r="BG63" s="290" t="str">
        <f>BG62</f>
        <v>##DATA(Exhaust_Bag, =$$-, WP10)</v>
      </c>
      <c r="BH63" s="290" t="e">
        <f>SUM(BH61:BH62)</f>
        <v>#VALUE!</v>
      </c>
      <c r="BI63" s="288" t="e">
        <f>BH63/$R63</f>
        <v>#VALUE!</v>
      </c>
      <c r="BJ63" s="282"/>
      <c r="BK63" s="282"/>
      <c r="BL63" s="282" t="e">
        <f>SUM(BL61:BL62)</f>
        <v>#VALUE!</v>
      </c>
      <c r="BM63" s="459" t="str">
        <f>BM61</f>
        <v>##DATA(Exhaust_Bag, =$$, WP10)</v>
      </c>
      <c r="BN63" s="459" t="str">
        <f>BN62</f>
        <v>##DATA(Exhaust_Bag, =$$-, WP10)</v>
      </c>
      <c r="BO63" s="459" t="e">
        <f>SUM(BO61:BO62)</f>
        <v>#VALUE!</v>
      </c>
      <c r="BP63" s="459" t="str">
        <f>BP61</f>
        <v>##DATA(Exhaust_Bag, =$$, WP9)</v>
      </c>
      <c r="BQ63" s="459" t="str">
        <f>BQ62</f>
        <v>##DATA(Exhaust_Bag, =$$-, WP9)</v>
      </c>
      <c r="BR63" s="459" t="e">
        <f>SUM(BR61:BR62)</f>
        <v>#VALUE!</v>
      </c>
      <c r="BS63" s="282"/>
      <c r="BT63" s="282"/>
      <c r="BU63" s="282"/>
      <c r="BV63" s="282"/>
      <c r="BW63" s="298" t="s">
        <v>479</v>
      </c>
      <c r="BX63" s="422" t="s">
        <v>480</v>
      </c>
      <c r="BY63" s="422" t="s">
        <v>481</v>
      </c>
      <c r="BZ63" s="422" t="s">
        <v>482</v>
      </c>
      <c r="CA63" s="422" t="s">
        <v>483</v>
      </c>
      <c r="CB63" s="422" t="s">
        <v>484</v>
      </c>
      <c r="CC63" s="422" t="s">
        <v>485</v>
      </c>
      <c r="CD63" s="422" t="s">
        <v>486</v>
      </c>
      <c r="CE63" s="422" t="s">
        <v>487</v>
      </c>
      <c r="CF63" s="422" t="s">
        <v>488</v>
      </c>
      <c r="CG63" s="422" t="s">
        <v>489</v>
      </c>
      <c r="CH63" s="422" t="s">
        <v>490</v>
      </c>
      <c r="CI63" s="422" t="s">
        <v>491</v>
      </c>
    </row>
  </sheetData>
  <mergeCells count="5">
    <mergeCell ref="T3:U3"/>
    <mergeCell ref="Y3:AE3"/>
    <mergeCell ref="BJ6:BL6"/>
    <mergeCell ref="BS6:BV6"/>
    <mergeCell ref="A60:B60"/>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G76"/>
  <sheetViews>
    <sheetView topLeftCell="W19" zoomScale="85" zoomScaleNormal="85" workbookViewId="0">
      <selection activeCell="AE23" sqref="AE23"/>
    </sheetView>
  </sheetViews>
  <sheetFormatPr defaultColWidth="9.140625" defaultRowHeight="15" x14ac:dyDescent="0.25"/>
  <cols>
    <col min="2" max="2" width="9" customWidth="1"/>
    <col min="3" max="3" width="22.42578125" bestFit="1" customWidth="1"/>
    <col min="4" max="4" width="37.5703125" customWidth="1"/>
    <col min="5" max="5" width="21" customWidth="1"/>
    <col min="6" max="6" width="27" customWidth="1"/>
    <col min="7" max="7" width="9.140625" bestFit="1" customWidth="1"/>
    <col min="8" max="10" width="9" customWidth="1"/>
    <col min="11" max="12" width="19.28515625" customWidth="1"/>
    <col min="13" max="13" width="9" customWidth="1"/>
    <col min="14" max="14" width="27.42578125" customWidth="1"/>
    <col min="15" max="15" width="11.42578125" style="17" customWidth="1"/>
    <col min="16" max="16" width="11.5703125" customWidth="1"/>
    <col min="17" max="17" width="10" customWidth="1"/>
    <col min="18" max="18" width="9.140625" customWidth="1"/>
    <col min="19" max="19" width="13.42578125" bestFit="1" customWidth="1"/>
    <col min="20" max="20" width="16.42578125" bestFit="1" customWidth="1"/>
    <col min="21" max="22" width="12.28515625" bestFit="1" customWidth="1"/>
    <col min="23" max="23" width="9.140625" customWidth="1"/>
    <col min="24" max="24" width="12.85546875" customWidth="1"/>
    <col min="25" max="28" width="9.140625" customWidth="1"/>
    <col min="29" max="29" width="16.85546875" customWidth="1"/>
    <col min="30" max="35" width="9.140625" customWidth="1"/>
    <col min="36" max="36" width="11.7109375" customWidth="1"/>
    <col min="37" max="37" width="11.140625" customWidth="1"/>
    <col min="41" max="41" width="10.85546875" customWidth="1"/>
    <col min="42" max="42" width="11.7109375" bestFit="1" customWidth="1"/>
    <col min="55" max="55" width="9.85546875" bestFit="1" customWidth="1"/>
  </cols>
  <sheetData>
    <row r="1" spans="1:44" x14ac:dyDescent="0.25">
      <c r="B1" s="27"/>
      <c r="C1" s="27"/>
      <c r="D1" s="27"/>
      <c r="E1" s="27"/>
      <c r="F1" s="27"/>
      <c r="G1" s="27"/>
      <c r="O1" s="17" t="s">
        <v>675</v>
      </c>
      <c r="P1" t="s">
        <v>676</v>
      </c>
    </row>
    <row r="2" spans="1:44" x14ac:dyDescent="0.25">
      <c r="B2" s="27"/>
      <c r="C2" s="27"/>
      <c r="D2" s="27"/>
      <c r="E2" s="27"/>
      <c r="O2" s="17" t="s">
        <v>284</v>
      </c>
      <c r="P2" t="s">
        <v>674</v>
      </c>
    </row>
    <row r="5" spans="1:44" ht="15.75" thickBot="1" x14ac:dyDescent="0.3">
      <c r="B5">
        <v>1</v>
      </c>
      <c r="C5">
        <v>2</v>
      </c>
      <c r="D5">
        <v>7</v>
      </c>
      <c r="E5">
        <v>9</v>
      </c>
      <c r="F5">
        <v>10</v>
      </c>
      <c r="G5">
        <v>25</v>
      </c>
      <c r="H5">
        <v>22</v>
      </c>
      <c r="I5">
        <v>23</v>
      </c>
      <c r="J5">
        <v>21</v>
      </c>
      <c r="K5">
        <v>25</v>
      </c>
      <c r="L5">
        <v>41</v>
      </c>
    </row>
    <row r="6" spans="1:44" ht="96" customHeight="1" x14ac:dyDescent="0.25">
      <c r="A6">
        <v>7</v>
      </c>
      <c r="B6" s="103" t="str">
        <f>INDEX(TestSummary!$A$1:$CI$394,'J1634 Calcs'!$A6,'J1634 Calcs'!B$5)</f>
        <v>Test ID [#]</v>
      </c>
      <c r="C6" s="104" t="str">
        <f>INDEX(TestSummary!$A$1:$CI$394,'J1634 Calcs'!$A6,'J1634 Calcs'!C$5)</f>
        <v>Cycle</v>
      </c>
      <c r="D6" s="104" t="str">
        <f>INDEX(TestSummary!$A$1:$CI$394,'J1634 Calcs'!$A6,'J1634 Calcs'!D$5)</f>
        <v>Start Comments</v>
      </c>
      <c r="E6" s="105" t="str">
        <f>INDEX(TestSummary!$A$1:$CI$394,'J1634 Calcs'!$A6,'J1634 Calcs'!E$5)</f>
        <v>SPECIAL COMMENTS</v>
      </c>
      <c r="F6" s="105" t="str">
        <f>INDEX(TestSummary!$A$1:$CI$394,'J1634 Calcs'!$A6,'J1634 Calcs'!F$5)</f>
        <v>Test Cell Temp [C]</v>
      </c>
      <c r="G6" s="106" t="str">
        <f>INDEX(TestSummary!$A$1:$CI$394,'J1634 Calcs'!$A6,'J1634 Calcs'!G$5)</f>
        <v>HV Batt (500A) Energy consumption ΔWP1
[Wh/mi]</v>
      </c>
      <c r="H6" s="106" t="str">
        <f>INDEX(TestSummary!$A$1:$CI$394,'J1634 Calcs'!$A6,'J1634 Calcs'!H$5)</f>
        <v xml:space="preserve">HV Batt (500A)
Start 
WP1 [Wh]
</v>
      </c>
      <c r="I6" s="106" t="str">
        <f>INDEX(TestSummary!$A$1:$CI$394,'J1634 Calcs'!$A6,'J1634 Calcs'!I$5)</f>
        <v>HV Batt (500A) End
WP1 [Wh]</v>
      </c>
      <c r="J6" s="107" t="str">
        <f>INDEX(TestSummary!$A$1:$CI$394,'J1634 Calcs'!$A6,'J1634 Calcs'!J$5)</f>
        <v>End SOC</v>
      </c>
      <c r="K6" s="108" t="str">
        <f>INDEX(TestSummary!$A$1:$CI$394,'J1634 Calcs'!$A6,'J1634 Calcs'!K$5)</f>
        <v>HV Batt (500A) Energy consumption ΔWP1
[Wh/mi]</v>
      </c>
      <c r="L6" s="108"/>
      <c r="N6" t="s">
        <v>271</v>
      </c>
      <c r="Q6" t="s">
        <v>380</v>
      </c>
      <c r="AC6" s="27" t="s">
        <v>272</v>
      </c>
      <c r="AD6" s="505" t="s">
        <v>1019</v>
      </c>
      <c r="AE6" s="505" t="s">
        <v>1020</v>
      </c>
      <c r="AF6" s="505" t="s">
        <v>1021</v>
      </c>
      <c r="AG6" s="505" t="s">
        <v>1022</v>
      </c>
      <c r="AH6" s="505" t="s">
        <v>1023</v>
      </c>
      <c r="AI6" s="505" t="s">
        <v>1024</v>
      </c>
    </row>
    <row r="7" spans="1:44" x14ac:dyDescent="0.25">
      <c r="C7" s="101"/>
      <c r="D7" s="15"/>
      <c r="E7" s="101"/>
      <c r="F7" s="101"/>
      <c r="G7" s="311"/>
      <c r="H7" s="311"/>
      <c r="I7" s="311"/>
      <c r="J7" s="312"/>
      <c r="K7" s="311"/>
      <c r="L7" s="311"/>
      <c r="AC7" t="s">
        <v>207</v>
      </c>
      <c r="AD7" s="93">
        <f>K10</f>
        <v>535.58081962307995</v>
      </c>
      <c r="AE7" s="93">
        <f>K17</f>
        <v>431.3822994414445</v>
      </c>
      <c r="AF7" s="93">
        <f>K24</f>
        <v>398.14452631280835</v>
      </c>
      <c r="AG7" s="93">
        <f>K32</f>
        <v>171.68219040147656</v>
      </c>
      <c r="AH7" s="93">
        <f>K53</f>
        <v>222.81597643414426</v>
      </c>
      <c r="AI7" s="93">
        <f>K61</f>
        <v>216.41664329048987</v>
      </c>
    </row>
    <row r="8" spans="1:44" ht="17.25" customHeight="1" thickBot="1" x14ac:dyDescent="0.3">
      <c r="AC8" t="s">
        <v>278</v>
      </c>
      <c r="AD8" s="93">
        <f t="shared" ref="AD8:AD10" si="0">K11</f>
        <v>363.02252448862623</v>
      </c>
      <c r="AE8" s="93">
        <f t="shared" ref="AE8:AE10" si="1">K18</f>
        <v>311.38109430516528</v>
      </c>
      <c r="AF8" s="93">
        <f t="shared" ref="AF8:AF10" si="2">K25</f>
        <v>315.05056036409576</v>
      </c>
      <c r="AG8" s="93">
        <f>K33</f>
        <v>201.41867388808302</v>
      </c>
      <c r="AH8" s="93">
        <f>K54</f>
        <v>207.24880302286215</v>
      </c>
      <c r="AI8" s="93">
        <f>K62</f>
        <v>213.58571189315117</v>
      </c>
      <c r="AO8" s="84"/>
    </row>
    <row r="9" spans="1:44" ht="16.5" thickBot="1" x14ac:dyDescent="0.3">
      <c r="B9" s="76" t="s">
        <v>376</v>
      </c>
      <c r="C9" s="109"/>
      <c r="D9" s="109"/>
      <c r="E9" s="102"/>
      <c r="F9" s="102"/>
      <c r="G9" s="109"/>
      <c r="H9" s="109"/>
      <c r="I9" s="109"/>
      <c r="J9" s="109"/>
      <c r="K9" s="109"/>
      <c r="L9" s="452"/>
      <c r="N9" s="110" t="s">
        <v>276</v>
      </c>
      <c r="O9" s="17" t="s">
        <v>291</v>
      </c>
      <c r="P9" t="s">
        <v>292</v>
      </c>
      <c r="Q9" s="111" t="s">
        <v>277</v>
      </c>
      <c r="R9" s="112"/>
      <c r="S9" s="112"/>
      <c r="T9" s="112"/>
      <c r="U9" s="112"/>
      <c r="V9" s="112"/>
      <c r="W9" s="112"/>
      <c r="X9" s="112"/>
      <c r="Y9" s="112"/>
      <c r="Z9" s="113"/>
      <c r="AC9" t="s">
        <v>208</v>
      </c>
      <c r="AD9" s="93">
        <f t="shared" si="0"/>
        <v>423.74986958778777</v>
      </c>
      <c r="AE9" s="93">
        <f t="shared" si="1"/>
        <v>339.5422297261257</v>
      </c>
      <c r="AF9" s="93">
        <f t="shared" si="2"/>
        <v>347.23225791628221</v>
      </c>
      <c r="AG9" s="93">
        <f>K34</f>
        <v>163.95361064234356</v>
      </c>
      <c r="AH9" s="93">
        <f>K55</f>
        <v>197.36417977936662</v>
      </c>
      <c r="AI9" s="93">
        <f>K63</f>
        <v>201.39321481124568</v>
      </c>
      <c r="AK9" s="93"/>
      <c r="AL9" s="93"/>
      <c r="AM9" s="93"/>
      <c r="AO9" s="84"/>
      <c r="AP9" s="26"/>
      <c r="AQ9" s="26"/>
      <c r="AR9" s="26"/>
    </row>
    <row r="10" spans="1:44" s="4" customFormat="1" ht="27" customHeight="1" x14ac:dyDescent="0.25">
      <c r="A10" s="407">
        <v>265</v>
      </c>
      <c r="B10" s="219">
        <f>INDEX(TestSummary!$A$1:$CI$394,'J1634 Calcs'!$A10,'J1634 Calcs'!B$5)</f>
        <v>62009059</v>
      </c>
      <c r="C10" s="219" t="str">
        <f>INDEX(TestSummary!$A$1:$CI$394,'J1634 Calcs'!$A10,'J1634 Calcs'!C$5)</f>
        <v>UDDS 1 , Combined</v>
      </c>
      <c r="D10" s="220" t="str">
        <f>INDEX(TestSummary!$A$1:$CI$394,'J1634 Calcs'!$A10,'J1634 Calcs'!D$5)</f>
        <v>J1634 MCT in cold test cell (0°F), UDDS-HWY-UDDS-US06, HVAC-AUTO-72°F</v>
      </c>
      <c r="E10" s="298">
        <f>INDEX(TestSummary!$A$1:$CI$394,'J1634 Calcs'!$A10,'J1634 Calcs'!E$5)</f>
        <v>0</v>
      </c>
      <c r="F10" s="504">
        <f>INDEX(TestSummary!$A$1:$CI$394,'J1634 Calcs'!$A10,'J1634 Calcs'!F$5)</f>
        <v>-17.1973795</v>
      </c>
      <c r="G10" s="221">
        <f>INDEX(TestSummary!$A$1:$CI$394,'J1634 Calcs'!$A10,'J1634 Calcs'!G$5)</f>
        <v>535.58081962307995</v>
      </c>
      <c r="H10" s="221">
        <f>INDEX(TestSummary!$A$1:$CI$394,'J1634 Calcs'!$A10,'J1634 Calcs'!H$5)</f>
        <v>5</v>
      </c>
      <c r="I10" s="221">
        <f>INDEX(TestSummary!$A$1:$CI$394,'J1634 Calcs'!$A10,'J1634 Calcs'!I$5)</f>
        <v>3997</v>
      </c>
      <c r="J10" s="222">
        <f>INDEX(TestSummary!$A$1:$CI$394,'J1634 Calcs'!$A10,'J1634 Calcs'!J$5)</f>
        <v>91.795091999999997</v>
      </c>
      <c r="K10" s="223">
        <f>INDEX(TestSummary!$A$1:$CI$394,'J1634 Calcs'!$A10,'J1634 Calcs'!K$5)</f>
        <v>535.58081962307995</v>
      </c>
      <c r="L10" s="223"/>
      <c r="N10" s="117" t="s">
        <v>667</v>
      </c>
      <c r="O10" s="224">
        <f>ABS(TestSummary!BO285)</f>
        <v>69974.7</v>
      </c>
      <c r="P10" s="224">
        <f>$O$32</f>
        <v>70871.060981000002</v>
      </c>
      <c r="Q10" s="225" t="s">
        <v>16</v>
      </c>
      <c r="R10" s="226" t="s">
        <v>1</v>
      </c>
      <c r="S10" s="226" t="s">
        <v>383</v>
      </c>
      <c r="T10" s="227" t="s">
        <v>279</v>
      </c>
      <c r="U10" s="226" t="s">
        <v>280</v>
      </c>
      <c r="V10" s="227" t="s">
        <v>281</v>
      </c>
      <c r="W10" s="228" t="s">
        <v>673</v>
      </c>
      <c r="X10" s="229" t="s">
        <v>282</v>
      </c>
      <c r="Y10" s="228" t="s">
        <v>283</v>
      </c>
      <c r="Z10" s="230"/>
      <c r="AC10" s="4" t="s">
        <v>286</v>
      </c>
      <c r="AD10" s="93">
        <f t="shared" si="0"/>
        <v>414.91241336503037</v>
      </c>
      <c r="AE10" s="93">
        <f t="shared" si="1"/>
        <v>371.4121574672119</v>
      </c>
      <c r="AF10" s="93">
        <f t="shared" si="2"/>
        <v>373.875230236015</v>
      </c>
      <c r="AG10" s="231">
        <f>K35</f>
        <v>270.01110478849705</v>
      </c>
      <c r="AH10" s="231">
        <f>K56</f>
        <v>273.09184756510598</v>
      </c>
      <c r="AI10" s="93">
        <f>K64</f>
        <v>282.17138816927599</v>
      </c>
      <c r="AK10" s="231"/>
      <c r="AL10" s="231"/>
      <c r="AM10" s="231"/>
      <c r="AO10" s="232"/>
    </row>
    <row r="11" spans="1:44" x14ac:dyDescent="0.25">
      <c r="A11" s="407">
        <f>A10+1</f>
        <v>266</v>
      </c>
      <c r="B11" s="297">
        <f>INDEX(TestSummary!$A$1:$CI$394,'J1634 Calcs'!$A11,'J1634 Calcs'!B$5)</f>
        <v>62009059</v>
      </c>
      <c r="C11" s="297" t="str">
        <f>INDEX(TestSummary!$A$1:$CI$394,'J1634 Calcs'!$A11,'J1634 Calcs'!C$5)</f>
        <v>HWY 1</v>
      </c>
      <c r="D11" s="283" t="str">
        <f>INDEX(TestSummary!$A$1:$CI$394,'J1634 Calcs'!$A11,'J1634 Calcs'!D$5)</f>
        <v>J1634 MCT in cold test cell (0°F), UDDS-HWY-UDDS-US06, HVAC-AUTO-72°F</v>
      </c>
      <c r="E11" s="326">
        <f>INDEX(TestSummary!$A$1:$CI$394,'J1634 Calcs'!$A11,'J1634 Calcs'!E$5)</f>
        <v>0</v>
      </c>
      <c r="F11" s="489">
        <f>INDEX(TestSummary!$A$1:$CI$394,'J1634 Calcs'!$A11,'J1634 Calcs'!F$5)</f>
        <v>-12.982208999999999</v>
      </c>
      <c r="G11" s="114">
        <f>INDEX(TestSummary!$A$1:$CI$394,'J1634 Calcs'!$A11,'J1634 Calcs'!G$5)</f>
        <v>363.02252448862623</v>
      </c>
      <c r="H11" s="114">
        <f>INDEX(TestSummary!$A$1:$CI$394,'J1634 Calcs'!$A11,'J1634 Calcs'!H$5)</f>
        <v>4019</v>
      </c>
      <c r="I11" s="114">
        <f>INDEX(TestSummary!$A$1:$CI$394,'J1634 Calcs'!$A11,'J1634 Calcs'!I$5)</f>
        <v>7752</v>
      </c>
      <c r="J11" s="115">
        <f>INDEX(TestSummary!$A$1:$CI$394,'J1634 Calcs'!$A11,'J1634 Calcs'!J$5)</f>
        <v>86.590247000000005</v>
      </c>
      <c r="K11" s="116">
        <f>INDEX(TestSummary!$A$1:$CI$394,'J1634 Calcs'!$A11,'J1634 Calcs'!K$5)</f>
        <v>363.02252448862623</v>
      </c>
      <c r="L11" s="116"/>
      <c r="N11" s="124" t="s">
        <v>284</v>
      </c>
      <c r="O11" s="125">
        <f>TestSummary!W284-TestSummary!V263</f>
        <v>61626</v>
      </c>
      <c r="P11" s="125">
        <f>$O$33</f>
        <v>64490</v>
      </c>
      <c r="Q11" s="118" t="s">
        <v>285</v>
      </c>
      <c r="R11" s="119" t="s">
        <v>57</v>
      </c>
      <c r="S11" s="119">
        <v>3</v>
      </c>
      <c r="T11" s="120"/>
      <c r="U11" s="120">
        <f>(I10-H10)/O11</f>
        <v>6.4777853503391422E-2</v>
      </c>
      <c r="V11" s="120">
        <f>(1-U11)/S11</f>
        <v>0.31174071549886956</v>
      </c>
      <c r="W11" s="126">
        <f>U11*(K10)+V11*(K12)*3</f>
        <v>430.99403848631903</v>
      </c>
      <c r="X11" s="126">
        <f>P11/W11</f>
        <v>149.63083996821246</v>
      </c>
      <c r="Y11" s="127">
        <f>W11/T14</f>
        <v>489.38237991868084</v>
      </c>
      <c r="Z11" s="123"/>
      <c r="AD11" s="93"/>
      <c r="AE11" s="93"/>
      <c r="AF11" s="93"/>
      <c r="AG11" s="93"/>
      <c r="AH11" s="93"/>
      <c r="AI11" s="93"/>
      <c r="AK11" s="93"/>
      <c r="AL11" s="93"/>
      <c r="AM11" s="93"/>
      <c r="AO11" s="84"/>
    </row>
    <row r="12" spans="1:44" x14ac:dyDescent="0.25">
      <c r="A12" s="407">
        <f>A11+3</f>
        <v>269</v>
      </c>
      <c r="B12" s="297">
        <f>INDEX(TestSummary!$A$1:$CI$394,'J1634 Calcs'!$A12,'J1634 Calcs'!B$5)</f>
        <v>62009059</v>
      </c>
      <c r="C12" s="297" t="str">
        <f>INDEX(TestSummary!$A$1:$CI$394,'J1634 Calcs'!$A12,'J1634 Calcs'!C$5)</f>
        <v>UDDS 2, combined</v>
      </c>
      <c r="D12" s="283" t="str">
        <f>INDEX(TestSummary!$A$1:$CI$394,'J1634 Calcs'!$A12,'J1634 Calcs'!D$5)</f>
        <v>J1634 MCT in cold test cell (0°F), UDDS-HWY-UDDS-US06, HVAC-AUTO-72°F</v>
      </c>
      <c r="E12" s="326">
        <f>INDEX(TestSummary!$A$1:$CI$394,'J1634 Calcs'!$A12,'J1634 Calcs'!E$5)</f>
        <v>0</v>
      </c>
      <c r="F12" s="489">
        <f>INDEX(TestSummary!$A$1:$CI$394,'J1634 Calcs'!$A12,'J1634 Calcs'!F$5)</f>
        <v>-17.168461000000001</v>
      </c>
      <c r="G12" s="114">
        <f>INDEX(TestSummary!$A$1:$CI$394,'J1634 Calcs'!$A12,'J1634 Calcs'!G$5)</f>
        <v>423.74986958778777</v>
      </c>
      <c r="H12" s="114">
        <f>INDEX(TestSummary!$A$1:$CI$394,'J1634 Calcs'!$A12,'J1634 Calcs'!H$5)</f>
        <v>7769</v>
      </c>
      <c r="I12" s="114">
        <f>INDEX(TestSummary!$A$1:$CI$394,'J1634 Calcs'!$A12,'J1634 Calcs'!I$5)</f>
        <v>10924</v>
      </c>
      <c r="J12" s="115">
        <f>INDEX(TestSummary!$A$1:$CI$394,'J1634 Calcs'!$A12,'J1634 Calcs'!J$5)</f>
        <v>82.179260999999997</v>
      </c>
      <c r="K12" s="116">
        <f>INDEX(TestSummary!$A$1:$CI$394,'J1634 Calcs'!$A12,'J1634 Calcs'!K$5)</f>
        <v>423.74986958778777</v>
      </c>
      <c r="L12" s="116"/>
      <c r="Q12" s="118" t="s">
        <v>285</v>
      </c>
      <c r="R12" s="119" t="s">
        <v>55</v>
      </c>
      <c r="S12" s="119">
        <v>2</v>
      </c>
      <c r="T12" s="120">
        <f>1/S12</f>
        <v>0.5</v>
      </c>
      <c r="U12" s="120"/>
      <c r="V12" s="120"/>
      <c r="W12" s="126">
        <f>T12*(K11)*2</f>
        <v>363.02252448862623</v>
      </c>
      <c r="X12" s="126">
        <f>P11/W12</f>
        <v>177.64737901826948</v>
      </c>
      <c r="Y12" s="127">
        <f>W12/T14</f>
        <v>412.20251589157618</v>
      </c>
      <c r="Z12" s="123"/>
      <c r="AC12" s="27" t="s">
        <v>287</v>
      </c>
      <c r="AD12" s="93"/>
      <c r="AE12" s="93"/>
      <c r="AF12" s="93"/>
      <c r="AG12" s="93"/>
      <c r="AH12" s="93"/>
      <c r="AI12" s="93"/>
    </row>
    <row r="13" spans="1:44" x14ac:dyDescent="0.25">
      <c r="A13" s="407">
        <f>A12+3</f>
        <v>272</v>
      </c>
      <c r="B13" s="297">
        <f>INDEX(TestSummary!$A$1:$CI$394,'J1634 Calcs'!$A13,'J1634 Calcs'!B$5)</f>
        <v>62009059</v>
      </c>
      <c r="C13" s="297" t="str">
        <f>INDEX(TestSummary!$A$1:$CI$394,'J1634 Calcs'!$A13,'J1634 Calcs'!C$5)</f>
        <v>US06 1, combined</v>
      </c>
      <c r="D13" s="283" t="str">
        <f>INDEX(TestSummary!$A$1:$CI$394,'J1634 Calcs'!$A13,'J1634 Calcs'!D$5)</f>
        <v>J1634 MCT in cold test cell (0°F), UDDS-HWY-UDDS-US06, HVAC-AUTO-72°F</v>
      </c>
      <c r="E13" s="326">
        <f>INDEX(TestSummary!$A$1:$CI$394,'J1634 Calcs'!$A13,'J1634 Calcs'!E$5)</f>
        <v>0</v>
      </c>
      <c r="F13" s="489">
        <f>INDEX(TestSummary!$A$1:$CI$394,'J1634 Calcs'!$A13,'J1634 Calcs'!F$5)</f>
        <v>-12.287806499999999</v>
      </c>
      <c r="G13" s="114">
        <f>INDEX(TestSummary!$A$1:$CI$394,'J1634 Calcs'!$A13,'J1634 Calcs'!G$5)</f>
        <v>414.91241336503037</v>
      </c>
      <c r="H13" s="114">
        <f>INDEX(TestSummary!$A$1:$CI$394,'J1634 Calcs'!$A13,'J1634 Calcs'!H$5)</f>
        <v>11028</v>
      </c>
      <c r="I13" s="114">
        <f>INDEX(TestSummary!$A$1:$CI$394,'J1634 Calcs'!$A13,'J1634 Calcs'!I$5)</f>
        <v>14084</v>
      </c>
      <c r="J13" s="115">
        <f>INDEX(TestSummary!$A$1:$CI$394,'J1634 Calcs'!$A13,'J1634 Calcs'!J$5)</f>
        <v>77.652527000000006</v>
      </c>
      <c r="K13" s="116">
        <f>INDEX(TestSummary!$A$1:$CI$394,'J1634 Calcs'!$A13,'J1634 Calcs'!K$5)</f>
        <v>414.91241336503037</v>
      </c>
      <c r="L13" s="116"/>
      <c r="Q13" s="118" t="s">
        <v>285</v>
      </c>
      <c r="R13" s="119" t="s">
        <v>209</v>
      </c>
      <c r="S13" s="119">
        <v>2</v>
      </c>
      <c r="T13" s="120">
        <f>1/S13</f>
        <v>0.5</v>
      </c>
      <c r="U13" s="120"/>
      <c r="V13" s="120"/>
      <c r="W13" s="126">
        <f>T13*(K13)*2</f>
        <v>414.91241336503037</v>
      </c>
      <c r="X13" s="126">
        <f>P11/W13</f>
        <v>155.43039427760669</v>
      </c>
      <c r="Y13" s="127">
        <f>W13/T14</f>
        <v>471.1221181237463</v>
      </c>
      <c r="Z13" s="123"/>
      <c r="AC13" t="s">
        <v>57</v>
      </c>
      <c r="AD13" s="93">
        <f>Y11</f>
        <v>489.38237991868084</v>
      </c>
      <c r="AE13" s="93">
        <f>Y18</f>
        <v>382.59937123005881</v>
      </c>
      <c r="AF13" s="93">
        <f>Y26</f>
        <v>389.6871075386282</v>
      </c>
      <c r="AG13" s="93">
        <f>Y33</f>
        <v>177.94949718743936</v>
      </c>
      <c r="AH13" s="93">
        <f>Y55</f>
        <v>228.69104628960224</v>
      </c>
      <c r="AI13" s="93">
        <f>Y63</f>
        <v>233.02008387051154</v>
      </c>
      <c r="AP13" s="26"/>
    </row>
    <row r="14" spans="1:44" ht="15.75" thickBot="1" x14ac:dyDescent="0.3">
      <c r="B14" s="304"/>
      <c r="C14" s="304"/>
      <c r="D14" s="15"/>
      <c r="E14" s="101"/>
      <c r="F14" s="101"/>
      <c r="G14" s="135"/>
      <c r="H14" s="135"/>
      <c r="I14" s="135"/>
      <c r="J14" s="136"/>
      <c r="K14" s="137"/>
      <c r="L14" s="137"/>
      <c r="Q14" s="128" t="s">
        <v>285</v>
      </c>
      <c r="R14" s="129" t="s">
        <v>288</v>
      </c>
      <c r="S14" s="129"/>
      <c r="T14" s="233">
        <f>O11/O10</f>
        <v>0.88068973500422298</v>
      </c>
      <c r="U14" s="130"/>
      <c r="V14" s="130"/>
      <c r="W14" s="131" t="s">
        <v>272</v>
      </c>
      <c r="X14" s="131" t="s">
        <v>289</v>
      </c>
      <c r="Y14" s="132" t="s">
        <v>287</v>
      </c>
      <c r="Z14" s="133"/>
      <c r="AC14" t="s">
        <v>55</v>
      </c>
      <c r="AD14" s="93">
        <f>Y12</f>
        <v>412.20251589157618</v>
      </c>
      <c r="AE14" s="93">
        <f>Y19</f>
        <v>346.0745122213882</v>
      </c>
      <c r="AF14" s="93">
        <f>Y27</f>
        <v>351.12470938268706</v>
      </c>
      <c r="AG14" s="93">
        <f>Y34</f>
        <v>221.34835043936246</v>
      </c>
      <c r="AH14" s="93">
        <f>Y56</f>
        <v>239.34744343126175</v>
      </c>
      <c r="AI14" s="93">
        <f>Y64</f>
        <v>246.66581109002814</v>
      </c>
    </row>
    <row r="15" spans="1:44" ht="15.75" thickBot="1" x14ac:dyDescent="0.3">
      <c r="AC15" t="s">
        <v>209</v>
      </c>
      <c r="AD15" s="93">
        <f>Y13</f>
        <v>471.1221181237463</v>
      </c>
      <c r="AE15" s="93">
        <f>Y20</f>
        <v>412.79410850354435</v>
      </c>
      <c r="AF15" s="93">
        <f>Y28</f>
        <v>416.68496450313484</v>
      </c>
      <c r="AG15" s="93">
        <f>Y35</f>
        <v>296.72776357594597</v>
      </c>
      <c r="AH15" s="93">
        <f>Y57</f>
        <v>315.38824149164088</v>
      </c>
      <c r="AI15" s="93">
        <f>Y65</f>
        <v>325.87401896992475</v>
      </c>
    </row>
    <row r="16" spans="1:44" ht="16.5" thickBot="1" x14ac:dyDescent="0.3">
      <c r="B16" s="76" t="s">
        <v>671</v>
      </c>
      <c r="C16" s="109"/>
      <c r="D16" s="109"/>
      <c r="E16" s="102"/>
      <c r="F16" s="102"/>
      <c r="G16" s="109"/>
      <c r="H16" s="109"/>
      <c r="I16" s="109"/>
      <c r="J16" s="109"/>
      <c r="K16" s="109"/>
      <c r="L16" s="452"/>
      <c r="N16" s="110" t="s">
        <v>276</v>
      </c>
      <c r="O16" s="17" t="s">
        <v>291</v>
      </c>
      <c r="P16" t="s">
        <v>292</v>
      </c>
      <c r="Q16" s="111" t="s">
        <v>277</v>
      </c>
      <c r="R16" s="112"/>
      <c r="S16" s="112"/>
      <c r="T16" s="112"/>
      <c r="U16" s="112"/>
      <c r="V16" s="112"/>
      <c r="W16" s="112"/>
      <c r="X16" s="112"/>
      <c r="Y16" s="112"/>
      <c r="Z16" s="113"/>
      <c r="AD16" s="33"/>
      <c r="AE16" s="33"/>
      <c r="AF16" s="33"/>
      <c r="AG16" s="33"/>
      <c r="AH16" s="33"/>
    </row>
    <row r="17" spans="1:41" x14ac:dyDescent="0.25">
      <c r="A17" s="407">
        <v>225</v>
      </c>
      <c r="B17" s="297">
        <f>INDEX(TestSummary!$A$1:$CI$394,'J1634 Calcs'!$A17,'J1634 Calcs'!B$5)</f>
        <v>62009051</v>
      </c>
      <c r="C17" s="297" t="str">
        <f>INDEX(TestSummary!$A$1:$CI$394,'J1634 Calcs'!$A17,'J1634 Calcs'!C$5)</f>
        <v>UDDS 1 , Combined</v>
      </c>
      <c r="D17" s="283" t="str">
        <f>INDEX(TestSummary!$A$1:$CI$394,'J1634 Calcs'!$A17,'J1634 Calcs'!D$5)</f>
        <v>J1634 MCT in cold test cell (20°F) UDDS-HWY-UDDS-US06. full charge, plugged in overnight</v>
      </c>
      <c r="E17" s="326">
        <f>INDEX(TestSummary!$A$1:$CI$394,'J1634 Calcs'!$A17,'J1634 Calcs'!E$5)</f>
        <v>0</v>
      </c>
      <c r="F17" s="489">
        <f>INDEX(TestSummary!$A$1:$CI$394,'J1634 Calcs'!$A17,'J1634 Calcs'!F$5)</f>
        <v>-6.5091950000000001</v>
      </c>
      <c r="G17" s="114">
        <f>INDEX(TestSummary!$A$1:$CI$394,'J1634 Calcs'!$A17,'J1634 Calcs'!G$5)</f>
        <v>431.3822994414445</v>
      </c>
      <c r="H17" s="114">
        <f>INDEX(TestSummary!$A$1:$CI$394,'J1634 Calcs'!$A17,'J1634 Calcs'!H$5)</f>
        <v>102862</v>
      </c>
      <c r="I17" s="114">
        <f>INDEX(TestSummary!$A$1:$CI$394,'J1634 Calcs'!$A17,'J1634 Calcs'!I$5)</f>
        <v>106074</v>
      </c>
      <c r="J17" s="115">
        <f>INDEX(TestSummary!$A$1:$CI$394,'J1634 Calcs'!$A17,'J1634 Calcs'!J$5)</f>
        <v>93.517832999999996</v>
      </c>
      <c r="K17" s="116">
        <f>INDEX(TestSummary!$A$1:$CI$394,'J1634 Calcs'!$A17,'J1634 Calcs'!K$5)</f>
        <v>431.3822994414445</v>
      </c>
      <c r="L17" s="116"/>
      <c r="M17" s="33"/>
      <c r="N17" s="117" t="s">
        <v>667</v>
      </c>
      <c r="O17" s="453">
        <f>-TestSummary!BO245</f>
        <v>69724.800000000003</v>
      </c>
      <c r="P17" s="224">
        <f>$O$32</f>
        <v>70871.060981000002</v>
      </c>
      <c r="Q17" s="118" t="s">
        <v>16</v>
      </c>
      <c r="R17" s="119" t="s">
        <v>1</v>
      </c>
      <c r="S17" s="119" t="s">
        <v>383</v>
      </c>
      <c r="T17" s="120" t="s">
        <v>279</v>
      </c>
      <c r="U17" s="119" t="s">
        <v>280</v>
      </c>
      <c r="V17" s="120" t="s">
        <v>281</v>
      </c>
      <c r="W17" s="121" t="s">
        <v>673</v>
      </c>
      <c r="X17" s="122" t="s">
        <v>282</v>
      </c>
      <c r="Y17" s="121" t="s">
        <v>283</v>
      </c>
      <c r="Z17" s="123"/>
      <c r="AC17" s="27" t="s">
        <v>381</v>
      </c>
    </row>
    <row r="18" spans="1:41" x14ac:dyDescent="0.25">
      <c r="A18" s="407">
        <f>A17+1</f>
        <v>226</v>
      </c>
      <c r="B18" s="297">
        <f>INDEX(TestSummary!$A$1:$CI$394,'J1634 Calcs'!$A18,'J1634 Calcs'!B$5)</f>
        <v>62009051</v>
      </c>
      <c r="C18" s="297" t="str">
        <f>INDEX(TestSummary!$A$1:$CI$394,'J1634 Calcs'!$A18,'J1634 Calcs'!C$5)</f>
        <v>HWY 1</v>
      </c>
      <c r="D18" s="283" t="str">
        <f>INDEX(TestSummary!$A$1:$CI$394,'J1634 Calcs'!$A18,'J1634 Calcs'!D$5)</f>
        <v>J1634 MCT in cold test cell (20°F) UDDS-HWY-UDDS-US06. full charge, plugged in overnight</v>
      </c>
      <c r="E18" s="326">
        <f>INDEX(TestSummary!$A$1:$CI$394,'J1634 Calcs'!$A18,'J1634 Calcs'!E$5)</f>
        <v>0</v>
      </c>
      <c r="F18" s="489">
        <f>INDEX(TestSummary!$A$1:$CI$394,'J1634 Calcs'!$A18,'J1634 Calcs'!F$5)</f>
        <v>-3.5751590000000002</v>
      </c>
      <c r="G18" s="114">
        <f>INDEX(TestSummary!$A$1:$CI$394,'J1634 Calcs'!$A18,'J1634 Calcs'!G$5)</f>
        <v>311.38109430516528</v>
      </c>
      <c r="H18" s="114">
        <f>INDEX(TestSummary!$A$1:$CI$394,'J1634 Calcs'!$A18,'J1634 Calcs'!H$5)</f>
        <v>106089</v>
      </c>
      <c r="I18" s="114">
        <f>INDEX(TestSummary!$A$1:$CI$394,'J1634 Calcs'!$A18,'J1634 Calcs'!I$5)</f>
        <v>109289</v>
      </c>
      <c r="J18" s="115">
        <f>INDEX(TestSummary!$A$1:$CI$394,'J1634 Calcs'!$A18,'J1634 Calcs'!J$5)</f>
        <v>89.118412000000006</v>
      </c>
      <c r="K18" s="116">
        <f>INDEX(TestSummary!$A$1:$CI$394,'J1634 Calcs'!$A18,'J1634 Calcs'!K$5)</f>
        <v>311.38109430516528</v>
      </c>
      <c r="L18" s="116"/>
      <c r="N18" s="124" t="s">
        <v>284</v>
      </c>
      <c r="O18" s="454">
        <f>TestSummary!W244-TestSummary!V223</f>
        <v>62735</v>
      </c>
      <c r="P18" s="125">
        <f>$O$33</f>
        <v>64490</v>
      </c>
      <c r="Q18" s="118" t="s">
        <v>285</v>
      </c>
      <c r="R18" s="119" t="s">
        <v>57</v>
      </c>
      <c r="S18" s="119">
        <v>3</v>
      </c>
      <c r="T18" s="120"/>
      <c r="U18" s="120">
        <f>(I17-H17)/O18</f>
        <v>5.1199489917908667E-2</v>
      </c>
      <c r="V18" s="120">
        <f>(1-U18)/S18</f>
        <v>0.31626683669403044</v>
      </c>
      <c r="W18" s="126">
        <f>U18*(K17)+V18*(K19)*3</f>
        <v>344.24439444957517</v>
      </c>
      <c r="X18" s="126">
        <f>P18/W18</f>
        <v>187.33783625762561</v>
      </c>
      <c r="Y18" s="127">
        <f>W18/T21</f>
        <v>382.59937123005881</v>
      </c>
      <c r="Z18" s="123"/>
      <c r="AC18" t="s">
        <v>57</v>
      </c>
      <c r="AD18" s="134">
        <f t="shared" ref="AD18:AI20" si="3">AD13/$AG13-1</f>
        <v>1.7501194870092842</v>
      </c>
      <c r="AE18" s="134">
        <f t="shared" si="3"/>
        <v>1.1500446883929984</v>
      </c>
      <c r="AF18" s="134">
        <f t="shared" si="3"/>
        <v>1.1898747324256806</v>
      </c>
      <c r="AG18" s="134">
        <f t="shared" si="3"/>
        <v>0</v>
      </c>
      <c r="AH18" s="134">
        <f t="shared" si="3"/>
        <v>0.28514578520396339</v>
      </c>
      <c r="AI18" s="134">
        <f t="shared" si="3"/>
        <v>0.309473123293317</v>
      </c>
    </row>
    <row r="19" spans="1:41" x14ac:dyDescent="0.25">
      <c r="A19" s="407">
        <f>A18+3</f>
        <v>229</v>
      </c>
      <c r="B19" s="297">
        <f>INDEX(TestSummary!$A$1:$CI$394,'J1634 Calcs'!$A19,'J1634 Calcs'!B$5)</f>
        <v>62009051</v>
      </c>
      <c r="C19" s="297" t="str">
        <f>INDEX(TestSummary!$A$1:$CI$394,'J1634 Calcs'!$A19,'J1634 Calcs'!C$5)</f>
        <v>UDDS 2, combined</v>
      </c>
      <c r="D19" s="283" t="str">
        <f>INDEX(TestSummary!$A$1:$CI$394,'J1634 Calcs'!$A19,'J1634 Calcs'!D$5)</f>
        <v>J1634 MCT in cold test cell (20°F) UDDS-HWY-UDDS-US06. full charge, plugged in overnight</v>
      </c>
      <c r="E19" s="326">
        <f>INDEX(TestSummary!$A$1:$CI$394,'J1634 Calcs'!$A19,'J1634 Calcs'!E$5)</f>
        <v>0</v>
      </c>
      <c r="F19" s="489">
        <f>INDEX(TestSummary!$A$1:$CI$394,'J1634 Calcs'!$A19,'J1634 Calcs'!F$5)</f>
        <v>-7.0322829999999996</v>
      </c>
      <c r="G19" s="114">
        <f>INDEX(TestSummary!$A$1:$CI$394,'J1634 Calcs'!$A19,'J1634 Calcs'!G$5)</f>
        <v>339.5422297261257</v>
      </c>
      <c r="H19" s="114">
        <f>INDEX(TestSummary!$A$1:$CI$394,'J1634 Calcs'!$A19,'J1634 Calcs'!H$5)</f>
        <v>109300</v>
      </c>
      <c r="I19" s="114">
        <f>INDEX(TestSummary!$A$1:$CI$394,'J1634 Calcs'!$A19,'J1634 Calcs'!I$5)</f>
        <v>111829</v>
      </c>
      <c r="J19" s="115">
        <f>INDEX(TestSummary!$A$1:$CI$394,'J1634 Calcs'!$A19,'J1634 Calcs'!J$5)</f>
        <v>85.618249000000006</v>
      </c>
      <c r="K19" s="116">
        <f>INDEX(TestSummary!$A$1:$CI$394,'J1634 Calcs'!$A19,'J1634 Calcs'!K$5)</f>
        <v>339.5422297261257</v>
      </c>
      <c r="L19" s="116"/>
      <c r="Q19" s="118" t="s">
        <v>285</v>
      </c>
      <c r="R19" s="119" t="s">
        <v>55</v>
      </c>
      <c r="S19" s="119">
        <v>2</v>
      </c>
      <c r="T19" s="120">
        <f>1/S19</f>
        <v>0.5</v>
      </c>
      <c r="U19" s="120"/>
      <c r="V19" s="120"/>
      <c r="W19" s="126">
        <f>T19*(K18)*2</f>
        <v>311.38109430516528</v>
      </c>
      <c r="X19" s="126">
        <f>P18/W19</f>
        <v>207.10955539515624</v>
      </c>
      <c r="Y19" s="127">
        <f>W19/T21</f>
        <v>346.0745122213882</v>
      </c>
      <c r="Z19" s="123"/>
      <c r="AC19" t="s">
        <v>55</v>
      </c>
      <c r="AD19" s="134">
        <f t="shared" si="3"/>
        <v>0.86223441499961617</v>
      </c>
      <c r="AE19" s="134">
        <f t="shared" si="3"/>
        <v>0.56348358383720587</v>
      </c>
      <c r="AF19" s="134">
        <f t="shared" si="3"/>
        <v>0.58629919168463074</v>
      </c>
      <c r="AG19" s="134">
        <f>AG14/$AG14-1</f>
        <v>0</v>
      </c>
      <c r="AH19" s="134">
        <f t="shared" si="3"/>
        <v>8.1315686139843413E-2</v>
      </c>
      <c r="AI19" s="134">
        <f t="shared" si="3"/>
        <v>0.11437835701242927</v>
      </c>
    </row>
    <row r="20" spans="1:41" x14ac:dyDescent="0.25">
      <c r="A20" s="407">
        <f>A19+3</f>
        <v>232</v>
      </c>
      <c r="B20" s="297">
        <f>INDEX(TestSummary!$A$1:$CI$394,'J1634 Calcs'!$A20,'J1634 Calcs'!B$5)</f>
        <v>62009051</v>
      </c>
      <c r="C20" s="297" t="str">
        <f>INDEX(TestSummary!$A$1:$CI$394,'J1634 Calcs'!$A20,'J1634 Calcs'!C$5)</f>
        <v>US06 1, combined</v>
      </c>
      <c r="D20" s="283" t="str">
        <f>INDEX(TestSummary!$A$1:$CI$394,'J1634 Calcs'!$A20,'J1634 Calcs'!D$5)</f>
        <v>J1634 MCT in cold test cell (20°F) UDDS-HWY-UDDS-US06. full charge, plugged in overnight</v>
      </c>
      <c r="E20" s="326">
        <f>INDEX(TestSummary!$A$1:$CI$394,'J1634 Calcs'!$A20,'J1634 Calcs'!E$5)</f>
        <v>0</v>
      </c>
      <c r="F20" s="489">
        <f>INDEX(TestSummary!$A$1:$CI$394,'J1634 Calcs'!$A20,'J1634 Calcs'!F$5)</f>
        <v>-2.8142149999999999</v>
      </c>
      <c r="G20" s="114">
        <f>INDEX(TestSummary!$A$1:$CI$394,'J1634 Calcs'!$A20,'J1634 Calcs'!G$5)</f>
        <v>371.4121574672119</v>
      </c>
      <c r="H20" s="114">
        <f>INDEX(TestSummary!$A$1:$CI$394,'J1634 Calcs'!$A20,'J1634 Calcs'!H$5)</f>
        <v>111900</v>
      </c>
      <c r="I20" s="114">
        <f>INDEX(TestSummary!$A$1:$CI$394,'J1634 Calcs'!$A20,'J1634 Calcs'!I$5)</f>
        <v>114646</v>
      </c>
      <c r="J20" s="115">
        <f>INDEX(TestSummary!$A$1:$CI$394,'J1634 Calcs'!$A20,'J1634 Calcs'!J$5)</f>
        <v>81.626495000000006</v>
      </c>
      <c r="K20" s="116">
        <f>INDEX(TestSummary!$A$1:$CI$394,'J1634 Calcs'!$A20,'J1634 Calcs'!K$5)</f>
        <v>371.4121574672119</v>
      </c>
      <c r="L20" s="116"/>
      <c r="Q20" s="118" t="s">
        <v>285</v>
      </c>
      <c r="R20" s="119" t="s">
        <v>209</v>
      </c>
      <c r="S20" s="119">
        <v>2</v>
      </c>
      <c r="T20" s="120">
        <f>1/S20</f>
        <v>0.5</v>
      </c>
      <c r="U20" s="120"/>
      <c r="V20" s="120"/>
      <c r="W20" s="126">
        <f>T20*(K20)*2</f>
        <v>371.4121574672119</v>
      </c>
      <c r="X20" s="126">
        <f>P18/W20</f>
        <v>173.63459623879746</v>
      </c>
      <c r="Y20" s="127">
        <f>W20/T21</f>
        <v>412.79410850354435</v>
      </c>
      <c r="Z20" s="123"/>
      <c r="AC20" t="s">
        <v>209</v>
      </c>
      <c r="AD20" s="134">
        <f t="shared" si="3"/>
        <v>0.58772510009217593</v>
      </c>
      <c r="AE20" s="134">
        <f t="shared" si="3"/>
        <v>0.39115431440877546</v>
      </c>
      <c r="AF20" s="134">
        <f t="shared" si="3"/>
        <v>0.40426685889298808</v>
      </c>
      <c r="AG20" s="134">
        <f t="shared" si="3"/>
        <v>0</v>
      </c>
      <c r="AH20" s="134">
        <f t="shared" si="3"/>
        <v>6.2887536005436395E-2</v>
      </c>
      <c r="AI20" s="134">
        <f t="shared" si="3"/>
        <v>9.8225575668179577E-2</v>
      </c>
    </row>
    <row r="21" spans="1:41" ht="18" customHeight="1" thickBot="1" x14ac:dyDescent="0.3">
      <c r="B21" s="304"/>
      <c r="C21" s="304"/>
      <c r="D21" s="15"/>
      <c r="E21" s="101"/>
      <c r="F21" s="101"/>
      <c r="G21" s="409"/>
      <c r="H21" s="409"/>
      <c r="I21" s="409"/>
      <c r="J21" s="312"/>
      <c r="K21" s="409"/>
      <c r="L21" s="409"/>
      <c r="Q21" s="128" t="s">
        <v>285</v>
      </c>
      <c r="R21" s="129" t="s">
        <v>288</v>
      </c>
      <c r="S21" s="129"/>
      <c r="T21" s="233">
        <f>O18/O17</f>
        <v>0.89975159484143374</v>
      </c>
      <c r="U21" s="130"/>
      <c r="V21" s="130"/>
      <c r="W21" s="131" t="s">
        <v>272</v>
      </c>
      <c r="X21" s="131" t="s">
        <v>289</v>
      </c>
      <c r="Y21" s="132" t="s">
        <v>287</v>
      </c>
      <c r="Z21" s="133"/>
      <c r="AD21" s="134"/>
      <c r="AE21" s="134"/>
      <c r="AF21" s="134"/>
      <c r="AG21" s="134"/>
      <c r="AH21" s="134"/>
      <c r="AI21" s="134"/>
    </row>
    <row r="22" spans="1:41" ht="18" customHeight="1" x14ac:dyDescent="0.25">
      <c r="B22" s="304"/>
      <c r="C22" s="304"/>
      <c r="D22" s="15"/>
      <c r="E22" s="101"/>
      <c r="F22" s="101"/>
      <c r="G22" s="409"/>
      <c r="H22" s="409"/>
      <c r="I22" s="409"/>
      <c r="J22" s="312"/>
      <c r="K22" s="409"/>
      <c r="L22" s="409"/>
      <c r="R22" s="33"/>
      <c r="S22" s="33"/>
      <c r="T22" s="415"/>
      <c r="W22" s="416"/>
      <c r="X22" s="416"/>
      <c r="Y22" s="18"/>
      <c r="AD22" s="134"/>
      <c r="AE22" s="134"/>
      <c r="AF22" s="134"/>
      <c r="AG22" s="134"/>
      <c r="AH22" s="134"/>
      <c r="AI22" s="134"/>
    </row>
    <row r="23" spans="1:41" ht="18" customHeight="1" thickBot="1" x14ac:dyDescent="0.3">
      <c r="B23" s="76" t="s">
        <v>665</v>
      </c>
      <c r="C23" s="109"/>
      <c r="D23" s="109"/>
      <c r="E23" s="102"/>
      <c r="F23" s="102"/>
      <c r="G23" s="109"/>
      <c r="H23" s="109"/>
      <c r="I23" s="109"/>
      <c r="J23" s="109"/>
      <c r="K23" s="109"/>
      <c r="L23" s="452"/>
      <c r="AD23" s="134"/>
      <c r="AE23" s="134"/>
      <c r="AF23" s="134"/>
      <c r="AG23" s="134"/>
      <c r="AH23" s="134"/>
      <c r="AI23" s="134"/>
    </row>
    <row r="24" spans="1:41" ht="18" customHeight="1" thickBot="1" x14ac:dyDescent="0.3">
      <c r="A24" s="407">
        <v>254</v>
      </c>
      <c r="B24" s="297">
        <f>INDEX(TestSummary!$A$1:$CI$394,'J1634 Calcs'!$A24,'J1634 Calcs'!B$5)</f>
        <v>62009058</v>
      </c>
      <c r="C24" s="297" t="str">
        <f>INDEX(TestSummary!$A$1:$CI$394,'J1634 Calcs'!$A24,'J1634 Calcs'!C$5)</f>
        <v>UDDS 1 , Combined</v>
      </c>
      <c r="D24" s="283" t="str">
        <f>INDEX(TestSummary!$A$1:$CI$394,'J1634 Calcs'!$A24,'J1634 Calcs'!D$5)</f>
        <v>J1634 MCT in cold test cell (20°F), UDDS-HWY-UDDS-US06 with 20 minute precondition, vehicle plugged in</v>
      </c>
      <c r="E24" s="326">
        <f>INDEX(TestSummary!$A$1:$CI$394,'J1634 Calcs'!$A24,'J1634 Calcs'!E$5)</f>
        <v>0</v>
      </c>
      <c r="F24" s="489">
        <f>INDEX(TestSummary!$A$1:$CI$394,'J1634 Calcs'!$A24,'J1634 Calcs'!F$5)</f>
        <v>-6.4254239999999996</v>
      </c>
      <c r="G24" s="114">
        <f>INDEX(TestSummary!$A$1:$CI$394,'J1634 Calcs'!$A24,'J1634 Calcs'!G$5)</f>
        <v>398.14452631280835</v>
      </c>
      <c r="H24" s="114">
        <f>INDEX(TestSummary!$A$1:$CI$394,'J1634 Calcs'!$A24,'J1634 Calcs'!H$5)</f>
        <v>268</v>
      </c>
      <c r="I24" s="114">
        <f>INDEX(TestSummary!$A$1:$CI$394,'J1634 Calcs'!$A24,'J1634 Calcs'!I$5)</f>
        <v>3236</v>
      </c>
      <c r="J24" s="115">
        <f>INDEX(TestSummary!$A$1:$CI$394,'J1634 Calcs'!$A24,'J1634 Calcs'!J$5)</f>
        <v>93.171453999999997</v>
      </c>
      <c r="K24" s="116">
        <f>INDEX(TestSummary!$A$1:$CI$394,'J1634 Calcs'!$A24,'J1634 Calcs'!K$5)</f>
        <v>398.14452631280835</v>
      </c>
      <c r="L24" s="116"/>
      <c r="N24" s="110" t="s">
        <v>276</v>
      </c>
      <c r="O24" s="17" t="s">
        <v>291</v>
      </c>
      <c r="P24" t="s">
        <v>292</v>
      </c>
      <c r="Q24" s="111" t="s">
        <v>277</v>
      </c>
      <c r="R24" s="112"/>
      <c r="S24" s="112"/>
      <c r="T24" s="112"/>
      <c r="U24" s="112"/>
      <c r="V24" s="112"/>
      <c r="W24" s="112"/>
      <c r="X24" s="112"/>
      <c r="Y24" s="112"/>
      <c r="Z24" s="113"/>
      <c r="AD24" s="134"/>
      <c r="AE24" s="134"/>
      <c r="AF24" s="134"/>
      <c r="AG24" s="134"/>
      <c r="AH24" s="134"/>
      <c r="AI24" s="134"/>
    </row>
    <row r="25" spans="1:41" ht="18" customHeight="1" x14ac:dyDescent="0.25">
      <c r="A25" s="407">
        <f>A24+1</f>
        <v>255</v>
      </c>
      <c r="B25" s="297">
        <f>INDEX(TestSummary!$A$1:$CI$394,'J1634 Calcs'!$A25,'J1634 Calcs'!B$5)</f>
        <v>62009058</v>
      </c>
      <c r="C25" s="297" t="str">
        <f>INDEX(TestSummary!$A$1:$CI$394,'J1634 Calcs'!$A25,'J1634 Calcs'!C$5)</f>
        <v>HWY 1</v>
      </c>
      <c r="D25" s="283" t="str">
        <f>INDEX(TestSummary!$A$1:$CI$394,'J1634 Calcs'!$A25,'J1634 Calcs'!D$5)</f>
        <v>J1634 MCT in cold test cell (20°F), UDDS-HWY-UDDS-US06 with 20 minute precondition, vehicle plugged in</v>
      </c>
      <c r="E25" s="326">
        <f>INDEX(TestSummary!$A$1:$CI$394,'J1634 Calcs'!$A25,'J1634 Calcs'!E$5)</f>
        <v>0</v>
      </c>
      <c r="F25" s="489">
        <f>INDEX(TestSummary!$A$1:$CI$394,'J1634 Calcs'!$A25,'J1634 Calcs'!F$5)</f>
        <v>-4.2482990000000003</v>
      </c>
      <c r="G25" s="114">
        <f>INDEX(TestSummary!$A$1:$CI$394,'J1634 Calcs'!$A25,'J1634 Calcs'!G$5)</f>
        <v>315.05056036409576</v>
      </c>
      <c r="H25" s="114">
        <f>INDEX(TestSummary!$A$1:$CI$394,'J1634 Calcs'!$A25,'J1634 Calcs'!H$5)</f>
        <v>3251</v>
      </c>
      <c r="I25" s="114">
        <f>INDEX(TestSummary!$A$1:$CI$394,'J1634 Calcs'!$A25,'J1634 Calcs'!I$5)</f>
        <v>6491</v>
      </c>
      <c r="J25" s="115">
        <f>INDEX(TestSummary!$A$1:$CI$394,'J1634 Calcs'!$A25,'J1634 Calcs'!J$5)</f>
        <v>88.72193</v>
      </c>
      <c r="K25" s="116">
        <f>INDEX(TestSummary!$A$1:$CI$394,'J1634 Calcs'!$A25,'J1634 Calcs'!K$5)</f>
        <v>315.05056036409576</v>
      </c>
      <c r="L25" s="116"/>
      <c r="N25" s="117" t="s">
        <v>667</v>
      </c>
      <c r="O25" s="138">
        <f>TestSummary!BO248</f>
        <v>69624.100000000006</v>
      </c>
      <c r="P25" s="224">
        <f>$O$32</f>
        <v>70871.060981000002</v>
      </c>
      <c r="Q25" s="118" t="s">
        <v>16</v>
      </c>
      <c r="R25" s="119" t="s">
        <v>1</v>
      </c>
      <c r="S25" s="119" t="s">
        <v>383</v>
      </c>
      <c r="T25" s="120" t="s">
        <v>279</v>
      </c>
      <c r="U25" s="119" t="s">
        <v>280</v>
      </c>
      <c r="V25" s="120" t="s">
        <v>281</v>
      </c>
      <c r="W25" s="121" t="s">
        <v>673</v>
      </c>
      <c r="X25" s="122" t="s">
        <v>282</v>
      </c>
      <c r="Y25" s="121" t="s">
        <v>283</v>
      </c>
      <c r="Z25" s="123"/>
      <c r="AD25" s="134"/>
      <c r="AE25" s="134"/>
      <c r="AF25" s="134"/>
      <c r="AG25" s="134"/>
      <c r="AH25" s="134"/>
      <c r="AI25" s="134"/>
    </row>
    <row r="26" spans="1:41" ht="18" customHeight="1" x14ac:dyDescent="0.25">
      <c r="A26" s="407">
        <f>A25+3</f>
        <v>258</v>
      </c>
      <c r="B26" s="297">
        <f>INDEX(TestSummary!$A$1:$CI$394,'J1634 Calcs'!$A26,'J1634 Calcs'!B$5)</f>
        <v>62009058</v>
      </c>
      <c r="C26" s="297" t="str">
        <f>INDEX(TestSummary!$A$1:$CI$394,'J1634 Calcs'!$A26,'J1634 Calcs'!C$5)</f>
        <v>UDDS 2, combined</v>
      </c>
      <c r="D26" s="283" t="str">
        <f>INDEX(TestSummary!$A$1:$CI$394,'J1634 Calcs'!$A26,'J1634 Calcs'!D$5)</f>
        <v>J1634 MCT in cold test cell (20°F), UDDS-HWY-UDDS-US06 with 20 minute precondition, vehicle plugged in</v>
      </c>
      <c r="E26" s="326">
        <f>INDEX(TestSummary!$A$1:$CI$394,'J1634 Calcs'!$A26,'J1634 Calcs'!E$5)</f>
        <v>0</v>
      </c>
      <c r="F26" s="489">
        <f>INDEX(TestSummary!$A$1:$CI$394,'J1634 Calcs'!$A26,'J1634 Calcs'!F$5)</f>
        <v>-6.7767415</v>
      </c>
      <c r="G26" s="114">
        <f>INDEX(TestSummary!$A$1:$CI$394,'J1634 Calcs'!$A26,'J1634 Calcs'!G$5)</f>
        <v>347.23225791628221</v>
      </c>
      <c r="H26" s="114">
        <f>INDEX(TestSummary!$A$1:$CI$394,'J1634 Calcs'!$A26,'J1634 Calcs'!H$5)</f>
        <v>6504</v>
      </c>
      <c r="I26" s="114">
        <f>INDEX(TestSummary!$A$1:$CI$394,'J1634 Calcs'!$A26,'J1634 Calcs'!I$5)</f>
        <v>9093</v>
      </c>
      <c r="J26" s="115">
        <f>INDEX(TestSummary!$A$1:$CI$394,'J1634 Calcs'!$A26,'J1634 Calcs'!J$5)</f>
        <v>85.142167999999998</v>
      </c>
      <c r="K26" s="116">
        <f>INDEX(TestSummary!$A$1:$CI$394,'J1634 Calcs'!$A26,'J1634 Calcs'!K$5)</f>
        <v>347.23225791628221</v>
      </c>
      <c r="L26" s="116"/>
      <c r="N26" s="124" t="s">
        <v>284</v>
      </c>
      <c r="O26" s="125">
        <f>TestSummary!W247-TestSummary!V247</f>
        <v>62471</v>
      </c>
      <c r="P26" s="125">
        <f>$O$33</f>
        <v>64490</v>
      </c>
      <c r="Q26" s="118" t="s">
        <v>285</v>
      </c>
      <c r="R26" s="119" t="s">
        <v>57</v>
      </c>
      <c r="S26" s="119">
        <v>3</v>
      </c>
      <c r="T26" s="120"/>
      <c r="U26" s="120">
        <f>(I24-H24)/O26</f>
        <v>4.7510044660722575E-2</v>
      </c>
      <c r="V26" s="120">
        <f>(1-U26)/S26</f>
        <v>0.31749665177975911</v>
      </c>
      <c r="W26" s="126">
        <f>U26*(K24)+V26*(K26)*3</f>
        <v>349.65110206157982</v>
      </c>
      <c r="X26" s="126">
        <f>P26/W26</f>
        <v>184.44100310212139</v>
      </c>
      <c r="Y26" s="127">
        <f>W26/T29</f>
        <v>389.6871075386282</v>
      </c>
      <c r="Z26" s="123"/>
      <c r="AD26" s="134"/>
      <c r="AE26" s="134"/>
      <c r="AF26" s="134"/>
      <c r="AG26" s="134"/>
      <c r="AH26" s="134"/>
      <c r="AI26" s="134"/>
    </row>
    <row r="27" spans="1:41" ht="18" customHeight="1" x14ac:dyDescent="0.25">
      <c r="A27" s="407">
        <f>A26+3</f>
        <v>261</v>
      </c>
      <c r="B27" s="297">
        <f>INDEX(TestSummary!$A$1:$CI$394,'J1634 Calcs'!$A27,'J1634 Calcs'!B$5)</f>
        <v>62009058</v>
      </c>
      <c r="C27" s="297" t="str">
        <f>INDEX(TestSummary!$A$1:$CI$394,'J1634 Calcs'!$A27,'J1634 Calcs'!C$5)</f>
        <v>US06 1, combined</v>
      </c>
      <c r="D27" s="283" t="str">
        <f>INDEX(TestSummary!$A$1:$CI$394,'J1634 Calcs'!$A27,'J1634 Calcs'!D$5)</f>
        <v>J1634 MCT in cold test cell (20°F), UDDS-HWY-UDDS-US06 with 20 minute precondition, vehicle plugged in</v>
      </c>
      <c r="E27" s="326">
        <f>INDEX(TestSummary!$A$1:$CI$394,'J1634 Calcs'!$A27,'J1634 Calcs'!E$5)</f>
        <v>0</v>
      </c>
      <c r="F27" s="489">
        <f>INDEX(TestSummary!$A$1:$CI$394,'J1634 Calcs'!$A27,'J1634 Calcs'!F$5)</f>
        <v>-2.4328684999999997</v>
      </c>
      <c r="G27" s="114">
        <f>INDEX(TestSummary!$A$1:$CI$394,'J1634 Calcs'!$A27,'J1634 Calcs'!G$5)</f>
        <v>373.875230236015</v>
      </c>
      <c r="H27" s="114">
        <f>INDEX(TestSummary!$A$1:$CI$394,'J1634 Calcs'!$A27,'J1634 Calcs'!H$5)</f>
        <v>9171</v>
      </c>
      <c r="I27" s="114">
        <f>INDEX(TestSummary!$A$1:$CI$394,'J1634 Calcs'!$A27,'J1634 Calcs'!I$5)</f>
        <v>11935</v>
      </c>
      <c r="J27" s="115">
        <f>INDEX(TestSummary!$A$1:$CI$394,'J1634 Calcs'!$A27,'J1634 Calcs'!J$5)</f>
        <v>81.130577000000002</v>
      </c>
      <c r="K27" s="116">
        <f>INDEX(TestSummary!$A$1:$CI$394,'J1634 Calcs'!$A27,'J1634 Calcs'!K$5)</f>
        <v>373.875230236015</v>
      </c>
      <c r="L27" s="116"/>
      <c r="N27" s="455"/>
      <c r="Q27" s="118" t="s">
        <v>285</v>
      </c>
      <c r="R27" s="119" t="s">
        <v>55</v>
      </c>
      <c r="S27" s="119">
        <v>2</v>
      </c>
      <c r="T27" s="120">
        <f>1/S27</f>
        <v>0.5</v>
      </c>
      <c r="U27" s="120"/>
      <c r="V27" s="120"/>
      <c r="W27" s="126">
        <f>T27*(K25)*2</f>
        <v>315.05056036409576</v>
      </c>
      <c r="X27" s="126">
        <f>P26/W27</f>
        <v>204.69730295185187</v>
      </c>
      <c r="Y27" s="127">
        <f>W27/T29</f>
        <v>351.12470938268706</v>
      </c>
      <c r="Z27" s="123"/>
      <c r="AD27" s="134"/>
      <c r="AE27" s="134"/>
      <c r="AF27" s="134"/>
      <c r="AG27" s="134"/>
      <c r="AH27" s="134"/>
      <c r="AI27" s="134"/>
    </row>
    <row r="28" spans="1:41" ht="18" customHeight="1" x14ac:dyDescent="0.25">
      <c r="B28" s="304"/>
      <c r="C28" s="304"/>
      <c r="D28" s="15"/>
      <c r="E28" s="101"/>
      <c r="F28" s="101"/>
      <c r="G28" s="135"/>
      <c r="H28" s="135"/>
      <c r="I28" s="135"/>
      <c r="J28" s="136"/>
      <c r="K28" s="137"/>
      <c r="L28" s="137"/>
      <c r="Q28" s="118" t="s">
        <v>285</v>
      </c>
      <c r="R28" s="119" t="s">
        <v>209</v>
      </c>
      <c r="S28" s="119">
        <v>2</v>
      </c>
      <c r="T28" s="120">
        <f>1/S28</f>
        <v>0.5</v>
      </c>
      <c r="U28" s="120"/>
      <c r="V28" s="120"/>
      <c r="W28" s="126">
        <f>T28*(K27)*2</f>
        <v>373.875230236015</v>
      </c>
      <c r="X28" s="126">
        <f>P26/W28</f>
        <v>172.49069952906376</v>
      </c>
      <c r="Y28" s="127">
        <f>W28/T29</f>
        <v>416.68496450313484</v>
      </c>
      <c r="Z28" s="123"/>
      <c r="AD28" s="134"/>
      <c r="AE28" s="134"/>
      <c r="AF28" s="134"/>
      <c r="AG28" s="134"/>
      <c r="AH28" s="134"/>
      <c r="AI28" s="134"/>
    </row>
    <row r="29" spans="1:41" ht="18" customHeight="1" thickBot="1" x14ac:dyDescent="0.3">
      <c r="Q29" s="128" t="s">
        <v>285</v>
      </c>
      <c r="R29" s="129" t="s">
        <v>288</v>
      </c>
      <c r="S29" s="129"/>
      <c r="T29" s="233">
        <f>O26/O25</f>
        <v>0.89726114951575664</v>
      </c>
      <c r="U29" s="130"/>
      <c r="V29" s="130"/>
      <c r="W29" s="131" t="s">
        <v>272</v>
      </c>
      <c r="X29" s="131" t="s">
        <v>289</v>
      </c>
      <c r="Y29" s="132" t="s">
        <v>287</v>
      </c>
      <c r="Z29" s="133"/>
      <c r="AD29" s="134"/>
      <c r="AE29" s="134"/>
      <c r="AF29" s="134"/>
      <c r="AG29" s="134"/>
      <c r="AH29" s="134"/>
      <c r="AI29" s="134"/>
    </row>
    <row r="30" spans="1:41" ht="15.75" thickBot="1" x14ac:dyDescent="0.3">
      <c r="AC30" s="27" t="s">
        <v>638</v>
      </c>
    </row>
    <row r="31" spans="1:41" ht="16.5" thickBot="1" x14ac:dyDescent="0.3">
      <c r="B31" s="76" t="s">
        <v>668</v>
      </c>
      <c r="C31" s="109"/>
      <c r="D31" s="109"/>
      <c r="E31" s="102"/>
      <c r="F31" s="102"/>
      <c r="G31" s="109"/>
      <c r="H31" s="109"/>
      <c r="I31" s="109"/>
      <c r="J31" s="109"/>
      <c r="K31" s="109"/>
      <c r="L31" s="452"/>
      <c r="N31" s="110" t="s">
        <v>276</v>
      </c>
      <c r="O31" s="410" t="s">
        <v>291</v>
      </c>
      <c r="P31" s="411" t="s">
        <v>292</v>
      </c>
      <c r="Q31" s="111" t="s">
        <v>277</v>
      </c>
      <c r="R31" s="112"/>
      <c r="S31" s="112"/>
      <c r="T31" s="112"/>
      <c r="U31" s="112"/>
      <c r="V31" s="112"/>
      <c r="W31" s="112"/>
      <c r="X31" s="112"/>
      <c r="Y31" s="112"/>
      <c r="Z31" s="113"/>
      <c r="AC31" t="s">
        <v>57</v>
      </c>
      <c r="AD31" s="134">
        <f t="shared" ref="AD31:AE34" si="4">AD7/$AG7-1</f>
        <v>2.1196061651510338</v>
      </c>
      <c r="AE31" s="134">
        <f t="shared" si="4"/>
        <v>1.5126793782899823</v>
      </c>
      <c r="AF31" s="134">
        <f>AF7/$AG7-1</f>
        <v>1.3190787896039335</v>
      </c>
      <c r="AG31" s="134">
        <f>AG7/$AG7-1</f>
        <v>0</v>
      </c>
      <c r="AH31" s="134">
        <f>AH7/$AG7-1</f>
        <v>0.29783978124400678</v>
      </c>
      <c r="AI31" s="134">
        <f>AI7/$AG7-1</f>
        <v>0.26056548314302352</v>
      </c>
    </row>
    <row r="32" spans="1:41" ht="17.25" customHeight="1" x14ac:dyDescent="0.25">
      <c r="A32" s="407">
        <v>78</v>
      </c>
      <c r="B32" s="297">
        <f>INDEX(TestSummary!$A$1:$CI$394,'J1634 Calcs'!$A32,'J1634 Calcs'!B$5)</f>
        <v>62009019</v>
      </c>
      <c r="C32" s="297" t="str">
        <f>INDEX(TestSummary!$A$1:$CI$394,'J1634 Calcs'!$A32,'J1634 Calcs'!C$5)</f>
        <v>UDDS 1 , Combined</v>
      </c>
      <c r="D32" s="283" t="str">
        <f>INDEX(TestSummary!$A$1:$CI$394,'J1634 Calcs'!$A32,'J1634 Calcs'!D$5)</f>
        <v>J1634 MCT, UDDS-HWY-UDDS-US06, in L mode, Headlights -OFF</v>
      </c>
      <c r="E32" s="326">
        <f>INDEX(TestSummary!$A$1:$CI$394,'J1634 Calcs'!$A32,'J1634 Calcs'!E$5)</f>
        <v>0</v>
      </c>
      <c r="F32" s="489">
        <f>INDEX(TestSummary!$A$1:$CI$394,'J1634 Calcs'!$A32,'J1634 Calcs'!F$5)</f>
        <v>23.067756500000002</v>
      </c>
      <c r="G32" s="114">
        <f>INDEX(TestSummary!$A$1:$CI$394,'J1634 Calcs'!$A32,'J1634 Calcs'!G$5)</f>
        <v>171.68219040147656</v>
      </c>
      <c r="H32" s="114">
        <f>INDEX(TestSummary!$A$1:$CI$394,'J1634 Calcs'!$A32,'J1634 Calcs'!H$5)</f>
        <v>9</v>
      </c>
      <c r="I32" s="114">
        <f>INDEX(TestSummary!$A$1:$CI$394,'J1634 Calcs'!$A32,'J1634 Calcs'!I$5)</f>
        <v>1284</v>
      </c>
      <c r="J32" s="115">
        <f>INDEX(TestSummary!$A$1:$CI$394,'J1634 Calcs'!$A32,'J1634 Calcs'!J$5)</f>
        <v>95.678507999999994</v>
      </c>
      <c r="K32" s="116">
        <f>INDEX(TestSummary!$A$1:$CI$394,'J1634 Calcs'!$A32,'J1634 Calcs'!K$5)</f>
        <v>171.68219040147656</v>
      </c>
      <c r="L32" s="137"/>
      <c r="N32" s="117" t="s">
        <v>667</v>
      </c>
      <c r="O32" s="138">
        <f>-TestSummary!BO98</f>
        <v>70871.060981000002</v>
      </c>
      <c r="P32" s="224">
        <f>$O$32</f>
        <v>70871.060981000002</v>
      </c>
      <c r="Q32" s="118" t="s">
        <v>16</v>
      </c>
      <c r="R32" s="119" t="s">
        <v>1</v>
      </c>
      <c r="S32" s="119" t="s">
        <v>383</v>
      </c>
      <c r="T32" s="120" t="s">
        <v>279</v>
      </c>
      <c r="U32" s="119" t="s">
        <v>280</v>
      </c>
      <c r="V32" s="120" t="s">
        <v>281</v>
      </c>
      <c r="W32" s="121" t="s">
        <v>673</v>
      </c>
      <c r="X32" s="122" t="s">
        <v>282</v>
      </c>
      <c r="Y32" s="121" t="s">
        <v>283</v>
      </c>
      <c r="Z32" s="123"/>
      <c r="AC32" t="s">
        <v>55</v>
      </c>
      <c r="AD32" s="134">
        <f t="shared" si="4"/>
        <v>0.80232804377580869</v>
      </c>
      <c r="AE32" s="134">
        <f t="shared" si="4"/>
        <v>0.54593955115692094</v>
      </c>
      <c r="AF32" s="134">
        <f t="shared" ref="AF32:AI34" si="5">AF8/$AG8-1</f>
        <v>0.56415765371959292</v>
      </c>
      <c r="AG32" s="134">
        <f t="shared" si="5"/>
        <v>0</v>
      </c>
      <c r="AH32" s="134">
        <f t="shared" si="5"/>
        <v>2.8945325784532683E-2</v>
      </c>
      <c r="AI32" s="134">
        <f t="shared" si="5"/>
        <v>6.0406702964535874E-2</v>
      </c>
      <c r="AO32" s="84"/>
    </row>
    <row r="33" spans="1:51" x14ac:dyDescent="0.25">
      <c r="A33" s="407">
        <f>A32+1</f>
        <v>79</v>
      </c>
      <c r="B33" s="297">
        <f>INDEX(TestSummary!$A$1:$CI$394,'J1634 Calcs'!$A33,'J1634 Calcs'!B$5)</f>
        <v>62009019</v>
      </c>
      <c r="C33" s="297" t="str">
        <f>INDEX(TestSummary!$A$1:$CI$394,'J1634 Calcs'!$A33,'J1634 Calcs'!C$5)</f>
        <v>HWY 1</v>
      </c>
      <c r="D33" s="283" t="str">
        <f>INDEX(TestSummary!$A$1:$CI$394,'J1634 Calcs'!$A33,'J1634 Calcs'!D$5)</f>
        <v>J1634 MCT, UDDS-HWY-UDDS-US06, in L mode, Headlights -OFF</v>
      </c>
      <c r="E33" s="326">
        <f>INDEX(TestSummary!$A$1:$CI$394,'J1634 Calcs'!$A33,'J1634 Calcs'!E$5)</f>
        <v>0</v>
      </c>
      <c r="F33" s="489">
        <f>INDEX(TestSummary!$A$1:$CI$394,'J1634 Calcs'!$A33,'J1634 Calcs'!F$5)</f>
        <v>24.913674</v>
      </c>
      <c r="G33" s="114">
        <f>INDEX(TestSummary!$A$1:$CI$394,'J1634 Calcs'!$A33,'J1634 Calcs'!G$5)</f>
        <v>201.41867388808302</v>
      </c>
      <c r="H33" s="114">
        <f>INDEX(TestSummary!$A$1:$CI$394,'J1634 Calcs'!$A33,'J1634 Calcs'!H$5)</f>
        <v>1285</v>
      </c>
      <c r="I33" s="114">
        <f>INDEX(TestSummary!$A$1:$CI$394,'J1634 Calcs'!$A33,'J1634 Calcs'!I$5)</f>
        <v>3349</v>
      </c>
      <c r="J33" s="115">
        <f>INDEX(TestSummary!$A$1:$CI$394,'J1634 Calcs'!$A33,'J1634 Calcs'!J$5)</f>
        <v>92.916629</v>
      </c>
      <c r="K33" s="116">
        <f>INDEX(TestSummary!$A$1:$CI$394,'J1634 Calcs'!$A33,'J1634 Calcs'!K$5)</f>
        <v>201.41867388808302</v>
      </c>
      <c r="L33" s="137"/>
      <c r="N33" s="124" t="s">
        <v>284</v>
      </c>
      <c r="O33" s="125">
        <f>TestSummary!W97-TestSummary!V76</f>
        <v>64490</v>
      </c>
      <c r="P33" s="125">
        <f>$O$33</f>
        <v>64490</v>
      </c>
      <c r="Q33" s="118" t="s">
        <v>285</v>
      </c>
      <c r="R33" s="119" t="s">
        <v>57</v>
      </c>
      <c r="S33" s="119">
        <v>3</v>
      </c>
      <c r="T33" s="120"/>
      <c r="U33" s="120">
        <f>(I32-H32)/O33</f>
        <v>1.977050705535742E-2</v>
      </c>
      <c r="V33" s="120">
        <f>(1-U33)/S33</f>
        <v>0.32674316431488087</v>
      </c>
      <c r="W33" s="126">
        <f>U33*K32+(V33*K34)+(V33*K37)+(V33*K39)</f>
        <v>161.92734967936465</v>
      </c>
      <c r="X33" s="126">
        <f>P33/W33</f>
        <v>398.26502519616264</v>
      </c>
      <c r="Y33" s="127">
        <f>W33/T36</f>
        <v>177.94949718743936</v>
      </c>
      <c r="Z33" s="123"/>
      <c r="AC33" t="s">
        <v>639</v>
      </c>
      <c r="AD33" s="134">
        <f t="shared" si="4"/>
        <v>1.5845717451881951</v>
      </c>
      <c r="AE33" s="134">
        <f t="shared" si="4"/>
        <v>1.0709652467905677</v>
      </c>
      <c r="AF33" s="134">
        <f t="shared" si="5"/>
        <v>1.1178689298508444</v>
      </c>
      <c r="AG33" s="134">
        <f t="shared" si="5"/>
        <v>0</v>
      </c>
      <c r="AH33" s="134">
        <f t="shared" si="5"/>
        <v>0.20378062432492872</v>
      </c>
      <c r="AI33" s="134">
        <f t="shared" si="5"/>
        <v>0.22835486222120904</v>
      </c>
      <c r="AK33" s="93"/>
      <c r="AL33" s="93"/>
      <c r="AM33" s="93"/>
      <c r="AO33" s="84"/>
      <c r="AP33" s="26"/>
      <c r="AQ33" s="26"/>
      <c r="AR33" s="26"/>
    </row>
    <row r="34" spans="1:51" x14ac:dyDescent="0.25">
      <c r="A34" s="407">
        <f>A33+3</f>
        <v>82</v>
      </c>
      <c r="B34" s="297">
        <f>INDEX(TestSummary!$A$1:$CI$394,'J1634 Calcs'!$A34,'J1634 Calcs'!B$5)</f>
        <v>62009019</v>
      </c>
      <c r="C34" s="297" t="str">
        <f>INDEX(TestSummary!$A$1:$CI$394,'J1634 Calcs'!$A34,'J1634 Calcs'!C$5)</f>
        <v>UDDS 2, combined</v>
      </c>
      <c r="D34" s="283" t="str">
        <f>INDEX(TestSummary!$A$1:$CI$394,'J1634 Calcs'!$A34,'J1634 Calcs'!D$5)</f>
        <v>J1634 MCT, UDDS-HWY-UDDS-US06, in L mode, Headlights -OFF</v>
      </c>
      <c r="E34" s="326">
        <f>INDEX(TestSummary!$A$1:$CI$394,'J1634 Calcs'!$A34,'J1634 Calcs'!E$5)</f>
        <v>0</v>
      </c>
      <c r="F34" s="489">
        <f>INDEX(TestSummary!$A$1:$CI$394,'J1634 Calcs'!$A34,'J1634 Calcs'!F$5)</f>
        <v>20.170271499999998</v>
      </c>
      <c r="G34" s="114">
        <f>INDEX(TestSummary!$A$1:$CI$394,'J1634 Calcs'!$A34,'J1634 Calcs'!G$5)</f>
        <v>163.95361064234356</v>
      </c>
      <c r="H34" s="114">
        <f>INDEX(TestSummary!$A$1:$CI$394,'J1634 Calcs'!$A34,'J1634 Calcs'!H$5)</f>
        <v>3356</v>
      </c>
      <c r="I34" s="114">
        <f>INDEX(TestSummary!$A$1:$CI$394,'J1634 Calcs'!$A34,'J1634 Calcs'!I$5)</f>
        <v>4574</v>
      </c>
      <c r="J34" s="115">
        <f>INDEX(TestSummary!$A$1:$CI$394,'J1634 Calcs'!$A34,'J1634 Calcs'!J$5)</f>
        <v>91.265604999999994</v>
      </c>
      <c r="K34" s="116">
        <f>INDEX(TestSummary!$A$1:$CI$394,'J1634 Calcs'!$A34,'J1634 Calcs'!K$5)</f>
        <v>163.95361064234356</v>
      </c>
      <c r="L34" s="137"/>
      <c r="N34" s="411"/>
      <c r="O34" s="410"/>
      <c r="P34" s="411"/>
      <c r="Q34" s="118" t="s">
        <v>285</v>
      </c>
      <c r="R34" s="119" t="s">
        <v>55</v>
      </c>
      <c r="S34" s="119">
        <v>2</v>
      </c>
      <c r="T34" s="120">
        <f>1/S34</f>
        <v>0.5</v>
      </c>
      <c r="U34" s="120"/>
      <c r="V34" s="120"/>
      <c r="W34" s="126">
        <f>T34*K33*2</f>
        <v>201.41867388808302</v>
      </c>
      <c r="X34" s="126">
        <f>P33/W34</f>
        <v>320.17885310789728</v>
      </c>
      <c r="Y34" s="127">
        <f>W34/T36</f>
        <v>221.34835043936246</v>
      </c>
      <c r="Z34" s="123"/>
      <c r="AC34" t="s">
        <v>209</v>
      </c>
      <c r="AD34" s="134">
        <f t="shared" si="4"/>
        <v>0.53664944147403215</v>
      </c>
      <c r="AE34" s="134">
        <f t="shared" si="4"/>
        <v>0.37554400867380444</v>
      </c>
      <c r="AF34" s="134">
        <f t="shared" si="5"/>
        <v>0.3846661252279826</v>
      </c>
      <c r="AG34" s="134">
        <f t="shared" si="5"/>
        <v>0</v>
      </c>
      <c r="AH34" s="134">
        <f t="shared" si="5"/>
        <v>1.1409689164533221E-2</v>
      </c>
      <c r="AI34" s="134">
        <f t="shared" si="5"/>
        <v>4.5036234307119338E-2</v>
      </c>
      <c r="AK34" s="93"/>
      <c r="AL34" s="93"/>
      <c r="AM34" s="93"/>
      <c r="AO34" s="84"/>
    </row>
    <row r="35" spans="1:51" x14ac:dyDescent="0.25">
      <c r="A35" s="407">
        <f>A34+3</f>
        <v>85</v>
      </c>
      <c r="B35" s="297">
        <f>INDEX(TestSummary!$A$1:$CI$394,'J1634 Calcs'!$A35,'J1634 Calcs'!B$5)</f>
        <v>62009019</v>
      </c>
      <c r="C35" s="297" t="str">
        <f>INDEX(TestSummary!$A$1:$CI$394,'J1634 Calcs'!$A35,'J1634 Calcs'!C$5)</f>
        <v>US06 1, combined</v>
      </c>
      <c r="D35" s="283" t="str">
        <f>INDEX(TestSummary!$A$1:$CI$394,'J1634 Calcs'!$A35,'J1634 Calcs'!D$5)</f>
        <v>J1634 MCT, UDDS-HWY-UDDS-US06, in L mode, Headlights -OFF</v>
      </c>
      <c r="E35" s="326">
        <f>INDEX(TestSummary!$A$1:$CI$394,'J1634 Calcs'!$A35,'J1634 Calcs'!E$5)</f>
        <v>0</v>
      </c>
      <c r="F35" s="489">
        <f>INDEX(TestSummary!$A$1:$CI$394,'J1634 Calcs'!$A35,'J1634 Calcs'!F$5)</f>
        <v>25.145004999999998</v>
      </c>
      <c r="G35" s="114">
        <f>INDEX(TestSummary!$A$1:$CI$394,'J1634 Calcs'!$A35,'J1634 Calcs'!G$5)</f>
        <v>270.01110478849705</v>
      </c>
      <c r="H35" s="114">
        <f>INDEX(TestSummary!$A$1:$CI$394,'J1634 Calcs'!$A35,'J1634 Calcs'!H$5)</f>
        <v>4579</v>
      </c>
      <c r="I35" s="114">
        <f>INDEX(TestSummary!$A$1:$CI$394,'J1634 Calcs'!$A35,'J1634 Calcs'!I$5)</f>
        <v>6596</v>
      </c>
      <c r="J35" s="115">
        <f>INDEX(TestSummary!$A$1:$CI$394,'J1634 Calcs'!$A35,'J1634 Calcs'!J$5)</f>
        <v>88.505251999999999</v>
      </c>
      <c r="K35" s="116">
        <f>INDEX(TestSummary!$A$1:$CI$394,'J1634 Calcs'!$A35,'J1634 Calcs'!K$5)</f>
        <v>270.01110478849705</v>
      </c>
      <c r="L35" s="137"/>
      <c r="N35" s="124" t="s">
        <v>640</v>
      </c>
      <c r="O35" s="125">
        <f>TestSummary!W97-TestSummary!V76</f>
        <v>64490</v>
      </c>
      <c r="P35" s="125">
        <f>$O$35</f>
        <v>64490</v>
      </c>
      <c r="Q35" s="118" t="s">
        <v>285</v>
      </c>
      <c r="R35" s="119" t="s">
        <v>209</v>
      </c>
      <c r="S35" s="119">
        <v>2</v>
      </c>
      <c r="T35" s="120">
        <f>1/S35</f>
        <v>0.5</v>
      </c>
      <c r="U35" s="120"/>
      <c r="V35" s="120"/>
      <c r="W35" s="126">
        <f>T35*K35*2</f>
        <v>270.01110478849705</v>
      </c>
      <c r="X35" s="126">
        <f>P33/W35</f>
        <v>238.84202855477292</v>
      </c>
      <c r="Y35" s="127">
        <f>W35/T36</f>
        <v>296.72776357594597</v>
      </c>
      <c r="Z35" s="123"/>
      <c r="AD35" s="134"/>
      <c r="AE35" s="134"/>
      <c r="AF35" s="134"/>
      <c r="AG35" s="134"/>
      <c r="AH35" s="134"/>
      <c r="AI35" s="134"/>
      <c r="AK35" s="93"/>
      <c r="AL35" s="93"/>
      <c r="AM35" s="93"/>
      <c r="AO35" s="84"/>
    </row>
    <row r="36" spans="1:51" ht="15.75" thickBot="1" x14ac:dyDescent="0.3">
      <c r="A36" s="407">
        <f>A35+4</f>
        <v>89</v>
      </c>
      <c r="B36" s="297">
        <f>INDEX(TestSummary!$A$1:$CI$394,'J1634 Calcs'!$A36,'J1634 Calcs'!B$5)</f>
        <v>62009021</v>
      </c>
      <c r="C36" s="297" t="str">
        <f>INDEX(TestSummary!$A$1:$CI$394,'J1634 Calcs'!$A36,'J1634 Calcs'!C$5)</f>
        <v>US06 2, combined</v>
      </c>
      <c r="D36" s="283" t="str">
        <f>INDEX(TestSummary!$A$1:$CI$394,'J1634 Calcs'!$A36,'J1634 Calcs'!D$5)</f>
        <v>J1634 MCT, US06-UDDS-HWY-UDDS, in L-mode, Headlights -OFF</v>
      </c>
      <c r="E36" s="326">
        <f>INDEX(TestSummary!$A$1:$CI$394,'J1634 Calcs'!$A36,'J1634 Calcs'!E$5)</f>
        <v>0</v>
      </c>
      <c r="F36" s="489">
        <f>INDEX(TestSummary!$A$1:$CI$394,'J1634 Calcs'!$A36,'J1634 Calcs'!F$5)</f>
        <v>24.006812</v>
      </c>
      <c r="G36" s="114">
        <f>INDEX(TestSummary!$A$1:$CI$394,'J1634 Calcs'!$A36,'J1634 Calcs'!G$5)</f>
        <v>269.61406072132525</v>
      </c>
      <c r="H36" s="114">
        <f>INDEX(TestSummary!$A$1:$CI$394,'J1634 Calcs'!$A36,'J1634 Calcs'!H$5)</f>
        <v>52793</v>
      </c>
      <c r="I36" s="114">
        <f>INDEX(TestSummary!$A$1:$CI$394,'J1634 Calcs'!$A36,'J1634 Calcs'!I$5)</f>
        <v>54809</v>
      </c>
      <c r="J36" s="115">
        <f>INDEX(TestSummary!$A$1:$CI$394,'J1634 Calcs'!$A36,'J1634 Calcs'!J$5)</f>
        <v>16.633835999999999</v>
      </c>
      <c r="K36" s="116">
        <f>INDEX(TestSummary!$A$1:$CI$394,'J1634 Calcs'!$A36,'J1634 Calcs'!K$5)</f>
        <v>269.61406072132525</v>
      </c>
      <c r="L36" s="137"/>
      <c r="Q36" s="128" t="s">
        <v>285</v>
      </c>
      <c r="R36" s="129" t="s">
        <v>288</v>
      </c>
      <c r="S36" s="129"/>
      <c r="T36" s="233">
        <f>O33/O32</f>
        <v>0.90996238954697295</v>
      </c>
      <c r="U36" s="130"/>
      <c r="V36" s="130"/>
      <c r="W36" s="131" t="s">
        <v>272</v>
      </c>
      <c r="X36" s="131" t="s">
        <v>289</v>
      </c>
      <c r="Y36" s="132" t="s">
        <v>287</v>
      </c>
      <c r="Z36" s="133"/>
      <c r="AC36" s="27" t="s">
        <v>290</v>
      </c>
      <c r="AD36" s="33"/>
      <c r="AE36" s="33"/>
      <c r="AF36" s="33"/>
      <c r="AG36" s="33"/>
      <c r="AH36" s="33"/>
    </row>
    <row r="37" spans="1:51" x14ac:dyDescent="0.25">
      <c r="A37" s="407">
        <f>A36+3</f>
        <v>92</v>
      </c>
      <c r="B37" s="297">
        <f>INDEX(TestSummary!$A$1:$CI$394,'J1634 Calcs'!$A37,'J1634 Calcs'!B$5)</f>
        <v>62009021</v>
      </c>
      <c r="C37" s="297" t="str">
        <f>INDEX(TestSummary!$A$1:$CI$394,'J1634 Calcs'!$A37,'J1634 Calcs'!C$5)</f>
        <v>UDDS 3, combined</v>
      </c>
      <c r="D37" s="283" t="str">
        <f>INDEX(TestSummary!$A$1:$CI$394,'J1634 Calcs'!$A37,'J1634 Calcs'!D$5)</f>
        <v>J1634 MCT, US06-UDDS-HWY-UDDS, in L-mode, Headlights -OFF</v>
      </c>
      <c r="E37" s="326">
        <f>INDEX(TestSummary!$A$1:$CI$394,'J1634 Calcs'!$A37,'J1634 Calcs'!E$5)</f>
        <v>0</v>
      </c>
      <c r="F37" s="489">
        <f>INDEX(TestSummary!$A$1:$CI$394,'J1634 Calcs'!$A37,'J1634 Calcs'!F$5)</f>
        <v>20.743687000000001</v>
      </c>
      <c r="G37" s="114">
        <f>INDEX(TestSummary!$A$1:$CI$394,'J1634 Calcs'!$A37,'J1634 Calcs'!G$5)</f>
        <v>160.36390428849893</v>
      </c>
      <c r="H37" s="114">
        <f>INDEX(TestSummary!$A$1:$CI$394,'J1634 Calcs'!$A37,'J1634 Calcs'!H$5)</f>
        <v>54955</v>
      </c>
      <c r="I37" s="114">
        <f>INDEX(TestSummary!$A$1:$CI$394,'J1634 Calcs'!$A37,'J1634 Calcs'!I$5)</f>
        <v>56146</v>
      </c>
      <c r="J37" s="115">
        <f>INDEX(TestSummary!$A$1:$CI$394,'J1634 Calcs'!$A37,'J1634 Calcs'!J$5)</f>
        <v>14.483843</v>
      </c>
      <c r="K37" s="116">
        <f>INDEX(TestSummary!$A$1:$CI$394,'J1634 Calcs'!$A37,'J1634 Calcs'!K$5)</f>
        <v>160.36390428849893</v>
      </c>
      <c r="L37" s="137"/>
      <c r="AC37" t="s">
        <v>57</v>
      </c>
      <c r="AD37" s="93">
        <f>X11</f>
        <v>149.63083996821246</v>
      </c>
      <c r="AE37" s="93">
        <f>X18</f>
        <v>187.33783625762561</v>
      </c>
      <c r="AF37" s="93">
        <f>X26</f>
        <v>184.44100310212139</v>
      </c>
      <c r="AG37" s="93">
        <f>X33</f>
        <v>398.26502519616264</v>
      </c>
      <c r="AH37" s="93">
        <f>X55</f>
        <v>325.67166726323046</v>
      </c>
      <c r="AI37" s="93">
        <f>X63</f>
        <v>319.62135235817124</v>
      </c>
      <c r="AK37" s="134">
        <f>(AK54-AK53)/AK53</f>
        <v>-0.10964146636229366</v>
      </c>
      <c r="AO37" s="134">
        <f>(AO54-AO53)/AO53</f>
        <v>-6.2084257206208429E-2</v>
      </c>
      <c r="AP37" s="26"/>
      <c r="AS37" s="134">
        <f>(AS54-AS53)/AS53</f>
        <v>2.5623052959501558</v>
      </c>
      <c r="AW37" s="134">
        <f>(AW54-AW53)/AW53</f>
        <v>2.4924127465857357</v>
      </c>
    </row>
    <row r="38" spans="1:51" x14ac:dyDescent="0.25">
      <c r="A38" s="407">
        <f>A37+1</f>
        <v>93</v>
      </c>
      <c r="B38" s="297">
        <f>INDEX(TestSummary!$A$1:$CI$394,'J1634 Calcs'!$A38,'J1634 Calcs'!B$5)</f>
        <v>62009021</v>
      </c>
      <c r="C38" s="297" t="str">
        <f>INDEX(TestSummary!$A$1:$CI$394,'J1634 Calcs'!$A38,'J1634 Calcs'!C$5)</f>
        <v>HWY</v>
      </c>
      <c r="D38" s="283" t="str">
        <f>INDEX(TestSummary!$A$1:$CI$394,'J1634 Calcs'!$A38,'J1634 Calcs'!D$5)</f>
        <v>J1634 MCT, US06-UDDS-HWY-UDDS, in L-mode, Headlights -OFF</v>
      </c>
      <c r="E38" s="326">
        <f>INDEX(TestSummary!$A$1:$CI$394,'J1634 Calcs'!$A38,'J1634 Calcs'!E$5)</f>
        <v>0</v>
      </c>
      <c r="F38" s="489">
        <f>INDEX(TestSummary!$A$1:$CI$394,'J1634 Calcs'!$A38,'J1634 Calcs'!F$5)</f>
        <v>25.679169000000002</v>
      </c>
      <c r="G38" s="114">
        <f>INDEX(TestSummary!$A$1:$CI$394,'J1634 Calcs'!$A38,'J1634 Calcs'!G$5)</f>
        <v>195.87334715381968</v>
      </c>
      <c r="H38" s="114">
        <f>INDEX(TestSummary!$A$1:$CI$394,'J1634 Calcs'!$A38,'J1634 Calcs'!H$5)</f>
        <v>56147</v>
      </c>
      <c r="I38" s="114">
        <f>INDEX(TestSummary!$A$1:$CI$394,'J1634 Calcs'!$A38,'J1634 Calcs'!I$5)</f>
        <v>58154</v>
      </c>
      <c r="J38" s="115">
        <f>INDEX(TestSummary!$A$1:$CI$394,'J1634 Calcs'!$A38,'J1634 Calcs'!J$5)</f>
        <v>11.248934999999999</v>
      </c>
      <c r="K38" s="116">
        <f>INDEX(TestSummary!$A$1:$CI$394,'J1634 Calcs'!$A38,'J1634 Calcs'!K$5)</f>
        <v>195.87334715381968</v>
      </c>
      <c r="L38" s="137"/>
      <c r="AC38" t="s">
        <v>55</v>
      </c>
      <c r="AD38" s="93">
        <f>X12</f>
        <v>177.64737901826948</v>
      </c>
      <c r="AE38" s="93">
        <f>X19</f>
        <v>207.10955539515624</v>
      </c>
      <c r="AF38" s="93">
        <f>X27</f>
        <v>204.69730295185187</v>
      </c>
      <c r="AG38" s="93">
        <f>X34</f>
        <v>320.17885310789728</v>
      </c>
      <c r="AH38" s="93">
        <f>X56</f>
        <v>311.17188161943665</v>
      </c>
      <c r="AI38" s="93">
        <f>X64</f>
        <v>301.93967296961279</v>
      </c>
    </row>
    <row r="39" spans="1:51" x14ac:dyDescent="0.25">
      <c r="A39" s="407">
        <f>A38+3</f>
        <v>96</v>
      </c>
      <c r="B39" s="297">
        <f>INDEX(TestSummary!$A$1:$CI$394,'J1634 Calcs'!$A39,'J1634 Calcs'!B$5)</f>
        <v>62009021</v>
      </c>
      <c r="C39" s="297" t="str">
        <f>INDEX(TestSummary!$A$1:$CI$394,'J1634 Calcs'!$A39,'J1634 Calcs'!C$5)</f>
        <v>UDDS 4, combined</v>
      </c>
      <c r="D39" s="283" t="str">
        <f>INDEX(TestSummary!$A$1:$CI$394,'J1634 Calcs'!$A39,'J1634 Calcs'!D$5)</f>
        <v>J1634 MCT, US06-UDDS-HWY-UDDS, in L-mode, Headlights -OFF</v>
      </c>
      <c r="E39" s="326">
        <f>INDEX(TestSummary!$A$1:$CI$394,'J1634 Calcs'!$A39,'J1634 Calcs'!E$5)</f>
        <v>0</v>
      </c>
      <c r="F39" s="489">
        <f>INDEX(TestSummary!$A$1:$CI$394,'J1634 Calcs'!$A39,'J1634 Calcs'!F$5)</f>
        <v>20.092956999999998</v>
      </c>
      <c r="G39" s="114">
        <f>INDEX(TestSummary!$A$1:$CI$394,'J1634 Calcs'!$A39,'J1634 Calcs'!G$5)</f>
        <v>160.87429024484419</v>
      </c>
      <c r="H39" s="114">
        <f>INDEX(TestSummary!$A$1:$CI$394,'J1634 Calcs'!$A39,'J1634 Calcs'!H$5)</f>
        <v>58159</v>
      </c>
      <c r="I39" s="114">
        <f>INDEX(TestSummary!$A$1:$CI$394,'J1634 Calcs'!$A39,'J1634 Calcs'!I$5)</f>
        <v>59354</v>
      </c>
      <c r="J39" s="115">
        <f>INDEX(TestSummary!$A$1:$CI$394,'J1634 Calcs'!$A39,'J1634 Calcs'!J$5)</f>
        <v>9.3018859999999997</v>
      </c>
      <c r="K39" s="116">
        <f>INDEX(TestSummary!$A$1:$CI$394,'J1634 Calcs'!$A39,'J1634 Calcs'!K$5)</f>
        <v>160.87429024484419</v>
      </c>
      <c r="L39" s="137"/>
      <c r="AC39" t="s">
        <v>209</v>
      </c>
      <c r="AD39" s="93">
        <f>X13</f>
        <v>155.43039427760669</v>
      </c>
      <c r="AE39" s="93">
        <f>X20</f>
        <v>173.63459623879746</v>
      </c>
      <c r="AF39" s="93">
        <f>X28</f>
        <v>172.49069952906376</v>
      </c>
      <c r="AG39" s="93">
        <f>X35</f>
        <v>238.84202855477292</v>
      </c>
      <c r="AH39" s="93">
        <f>X57</f>
        <v>236.14765718931019</v>
      </c>
      <c r="AI39" s="93">
        <f>X65</f>
        <v>228.54904041976127</v>
      </c>
    </row>
    <row r="40" spans="1:51" ht="15.75" thickBot="1" x14ac:dyDescent="0.3">
      <c r="AK40" s="514" t="s">
        <v>641</v>
      </c>
      <c r="AL40" s="514"/>
      <c r="AM40" s="514"/>
      <c r="AO40" s="514" t="s">
        <v>642</v>
      </c>
      <c r="AP40" s="514"/>
      <c r="AQ40" s="514"/>
      <c r="AS40" s="514" t="s">
        <v>643</v>
      </c>
      <c r="AT40" s="514"/>
      <c r="AU40" s="514"/>
      <c r="AW40" s="514" t="s">
        <v>644</v>
      </c>
      <c r="AX40" s="514"/>
      <c r="AY40" s="514"/>
    </row>
    <row r="41" spans="1:51" ht="16.5" thickBot="1" x14ac:dyDescent="0.3">
      <c r="B41" s="76" t="s">
        <v>669</v>
      </c>
      <c r="C41" s="109"/>
      <c r="D41" s="109"/>
      <c r="E41" s="102"/>
      <c r="F41" s="102"/>
      <c r="G41" s="109"/>
      <c r="H41" s="109"/>
      <c r="I41" s="109"/>
      <c r="J41" s="109"/>
      <c r="K41" s="109"/>
      <c r="L41" s="452"/>
      <c r="N41" s="110" t="s">
        <v>276</v>
      </c>
      <c r="O41" s="17" t="s">
        <v>291</v>
      </c>
      <c r="P41" t="s">
        <v>292</v>
      </c>
      <c r="Q41" s="111" t="s">
        <v>277</v>
      </c>
      <c r="R41" s="112"/>
      <c r="S41" s="112"/>
      <c r="T41" s="112"/>
      <c r="U41" s="112"/>
      <c r="V41" s="112"/>
      <c r="W41" s="112"/>
      <c r="X41" s="112"/>
      <c r="Y41" s="112"/>
      <c r="Z41" s="113"/>
      <c r="AC41" t="s">
        <v>663</v>
      </c>
      <c r="AD41">
        <v>79218.399999999994</v>
      </c>
      <c r="AE41">
        <v>89577</v>
      </c>
      <c r="AF41" s="406">
        <f>AD41/AE41</f>
        <v>0.88436094086651706</v>
      </c>
    </row>
    <row r="42" spans="1:51" x14ac:dyDescent="0.25">
      <c r="A42" s="407">
        <v>102</v>
      </c>
      <c r="B42" s="297">
        <f>INDEX(TestSummary!$A$1:$CI$394,'J1634 Calcs'!$A42,'J1634 Calcs'!B$5)</f>
        <v>62009024</v>
      </c>
      <c r="C42" s="297" t="str">
        <f>INDEX(TestSummary!$A$1:$CI$394,'J1634 Calcs'!$A42,'J1634 Calcs'!C$5)</f>
        <v>UDDS 1 , Combined</v>
      </c>
      <c r="D42" s="283" t="str">
        <f>INDEX(TestSummary!$A$1:$CI$394,'J1634 Calcs'!$A42,'J1634 Calcs'!D$5)</f>
        <v>J1634 MCT, start from full charge, UDDS-HWY-UDDS-US06, in L mode, Headlights -OFF</v>
      </c>
      <c r="E42" s="326">
        <f>INDEX(TestSummary!$A$1:$CI$394,'J1634 Calcs'!$A42,'J1634 Calcs'!E$5)</f>
        <v>0</v>
      </c>
      <c r="F42" s="489">
        <f>INDEX(TestSummary!$A$1:$CI$394,'J1634 Calcs'!$A42,'J1634 Calcs'!F$5)</f>
        <v>21.866452500000001</v>
      </c>
      <c r="G42" s="114">
        <f>INDEX(TestSummary!$A$1:$CI$394,'J1634 Calcs'!$A42,'J1634 Calcs'!G$5)</f>
        <v>177.82112544818389</v>
      </c>
      <c r="H42" s="114">
        <f>INDEX(TestSummary!$A$1:$CI$394,'J1634 Calcs'!$A42,'J1634 Calcs'!H$5)</f>
        <v>-1</v>
      </c>
      <c r="I42" s="114">
        <f>INDEX(TestSummary!$A$1:$CI$394,'J1634 Calcs'!$A42,'J1634 Calcs'!I$5)</f>
        <v>1318</v>
      </c>
      <c r="J42" s="115">
        <f>INDEX(TestSummary!$A$1:$CI$394,'J1634 Calcs'!$A42,'J1634 Calcs'!J$5)</f>
        <v>95.651042000000004</v>
      </c>
      <c r="K42" s="116">
        <f>INDEX(TestSummary!$A$1:$CI$394,'J1634 Calcs'!$A42,'J1634 Calcs'!K$5)</f>
        <v>177.82112544818389</v>
      </c>
      <c r="L42" s="137"/>
      <c r="N42" s="117" t="s">
        <v>667</v>
      </c>
      <c r="O42" s="138">
        <f>-TestSummary!BO122</f>
        <v>70920.900000000009</v>
      </c>
      <c r="P42" s="224">
        <f>O42</f>
        <v>70920.900000000009</v>
      </c>
      <c r="Q42" s="118" t="s">
        <v>16</v>
      </c>
      <c r="R42" s="119" t="s">
        <v>1</v>
      </c>
      <c r="S42" s="119" t="s">
        <v>383</v>
      </c>
      <c r="T42" s="120" t="s">
        <v>279</v>
      </c>
      <c r="U42" s="119" t="s">
        <v>280</v>
      </c>
      <c r="V42" s="120" t="s">
        <v>281</v>
      </c>
      <c r="W42" s="121" t="s">
        <v>673</v>
      </c>
      <c r="X42" s="122" t="s">
        <v>282</v>
      </c>
      <c r="Y42" s="121" t="s">
        <v>283</v>
      </c>
      <c r="Z42" s="123"/>
      <c r="AC42" t="s">
        <v>664</v>
      </c>
      <c r="AD42">
        <v>79764.800000000003</v>
      </c>
      <c r="AE42">
        <v>89907</v>
      </c>
      <c r="AF42" s="406">
        <f>AD42/AE42</f>
        <v>0.88719232095387457</v>
      </c>
    </row>
    <row r="43" spans="1:51" x14ac:dyDescent="0.25">
      <c r="A43" s="407">
        <f>A42+1</f>
        <v>103</v>
      </c>
      <c r="B43" s="297">
        <f>INDEX(TestSummary!$A$1:$CI$394,'J1634 Calcs'!$A43,'J1634 Calcs'!B$5)</f>
        <v>62009024</v>
      </c>
      <c r="C43" s="297" t="str">
        <f>INDEX(TestSummary!$A$1:$CI$394,'J1634 Calcs'!$A43,'J1634 Calcs'!C$5)</f>
        <v>HWY 1</v>
      </c>
      <c r="D43" s="283" t="str">
        <f>INDEX(TestSummary!$A$1:$CI$394,'J1634 Calcs'!$A43,'J1634 Calcs'!D$5)</f>
        <v>J1634 MCT, start from full charge, UDDS-HWY-UDDS-US06, in L mode, Headlights -OFF</v>
      </c>
      <c r="E43" s="326">
        <f>INDEX(TestSummary!$A$1:$CI$394,'J1634 Calcs'!$A43,'J1634 Calcs'!E$5)</f>
        <v>0</v>
      </c>
      <c r="F43" s="489">
        <f>INDEX(TestSummary!$A$1:$CI$394,'J1634 Calcs'!$A43,'J1634 Calcs'!F$5)</f>
        <v>24.933250000000001</v>
      </c>
      <c r="G43" s="114">
        <f>INDEX(TestSummary!$A$1:$CI$394,'J1634 Calcs'!$A43,'J1634 Calcs'!G$5)</f>
        <v>201.51461350114849</v>
      </c>
      <c r="H43" s="114">
        <f>INDEX(TestSummary!$A$1:$CI$394,'J1634 Calcs'!$A43,'J1634 Calcs'!H$5)</f>
        <v>1319</v>
      </c>
      <c r="I43" s="114">
        <f>INDEX(TestSummary!$A$1:$CI$394,'J1634 Calcs'!$A43,'J1634 Calcs'!I$5)</f>
        <v>3384</v>
      </c>
      <c r="J43" s="115">
        <f>INDEX(TestSummary!$A$1:$CI$394,'J1634 Calcs'!$A43,'J1634 Calcs'!J$5)</f>
        <v>92.889161999999999</v>
      </c>
      <c r="K43" s="116">
        <f>INDEX(TestSummary!$A$1:$CI$394,'J1634 Calcs'!$A43,'J1634 Calcs'!K$5)</f>
        <v>201.51461350114849</v>
      </c>
      <c r="L43" s="137"/>
      <c r="N43" s="124" t="s">
        <v>284</v>
      </c>
      <c r="O43" s="125">
        <f>TestSummary!W121-TestSummary!V100</f>
        <v>64595</v>
      </c>
      <c r="P43" s="125">
        <f>O43</f>
        <v>64595</v>
      </c>
      <c r="Q43" s="118" t="s">
        <v>285</v>
      </c>
      <c r="R43" s="119" t="s">
        <v>57</v>
      </c>
      <c r="S43" s="119">
        <v>3</v>
      </c>
      <c r="T43" s="120"/>
      <c r="U43" s="120">
        <f>(I42-H42)/O43</f>
        <v>2.0419537115875842E-2</v>
      </c>
      <c r="V43" s="120">
        <f>(1-U43)/S43</f>
        <v>0.3265268209613747</v>
      </c>
      <c r="W43" s="126">
        <f>U43*K42+(V43*K44)+(V43*K47)+(V43*K49)</f>
        <v>161.58710846424015</v>
      </c>
      <c r="X43" s="126">
        <f>P43/W43</f>
        <v>399.75342472506168</v>
      </c>
      <c r="Y43" s="127">
        <f>W43/T46</f>
        <v>177.41161329331266</v>
      </c>
      <c r="Z43" s="123"/>
      <c r="AA43" s="404"/>
    </row>
    <row r="44" spans="1:51" x14ac:dyDescent="0.25">
      <c r="A44" s="407">
        <f>A43+3</f>
        <v>106</v>
      </c>
      <c r="B44" s="297">
        <f>INDEX(TestSummary!$A$1:$CI$394,'J1634 Calcs'!$A44,'J1634 Calcs'!B$5)</f>
        <v>62009024</v>
      </c>
      <c r="C44" s="297" t="str">
        <f>INDEX(TestSummary!$A$1:$CI$394,'J1634 Calcs'!$A44,'J1634 Calcs'!C$5)</f>
        <v>UDDS 2, combined</v>
      </c>
      <c r="D44" s="283" t="str">
        <f>INDEX(TestSummary!$A$1:$CI$394,'J1634 Calcs'!$A44,'J1634 Calcs'!D$5)</f>
        <v>J1634 MCT, start from full charge, UDDS-HWY-UDDS-US06, in L mode, Headlights -OFF</v>
      </c>
      <c r="E44" s="326">
        <f>INDEX(TestSummary!$A$1:$CI$394,'J1634 Calcs'!$A44,'J1634 Calcs'!E$5)</f>
        <v>0</v>
      </c>
      <c r="F44" s="489">
        <f>INDEX(TestSummary!$A$1:$CI$394,'J1634 Calcs'!$A44,'J1634 Calcs'!F$5)</f>
        <v>20.159744500000002</v>
      </c>
      <c r="G44" s="114">
        <f>INDEX(TestSummary!$A$1:$CI$394,'J1634 Calcs'!$A44,'J1634 Calcs'!G$5)</f>
        <v>163.43883934190961</v>
      </c>
      <c r="H44" s="114">
        <f>INDEX(TestSummary!$A$1:$CI$394,'J1634 Calcs'!$A44,'J1634 Calcs'!H$5)</f>
        <v>3389</v>
      </c>
      <c r="I44" s="114">
        <f>INDEX(TestSummary!$A$1:$CI$394,'J1634 Calcs'!$A44,'J1634 Calcs'!I$5)</f>
        <v>4603</v>
      </c>
      <c r="J44" s="115">
        <f>INDEX(TestSummary!$A$1:$CI$394,'J1634 Calcs'!$A44,'J1634 Calcs'!J$5)</f>
        <v>91.242716000000001</v>
      </c>
      <c r="K44" s="116">
        <f>INDEX(TestSummary!$A$1:$CI$394,'J1634 Calcs'!$A44,'J1634 Calcs'!K$5)</f>
        <v>163.43883934190961</v>
      </c>
      <c r="L44" s="137"/>
      <c r="Q44" s="118" t="s">
        <v>285</v>
      </c>
      <c r="R44" s="119" t="s">
        <v>55</v>
      </c>
      <c r="S44" s="119">
        <v>2</v>
      </c>
      <c r="T44" s="120">
        <f>1/S44</f>
        <v>0.5</v>
      </c>
      <c r="U44" s="120"/>
      <c r="V44" s="120"/>
      <c r="W44" s="126">
        <f>T44*K43*2</f>
        <v>201.51461350114849</v>
      </c>
      <c r="X44" s="126">
        <f>P43/W44</f>
        <v>320.54747235307508</v>
      </c>
      <c r="Y44" s="127">
        <f>W44/T46</f>
        <v>221.24928791165885</v>
      </c>
      <c r="Z44" s="123"/>
      <c r="AA44" s="404"/>
    </row>
    <row r="45" spans="1:51" x14ac:dyDescent="0.25">
      <c r="A45" s="407">
        <f>A44+3</f>
        <v>109</v>
      </c>
      <c r="B45" s="297">
        <f>INDEX(TestSummary!$A$1:$CI$394,'J1634 Calcs'!$A45,'J1634 Calcs'!B$5)</f>
        <v>62009024</v>
      </c>
      <c r="C45" s="297" t="str">
        <f>INDEX(TestSummary!$A$1:$CI$394,'J1634 Calcs'!$A45,'J1634 Calcs'!C$5)</f>
        <v>US06 1, combined</v>
      </c>
      <c r="D45" s="283" t="str">
        <f>INDEX(TestSummary!$A$1:$CI$394,'J1634 Calcs'!$A45,'J1634 Calcs'!D$5)</f>
        <v>J1634 MCT, start from full charge, UDDS-HWY-UDDS-US06, in L mode, Headlights -OFF</v>
      </c>
      <c r="E45" s="326">
        <f>INDEX(TestSummary!$A$1:$CI$394,'J1634 Calcs'!$A45,'J1634 Calcs'!E$5)</f>
        <v>0</v>
      </c>
      <c r="F45" s="489">
        <f>INDEX(TestSummary!$A$1:$CI$394,'J1634 Calcs'!$A45,'J1634 Calcs'!F$5)</f>
        <v>25.047121000000001</v>
      </c>
      <c r="G45" s="114">
        <f>INDEX(TestSummary!$A$1:$CI$394,'J1634 Calcs'!$A45,'J1634 Calcs'!G$5)</f>
        <v>270.0226469295294</v>
      </c>
      <c r="H45" s="114">
        <f>INDEX(TestSummary!$A$1:$CI$394,'J1634 Calcs'!$A45,'J1634 Calcs'!H$5)</f>
        <v>4608</v>
      </c>
      <c r="I45" s="114">
        <f>INDEX(TestSummary!$A$1:$CI$394,'J1634 Calcs'!$A45,'J1634 Calcs'!I$5)</f>
        <v>6626</v>
      </c>
      <c r="J45" s="115">
        <f>INDEX(TestSummary!$A$1:$CI$394,'J1634 Calcs'!$A45,'J1634 Calcs'!J$5)</f>
        <v>88.485415000000003</v>
      </c>
      <c r="K45" s="116">
        <f>INDEX(TestSummary!$A$1:$CI$394,'J1634 Calcs'!$A45,'J1634 Calcs'!K$5)</f>
        <v>270.0226469295294</v>
      </c>
      <c r="L45" s="137"/>
      <c r="N45" s="124" t="s">
        <v>640</v>
      </c>
      <c r="O45" s="125">
        <f>O43</f>
        <v>64595</v>
      </c>
      <c r="P45" s="125">
        <f>O43</f>
        <v>64595</v>
      </c>
      <c r="Q45" s="118" t="s">
        <v>285</v>
      </c>
      <c r="R45" s="119" t="s">
        <v>209</v>
      </c>
      <c r="S45" s="119">
        <v>2</v>
      </c>
      <c r="T45" s="120">
        <f>1/S45</f>
        <v>0.5</v>
      </c>
      <c r="U45" s="120"/>
      <c r="V45" s="120"/>
      <c r="W45" s="126">
        <f>T45*K45*2</f>
        <v>270.0226469295294</v>
      </c>
      <c r="X45" s="126">
        <f>P43/W45</f>
        <v>239.22067550451806</v>
      </c>
      <c r="Y45" s="127">
        <f>W45/T46</f>
        <v>296.4664314672105</v>
      </c>
      <c r="Z45" s="123"/>
      <c r="AA45" s="404"/>
    </row>
    <row r="46" spans="1:51" ht="15.75" thickBot="1" x14ac:dyDescent="0.3">
      <c r="A46" s="407">
        <f>A45+4</f>
        <v>113</v>
      </c>
      <c r="B46" s="297">
        <f>INDEX(TestSummary!$A$1:$CI$394,'J1634 Calcs'!$A46,'J1634 Calcs'!B$5)</f>
        <v>62009026</v>
      </c>
      <c r="C46" s="297" t="str">
        <f>INDEX(TestSummary!$A$1:$CI$394,'J1634 Calcs'!$A46,'J1634 Calcs'!C$5)</f>
        <v>US06 2, combined</v>
      </c>
      <c r="D46" s="283" t="str">
        <f>INDEX(TestSummary!$A$1:$CI$394,'J1634 Calcs'!$A46,'J1634 Calcs'!D$5)</f>
        <v xml:space="preserve">J1634 MCT, US06-UDDS-HWY-UDDS, in L-mode, Headlights-OFF. </v>
      </c>
      <c r="E46" s="326">
        <f>INDEX(TestSummary!$A$1:$CI$394,'J1634 Calcs'!$A46,'J1634 Calcs'!E$5)</f>
        <v>0</v>
      </c>
      <c r="F46" s="489">
        <f>INDEX(TestSummary!$A$1:$CI$394,'J1634 Calcs'!$A46,'J1634 Calcs'!F$5)</f>
        <v>24.079560999999998</v>
      </c>
      <c r="G46" s="114">
        <f>INDEX(TestSummary!$A$1:$CI$394,'J1634 Calcs'!$A46,'J1634 Calcs'!G$5)</f>
        <v>268.2596518702909</v>
      </c>
      <c r="H46" s="114">
        <f>INDEX(TestSummary!$A$1:$CI$394,'J1634 Calcs'!$A46,'J1634 Calcs'!H$5)</f>
        <v>52658</v>
      </c>
      <c r="I46" s="114">
        <f>INDEX(TestSummary!$A$1:$CI$394,'J1634 Calcs'!$A46,'J1634 Calcs'!I$5)</f>
        <v>54663</v>
      </c>
      <c r="J46" s="115">
        <f>INDEX(TestSummary!$A$1:$CI$394,'J1634 Calcs'!$A46,'J1634 Calcs'!J$5)</f>
        <v>17.010732999999998</v>
      </c>
      <c r="K46" s="116">
        <f>INDEX(TestSummary!$A$1:$CI$394,'J1634 Calcs'!$A46,'J1634 Calcs'!K$5)</f>
        <v>268.2596518702909</v>
      </c>
      <c r="L46" s="137"/>
      <c r="Q46" s="128" t="s">
        <v>285</v>
      </c>
      <c r="R46" s="129" t="s">
        <v>288</v>
      </c>
      <c r="S46" s="129"/>
      <c r="T46" s="233">
        <f>O43/O42</f>
        <v>0.91080344440073369</v>
      </c>
      <c r="U46" s="130"/>
      <c r="V46" s="130"/>
      <c r="W46" s="131" t="s">
        <v>272</v>
      </c>
      <c r="X46" s="131" t="s">
        <v>289</v>
      </c>
      <c r="Y46" s="132" t="s">
        <v>287</v>
      </c>
      <c r="Z46" s="133"/>
    </row>
    <row r="47" spans="1:51" x14ac:dyDescent="0.25">
      <c r="A47" s="407">
        <f>A46+3</f>
        <v>116</v>
      </c>
      <c r="B47" s="297">
        <f>INDEX(TestSummary!$A$1:$CI$394,'J1634 Calcs'!$A47,'J1634 Calcs'!B$5)</f>
        <v>62009026</v>
      </c>
      <c r="C47" s="297" t="str">
        <f>INDEX(TestSummary!$A$1:$CI$394,'J1634 Calcs'!$A47,'J1634 Calcs'!C$5)</f>
        <v>UDDS 3, combined</v>
      </c>
      <c r="D47" s="283" t="str">
        <f>INDEX(TestSummary!$A$1:$CI$394,'J1634 Calcs'!$A47,'J1634 Calcs'!D$5)</f>
        <v xml:space="preserve">J1634 MCT, US06-UDDS-HWY-UDDS, in L-mode, Headlights-OFF. </v>
      </c>
      <c r="E47" s="326">
        <f>INDEX(TestSummary!$A$1:$CI$394,'J1634 Calcs'!$A47,'J1634 Calcs'!E$5)</f>
        <v>0</v>
      </c>
      <c r="F47" s="489">
        <f>INDEX(TestSummary!$A$1:$CI$394,'J1634 Calcs'!$A47,'J1634 Calcs'!F$5)</f>
        <v>20.7152955</v>
      </c>
      <c r="G47" s="114">
        <f>INDEX(TestSummary!$A$1:$CI$394,'J1634 Calcs'!$A47,'J1634 Calcs'!G$5)</f>
        <v>159.42914734866898</v>
      </c>
      <c r="H47" s="114">
        <f>INDEX(TestSummary!$A$1:$CI$394,'J1634 Calcs'!$A47,'J1634 Calcs'!H$5)</f>
        <v>54810</v>
      </c>
      <c r="I47" s="114">
        <f>INDEX(TestSummary!$A$1:$CI$394,'J1634 Calcs'!$A47,'J1634 Calcs'!I$5)</f>
        <v>55994</v>
      </c>
      <c r="J47" s="115">
        <f>INDEX(TestSummary!$A$1:$CI$394,'J1634 Calcs'!$A47,'J1634 Calcs'!J$5)</f>
        <v>16.778796</v>
      </c>
      <c r="K47" s="116">
        <f>INDEX(TestSummary!$A$1:$CI$394,'J1634 Calcs'!$A47,'J1634 Calcs'!K$5)</f>
        <v>159.42914734866898</v>
      </c>
      <c r="L47" s="137"/>
    </row>
    <row r="48" spans="1:51" x14ac:dyDescent="0.25">
      <c r="A48" s="407">
        <f>A47+1</f>
        <v>117</v>
      </c>
      <c r="B48" s="297">
        <f>INDEX(TestSummary!$A$1:$CI$394,'J1634 Calcs'!$A48,'J1634 Calcs'!B$5)</f>
        <v>62009026</v>
      </c>
      <c r="C48" s="297" t="str">
        <f>INDEX(TestSummary!$A$1:$CI$394,'J1634 Calcs'!$A48,'J1634 Calcs'!C$5)</f>
        <v>HWY</v>
      </c>
      <c r="D48" s="283" t="str">
        <f>INDEX(TestSummary!$A$1:$CI$394,'J1634 Calcs'!$A48,'J1634 Calcs'!D$5)</f>
        <v xml:space="preserve">J1634 MCT, US06-UDDS-HWY-UDDS, in L-mode, Headlights-OFF. </v>
      </c>
      <c r="E48" s="326">
        <f>INDEX(TestSummary!$A$1:$CI$394,'J1634 Calcs'!$A48,'J1634 Calcs'!E$5)</f>
        <v>0</v>
      </c>
      <c r="F48" s="489">
        <f>INDEX(TestSummary!$A$1:$CI$394,'J1634 Calcs'!$A48,'J1634 Calcs'!F$5)</f>
        <v>25.616880999999999</v>
      </c>
      <c r="G48" s="114">
        <f>INDEX(TestSummary!$A$1:$CI$394,'J1634 Calcs'!$A48,'J1634 Calcs'!G$5)</f>
        <v>195.56842171098774</v>
      </c>
      <c r="H48" s="114">
        <f>INDEX(TestSummary!$A$1:$CI$394,'J1634 Calcs'!$A48,'J1634 Calcs'!H$5)</f>
        <v>55995</v>
      </c>
      <c r="I48" s="114">
        <f>INDEX(TestSummary!$A$1:$CI$394,'J1634 Calcs'!$A48,'J1634 Calcs'!I$5)</f>
        <v>57999</v>
      </c>
      <c r="J48" s="115">
        <f>INDEX(TestSummary!$A$1:$CI$394,'J1634 Calcs'!$A48,'J1634 Calcs'!J$5)</f>
        <v>16.778796</v>
      </c>
      <c r="K48" s="116">
        <f>INDEX(TestSummary!$A$1:$CI$394,'J1634 Calcs'!$A48,'J1634 Calcs'!K$5)</f>
        <v>195.56842171098774</v>
      </c>
      <c r="L48" s="137"/>
    </row>
    <row r="49" spans="1:59" x14ac:dyDescent="0.25">
      <c r="A49" s="407">
        <f>A48+3</f>
        <v>120</v>
      </c>
      <c r="B49" s="297">
        <f>INDEX(TestSummary!$A$1:$CI$394,'J1634 Calcs'!$A49,'J1634 Calcs'!B$5)</f>
        <v>62009026</v>
      </c>
      <c r="C49" s="297" t="str">
        <f>INDEX(TestSummary!$A$1:$CI$394,'J1634 Calcs'!$A49,'J1634 Calcs'!C$5)</f>
        <v>UDDS 4, combined</v>
      </c>
      <c r="D49" s="283" t="str">
        <f>INDEX(TestSummary!$A$1:$CI$394,'J1634 Calcs'!$A49,'J1634 Calcs'!D$5)</f>
        <v xml:space="preserve">J1634 MCT, US06-UDDS-HWY-UDDS, in L-mode, Headlights-OFF. </v>
      </c>
      <c r="E49" s="326">
        <f>INDEX(TestSummary!$A$1:$CI$394,'J1634 Calcs'!$A49,'J1634 Calcs'!E$5)</f>
        <v>0</v>
      </c>
      <c r="F49" s="489">
        <f>INDEX(TestSummary!$A$1:$CI$394,'J1634 Calcs'!$A49,'J1634 Calcs'!F$5)</f>
        <v>20.012726499999999</v>
      </c>
      <c r="G49" s="114">
        <f>INDEX(TestSummary!$A$1:$CI$394,'J1634 Calcs'!$A49,'J1634 Calcs'!G$5)</f>
        <v>160.87813538326165</v>
      </c>
      <c r="H49" s="114">
        <f>INDEX(TestSummary!$A$1:$CI$394,'J1634 Calcs'!$A49,'J1634 Calcs'!H$5)</f>
        <v>58002</v>
      </c>
      <c r="I49" s="114">
        <f>INDEX(TestSummary!$A$1:$CI$394,'J1634 Calcs'!$A49,'J1634 Calcs'!I$5)</f>
        <v>59197</v>
      </c>
      <c r="J49" s="115">
        <f>INDEX(TestSummary!$A$1:$CI$394,'J1634 Calcs'!$A49,'J1634 Calcs'!J$5)</f>
        <v>16.778796</v>
      </c>
      <c r="K49" s="116">
        <f>INDEX(TestSummary!$A$1:$CI$394,'J1634 Calcs'!$A49,'J1634 Calcs'!K$5)</f>
        <v>160.87813538326165</v>
      </c>
      <c r="L49" s="137"/>
    </row>
    <row r="50" spans="1:59" x14ac:dyDescent="0.25">
      <c r="B50" s="304"/>
      <c r="C50" s="304"/>
      <c r="D50" s="15"/>
      <c r="E50" s="101"/>
      <c r="F50" s="101"/>
      <c r="G50" s="409"/>
      <c r="H50" s="409"/>
      <c r="I50" s="409"/>
      <c r="J50" s="312"/>
      <c r="K50" s="409"/>
      <c r="L50" s="409"/>
    </row>
    <row r="51" spans="1:59" x14ac:dyDescent="0.25">
      <c r="B51" s="304"/>
      <c r="C51" s="304"/>
      <c r="D51" s="15"/>
      <c r="E51" s="101"/>
      <c r="F51" s="101"/>
      <c r="G51" s="409"/>
      <c r="H51" s="409"/>
      <c r="I51" s="409"/>
      <c r="J51" s="312"/>
      <c r="K51" s="409"/>
      <c r="L51" s="409"/>
    </row>
    <row r="52" spans="1:59" ht="16.5" thickBot="1" x14ac:dyDescent="0.3">
      <c r="B52" s="76" t="s">
        <v>645</v>
      </c>
      <c r="C52" s="109"/>
      <c r="D52" s="109"/>
      <c r="E52" s="102"/>
      <c r="F52" s="102"/>
      <c r="G52" s="109"/>
      <c r="H52" s="109"/>
      <c r="I52" s="109"/>
      <c r="J52" s="109"/>
      <c r="K52" s="109"/>
      <c r="L52" s="452"/>
      <c r="AC52" t="s">
        <v>382</v>
      </c>
      <c r="AK52" t="s">
        <v>646</v>
      </c>
      <c r="AL52" t="s">
        <v>647</v>
      </c>
      <c r="AM52" t="s">
        <v>648</v>
      </c>
      <c r="AO52" t="s">
        <v>646</v>
      </c>
      <c r="AP52" t="s">
        <v>647</v>
      </c>
      <c r="AQ52" t="s">
        <v>648</v>
      </c>
      <c r="AS52" t="s">
        <v>646</v>
      </c>
      <c r="AT52" t="s">
        <v>647</v>
      </c>
      <c r="AU52" t="s">
        <v>648</v>
      </c>
      <c r="AW52" t="s">
        <v>646</v>
      </c>
      <c r="AX52" t="s">
        <v>647</v>
      </c>
      <c r="AY52" t="s">
        <v>648</v>
      </c>
      <c r="BC52" t="s">
        <v>649</v>
      </c>
      <c r="BD52" t="s">
        <v>650</v>
      </c>
      <c r="BF52" t="s">
        <v>561</v>
      </c>
      <c r="BG52" t="s">
        <v>204</v>
      </c>
    </row>
    <row r="53" spans="1:59" ht="15.75" thickBot="1" x14ac:dyDescent="0.3">
      <c r="A53" s="407">
        <v>190</v>
      </c>
      <c r="B53" s="297">
        <f>INDEX(TestSummary!$A$1:$CI$394,'J1634 Calcs'!$A53,'J1634 Calcs'!B$5)</f>
        <v>62009040</v>
      </c>
      <c r="C53" s="297" t="str">
        <f>INDEX(TestSummary!$A$1:$CI$394,'J1634 Calcs'!$A53,'J1634 Calcs'!C$5)</f>
        <v>UDDS 1 , Combined</v>
      </c>
      <c r="D53" s="283" t="str">
        <f>INDEX(TestSummary!$A$1:$CI$394,'J1634 Calcs'!$A53,'J1634 Calcs'!D$5)</f>
        <v xml:space="preserve">J1634 MCT in hot test cell (95°F) with solar @ 850 W/m^2.  HVAC Auto-72°F, Solar light on 30 minutes prior to test start, UDDS-HWY-UDDS (pulled wrong test file, should have US06 as well) </v>
      </c>
      <c r="E53" s="326">
        <f>INDEX(TestSummary!$A$1:$CI$394,'J1634 Calcs'!$A53,'J1634 Calcs'!E$5)</f>
        <v>0</v>
      </c>
      <c r="F53" s="489">
        <f>INDEX(TestSummary!$A$1:$CI$394,'J1634 Calcs'!$A53,'J1634 Calcs'!F$5)</f>
        <v>35.096563500000002</v>
      </c>
      <c r="G53" s="114">
        <f>INDEX(TestSummary!$A$1:$CI$394,'J1634 Calcs'!$A53,'J1634 Calcs'!G$5)</f>
        <v>222.81597643414426</v>
      </c>
      <c r="H53" s="114">
        <f>INDEX(TestSummary!$A$1:$CI$394,'J1634 Calcs'!$A53,'J1634 Calcs'!H$5)</f>
        <v>34242</v>
      </c>
      <c r="I53" s="114">
        <f>INDEX(TestSummary!$A$1:$CI$394,'J1634 Calcs'!$A53,'J1634 Calcs'!I$5)</f>
        <v>35901</v>
      </c>
      <c r="J53" s="115">
        <f>INDEX(TestSummary!$A$1:$CI$394,'J1634 Calcs'!$A53,'J1634 Calcs'!J$5)</f>
        <v>94.973541999999995</v>
      </c>
      <c r="K53" s="116">
        <f>INDEX(TestSummary!$A$1:$CI$394,'J1634 Calcs'!$A53,'J1634 Calcs'!K$5)</f>
        <v>222.81597643414426</v>
      </c>
      <c r="L53" s="137"/>
      <c r="N53" s="110" t="s">
        <v>276</v>
      </c>
      <c r="O53" s="17" t="s">
        <v>291</v>
      </c>
      <c r="P53" t="s">
        <v>292</v>
      </c>
      <c r="Q53" s="111" t="s">
        <v>277</v>
      </c>
      <c r="R53" s="112"/>
      <c r="S53" s="112"/>
      <c r="T53" s="112"/>
      <c r="U53" s="112"/>
      <c r="V53" s="112"/>
      <c r="W53" s="112"/>
      <c r="X53" s="112"/>
      <c r="Y53" s="112"/>
      <c r="Z53" s="113"/>
      <c r="AC53" t="s">
        <v>57</v>
      </c>
      <c r="AD53" s="134">
        <f t="shared" ref="AD53:AE55" si="6">(AD37/$AG37)</f>
        <v>0.37570670408357559</v>
      </c>
      <c r="AE53" s="134">
        <f t="shared" si="6"/>
        <v>0.47038485532429986</v>
      </c>
      <c r="AF53" s="134"/>
      <c r="AG53" s="134">
        <f>(AG37/$AG37)</f>
        <v>1</v>
      </c>
      <c r="AH53" s="134">
        <f>(AH37/$AG37)</f>
        <v>0.8177260031880107</v>
      </c>
      <c r="AJ53" t="s">
        <v>651</v>
      </c>
      <c r="AK53">
        <v>1489.4</v>
      </c>
      <c r="AL53">
        <v>7.4589999999999996</v>
      </c>
      <c r="AM53">
        <f t="shared" ref="AM53:AM58" si="7">AK53/AL53</f>
        <v>199.67824105107925</v>
      </c>
      <c r="AO53">
        <v>1353</v>
      </c>
      <c r="AP53">
        <v>7.4550000000000001</v>
      </c>
      <c r="AQ53">
        <f t="shared" ref="AQ53:AQ58" si="8">AO53/AP53</f>
        <v>181.48893360160966</v>
      </c>
      <c r="AS53" s="33">
        <f>I32</f>
        <v>1284</v>
      </c>
      <c r="AT53" s="404">
        <f>J32</f>
        <v>95.678507999999994</v>
      </c>
      <c r="AU53">
        <f t="shared" ref="AU53:AU58" si="9">AS53/AT53</f>
        <v>13.419941707284984</v>
      </c>
      <c r="AW53" s="33">
        <f>I42</f>
        <v>1318</v>
      </c>
      <c r="AX53" s="33">
        <f>J42</f>
        <v>95.651042000000004</v>
      </c>
      <c r="AY53">
        <f t="shared" ref="AY53:AY58" si="10">AW53/AX53</f>
        <v>13.779253967771725</v>
      </c>
      <c r="BC53" s="405">
        <f t="shared" ref="BC53:BC58" si="11">(AU53-AM53)/AM53</f>
        <v>-0.93279216785642638</v>
      </c>
      <c r="BD53" s="405">
        <f t="shared" ref="BD53:BD58" si="12">(AU53-AQ53)/AQ53</f>
        <v>-0.92605641875254285</v>
      </c>
      <c r="BE53" t="s">
        <v>57</v>
      </c>
      <c r="BF53">
        <v>455.32</v>
      </c>
    </row>
    <row r="54" spans="1:59" x14ac:dyDescent="0.25">
      <c r="A54" s="407">
        <f>A53+1</f>
        <v>191</v>
      </c>
      <c r="B54" s="297">
        <f>INDEX(TestSummary!$A$1:$CI$394,'J1634 Calcs'!$A54,'J1634 Calcs'!B$5)</f>
        <v>62009040</v>
      </c>
      <c r="C54" s="297" t="str">
        <f>INDEX(TestSummary!$A$1:$CI$394,'J1634 Calcs'!$A54,'J1634 Calcs'!C$5)</f>
        <v>HWY 1</v>
      </c>
      <c r="D54" s="283" t="str">
        <f>INDEX(TestSummary!$A$1:$CI$394,'J1634 Calcs'!$A54,'J1634 Calcs'!D$5)</f>
        <v xml:space="preserve">J1634 MCT in hot test cell (95°F) with solar @ 850 W/m^2.  HVAC Auto-72°F, Solar light on 30 minutes prior to test start, UDDS-HWY-UDDS (pulled wrong test file, should have US06 as well) </v>
      </c>
      <c r="E54" s="326">
        <f>INDEX(TestSummary!$A$1:$CI$394,'J1634 Calcs'!$A54,'J1634 Calcs'!E$5)</f>
        <v>0</v>
      </c>
      <c r="F54" s="489">
        <f>INDEX(TestSummary!$A$1:$CI$394,'J1634 Calcs'!$A54,'J1634 Calcs'!F$5)</f>
        <v>37.816772999999998</v>
      </c>
      <c r="G54" s="114">
        <f>INDEX(TestSummary!$A$1:$CI$394,'J1634 Calcs'!$A54,'J1634 Calcs'!G$5)</f>
        <v>207.24880302286215</v>
      </c>
      <c r="H54" s="114">
        <f>INDEX(TestSummary!$A$1:$CI$394,'J1634 Calcs'!$A54,'J1634 Calcs'!H$5)</f>
        <v>35906</v>
      </c>
      <c r="I54" s="114">
        <f>INDEX(TestSummary!$A$1:$CI$394,'J1634 Calcs'!$A54,'J1634 Calcs'!I$5)</f>
        <v>38036</v>
      </c>
      <c r="J54" s="115">
        <f>INDEX(TestSummary!$A$1:$CI$394,'J1634 Calcs'!$A54,'J1634 Calcs'!J$5)</f>
        <v>92.095693999999995</v>
      </c>
      <c r="K54" s="116">
        <f>INDEX(TestSummary!$A$1:$CI$394,'J1634 Calcs'!$A54,'J1634 Calcs'!K$5)</f>
        <v>207.24880302286215</v>
      </c>
      <c r="L54" s="137"/>
      <c r="N54" s="117" t="s">
        <v>667</v>
      </c>
      <c r="O54" s="138">
        <f>-TestSummary!BO210</f>
        <v>74183.7</v>
      </c>
      <c r="P54" s="224">
        <f>$O$32</f>
        <v>70871.060981000002</v>
      </c>
      <c r="Q54" s="118" t="s">
        <v>16</v>
      </c>
      <c r="R54" s="119" t="s">
        <v>1</v>
      </c>
      <c r="S54" s="119" t="s">
        <v>383</v>
      </c>
      <c r="T54" s="120" t="s">
        <v>279</v>
      </c>
      <c r="U54" s="119" t="s">
        <v>280</v>
      </c>
      <c r="V54" s="120" t="s">
        <v>281</v>
      </c>
      <c r="W54" s="121" t="s">
        <v>673</v>
      </c>
      <c r="X54" s="122" t="s">
        <v>282</v>
      </c>
      <c r="Y54" s="121" t="s">
        <v>283</v>
      </c>
      <c r="Z54" s="123"/>
      <c r="AC54" t="s">
        <v>55</v>
      </c>
      <c r="AD54" s="134">
        <f t="shared" si="6"/>
        <v>0.55483795164449534</v>
      </c>
      <c r="AE54" s="134">
        <f t="shared" si="6"/>
        <v>0.64685582256540297</v>
      </c>
      <c r="AF54" s="134"/>
      <c r="AG54" s="134">
        <f>(AG38/$AG37)</f>
        <v>0.80393414649000483</v>
      </c>
      <c r="AH54" s="134">
        <f>(AH38/$AG38)</f>
        <v>0.97186893699870502</v>
      </c>
      <c r="AJ54" t="s">
        <v>652</v>
      </c>
      <c r="AK54">
        <v>1326.1</v>
      </c>
      <c r="AL54">
        <v>7.4530000000000003</v>
      </c>
      <c r="AM54">
        <f t="shared" si="7"/>
        <v>177.92835099959746</v>
      </c>
      <c r="AO54">
        <v>1269</v>
      </c>
      <c r="AP54">
        <v>7.4589999999999996</v>
      </c>
      <c r="AQ54">
        <f t="shared" si="8"/>
        <v>170.13004424185547</v>
      </c>
      <c r="AS54" s="26">
        <f>I34</f>
        <v>4574</v>
      </c>
      <c r="AT54" s="404">
        <f>J34</f>
        <v>91.265604999999994</v>
      </c>
      <c r="AU54">
        <f t="shared" si="9"/>
        <v>50.117456625636791</v>
      </c>
      <c r="AW54" s="26">
        <f>I44</f>
        <v>4603</v>
      </c>
      <c r="AX54" s="26">
        <f>J44</f>
        <v>91.242716000000001</v>
      </c>
      <c r="AY54">
        <f t="shared" si="10"/>
        <v>50.447862599793716</v>
      </c>
      <c r="BC54" s="405">
        <f t="shared" si="11"/>
        <v>-0.71832787555171473</v>
      </c>
      <c r="BD54" s="405">
        <f t="shared" si="12"/>
        <v>-0.70541677780092604</v>
      </c>
      <c r="BF54">
        <v>422.7</v>
      </c>
    </row>
    <row r="55" spans="1:59" x14ac:dyDescent="0.25">
      <c r="A55" s="407">
        <f>A54+3</f>
        <v>194</v>
      </c>
      <c r="B55" s="297">
        <f>INDEX(TestSummary!$A$1:$CI$394,'J1634 Calcs'!$A55,'J1634 Calcs'!B$5)</f>
        <v>62009040</v>
      </c>
      <c r="C55" s="297" t="str">
        <f>INDEX(TestSummary!$A$1:$CI$394,'J1634 Calcs'!$A55,'J1634 Calcs'!C$5)</f>
        <v>UDDS 2, combined</v>
      </c>
      <c r="D55" s="283" t="str">
        <f>INDEX(TestSummary!$A$1:$CI$394,'J1634 Calcs'!$A55,'J1634 Calcs'!D$5)</f>
        <v xml:space="preserve">J1634 MCT in hot test cell (95°F) with solar @ 850 W/m^2.  HVAC Auto-72°F, Solar light on 30 minutes prior to test start, UDDS-HWY-UDDS (pulled wrong test file, should have US06 as well) </v>
      </c>
      <c r="E55" s="326">
        <f>INDEX(TestSummary!$A$1:$CI$394,'J1634 Calcs'!$A55,'J1634 Calcs'!E$5)</f>
        <v>0</v>
      </c>
      <c r="F55" s="489">
        <f>INDEX(TestSummary!$A$1:$CI$394,'J1634 Calcs'!$A55,'J1634 Calcs'!F$5)</f>
        <v>33.284959000000001</v>
      </c>
      <c r="G55" s="114">
        <f>INDEX(TestSummary!$A$1:$CI$394,'J1634 Calcs'!$A55,'J1634 Calcs'!G$5)</f>
        <v>197.36417977936662</v>
      </c>
      <c r="H55" s="114">
        <f>INDEX(TestSummary!$A$1:$CI$394,'J1634 Calcs'!$A55,'J1634 Calcs'!H$5)</f>
        <v>38044.435854000003</v>
      </c>
      <c r="I55" s="114">
        <f>INDEX(TestSummary!$A$1:$CI$394,'J1634 Calcs'!$A55,'J1634 Calcs'!I$5)</f>
        <v>39514</v>
      </c>
      <c r="J55" s="115">
        <f>INDEX(TestSummary!$A$1:$CI$394,'J1634 Calcs'!$A55,'J1634 Calcs'!J$5)</f>
        <v>90.128809000000004</v>
      </c>
      <c r="K55" s="116">
        <f>INDEX(TestSummary!$A$1:$CI$394,'J1634 Calcs'!$A55,'J1634 Calcs'!K$5)</f>
        <v>197.36417977936662</v>
      </c>
      <c r="L55" s="137"/>
      <c r="N55" s="124" t="s">
        <v>284</v>
      </c>
      <c r="O55" s="125">
        <f>TestSummary!W209-TestSummary!V188</f>
        <v>64235</v>
      </c>
      <c r="P55" s="125">
        <f>$O$33</f>
        <v>64490</v>
      </c>
      <c r="Q55" s="118" t="s">
        <v>285</v>
      </c>
      <c r="R55" s="119" t="s">
        <v>57</v>
      </c>
      <c r="S55" s="119">
        <v>3</v>
      </c>
      <c r="T55" s="120"/>
      <c r="U55" s="120">
        <f>(I53-H53)/O55</f>
        <v>2.5827041332606833E-2</v>
      </c>
      <c r="V55" s="120">
        <f>(1-U55)/S55</f>
        <v>0.32472431955579772</v>
      </c>
      <c r="W55" s="126">
        <f>U55*K53+V55*K55*3</f>
        <v>198.02152438355867</v>
      </c>
      <c r="X55" s="126">
        <f>P55/W55</f>
        <v>325.67166726323046</v>
      </c>
      <c r="Y55" s="127">
        <f>W55/T58</f>
        <v>228.69104628960224</v>
      </c>
      <c r="Z55" s="123"/>
      <c r="AC55" t="s">
        <v>209</v>
      </c>
      <c r="AD55" s="134">
        <f t="shared" si="6"/>
        <v>0.65076651382552764</v>
      </c>
      <c r="AE55" s="134">
        <f t="shared" si="6"/>
        <v>0.72698510094498869</v>
      </c>
      <c r="AF55" s="134"/>
      <c r="AG55" s="134">
        <f>(AG39/$AG38)</f>
        <v>0.74596440781891793</v>
      </c>
      <c r="AH55" s="134">
        <f>(AH39/$AG39)</f>
        <v>0.9887190232733899</v>
      </c>
      <c r="AJ55" t="s">
        <v>653</v>
      </c>
      <c r="AK55">
        <v>1271.5</v>
      </c>
      <c r="AL55">
        <v>7.4669999999999996</v>
      </c>
      <c r="AM55">
        <f t="shared" si="7"/>
        <v>170.28257667068436</v>
      </c>
      <c r="AO55">
        <v>1252</v>
      </c>
      <c r="AP55">
        <v>7.4429999999999996</v>
      </c>
      <c r="AQ55">
        <f t="shared" si="8"/>
        <v>168.21174257691791</v>
      </c>
      <c r="AS55" s="33">
        <f>I37</f>
        <v>56146</v>
      </c>
      <c r="AT55" s="404">
        <f>J37</f>
        <v>14.483843</v>
      </c>
      <c r="AU55">
        <f t="shared" si="9"/>
        <v>3876.4573739165771</v>
      </c>
      <c r="AW55" s="33">
        <f>I47</f>
        <v>55994</v>
      </c>
      <c r="AX55" s="33">
        <f>J47</f>
        <v>16.778796</v>
      </c>
      <c r="AY55">
        <f t="shared" si="10"/>
        <v>3337.1881987241518</v>
      </c>
      <c r="BC55" s="405">
        <f t="shared" si="11"/>
        <v>21.764850342929673</v>
      </c>
      <c r="BD55" s="405">
        <f t="shared" si="12"/>
        <v>22.045105618259651</v>
      </c>
    </row>
    <row r="56" spans="1:59" x14ac:dyDescent="0.25">
      <c r="A56" s="407">
        <f>A55+3</f>
        <v>197</v>
      </c>
      <c r="B56" s="297">
        <f>INDEX(TestSummary!$A$1:$CI$394,'J1634 Calcs'!$A56,'J1634 Calcs'!B$5)</f>
        <v>62009041</v>
      </c>
      <c r="C56" s="297" t="str">
        <f>INDEX(TestSummary!$A$1:$CI$394,'J1634 Calcs'!$A56,'J1634 Calcs'!C$5)</f>
        <v>US06 1, combined</v>
      </c>
      <c r="D56" s="283" t="str">
        <f>INDEX(TestSummary!$A$1:$CI$394,'J1634 Calcs'!$A56,'J1634 Calcs'!D$5)</f>
        <v>J1634 MCT in hot test cell (95°F) with solar @ 850 W/m^2.  HVAC Auto-72°F, Solar light on 30 minutes prior to test start, US06, 2 bag to complete first half cycles</v>
      </c>
      <c r="E56" s="326">
        <f>INDEX(TestSummary!$A$1:$CI$394,'J1634 Calcs'!$A56,'J1634 Calcs'!E$5)</f>
        <v>0</v>
      </c>
      <c r="F56" s="489">
        <f>INDEX(TestSummary!$A$1:$CI$394,'J1634 Calcs'!$A56,'J1634 Calcs'!F$5)</f>
        <v>38.357382999999999</v>
      </c>
      <c r="G56" s="114">
        <f>INDEX(TestSummary!$A$1:$CI$394,'J1634 Calcs'!$A56,'J1634 Calcs'!G$5)</f>
        <v>273.09184756510598</v>
      </c>
      <c r="H56" s="114">
        <f>INDEX(TestSummary!$A$1:$CI$394,'J1634 Calcs'!$A56,'J1634 Calcs'!H$5)</f>
        <v>39572</v>
      </c>
      <c r="I56" s="114">
        <f>INDEX(TestSummary!$A$1:$CI$394,'J1634 Calcs'!$A56,'J1634 Calcs'!I$5)</f>
        <v>41600</v>
      </c>
      <c r="J56" s="115">
        <f>INDEX(TestSummary!$A$1:$CI$394,'J1634 Calcs'!$A56,'J1634 Calcs'!J$5)</f>
        <v>87.289108999999996</v>
      </c>
      <c r="K56" s="116">
        <f>INDEX(TestSummary!$A$1:$CI$394,'J1634 Calcs'!$A56,'J1634 Calcs'!K$5)</f>
        <v>273.09184756510598</v>
      </c>
      <c r="L56" s="137"/>
      <c r="Q56" s="118" t="s">
        <v>285</v>
      </c>
      <c r="R56" s="119" t="s">
        <v>55</v>
      </c>
      <c r="S56" s="119">
        <v>2</v>
      </c>
      <c r="T56" s="120">
        <f>1/S56</f>
        <v>0.5</v>
      </c>
      <c r="U56" s="120"/>
      <c r="V56" s="120"/>
      <c r="W56" s="126">
        <f>T56*K54*2</f>
        <v>207.24880302286215</v>
      </c>
      <c r="X56" s="126">
        <f>P55/W56</f>
        <v>311.17188161943665</v>
      </c>
      <c r="Y56" s="127">
        <f>W56/T58</f>
        <v>239.34744343126175</v>
      </c>
      <c r="Z56" s="123"/>
      <c r="AJ56" t="s">
        <v>654</v>
      </c>
      <c r="AK56">
        <v>1285.5999999999999</v>
      </c>
      <c r="AL56">
        <v>7.4630000000000001</v>
      </c>
      <c r="AM56">
        <f t="shared" si="7"/>
        <v>172.2631649470722</v>
      </c>
      <c r="AO56">
        <v>1261</v>
      </c>
      <c r="AP56">
        <v>7.452</v>
      </c>
      <c r="AQ56">
        <f t="shared" si="8"/>
        <v>169.2163177670424</v>
      </c>
      <c r="AS56" s="33">
        <f>I39</f>
        <v>59354</v>
      </c>
      <c r="AT56" s="404">
        <f>J39</f>
        <v>9.3018859999999997</v>
      </c>
      <c r="AU56">
        <f t="shared" si="9"/>
        <v>6380.856527375201</v>
      </c>
      <c r="AW56" s="33">
        <f>I49</f>
        <v>59197</v>
      </c>
      <c r="AX56" s="33">
        <f>J49</f>
        <v>16.778796</v>
      </c>
      <c r="AY56">
        <f t="shared" si="10"/>
        <v>3528.0838982725577</v>
      </c>
      <c r="BC56" s="405">
        <f t="shared" si="11"/>
        <v>36.041328767735791</v>
      </c>
      <c r="BD56" s="405">
        <f t="shared" si="12"/>
        <v>36.708281397303729</v>
      </c>
    </row>
    <row r="57" spans="1:59" x14ac:dyDescent="0.25">
      <c r="B57" s="304"/>
      <c r="C57" s="304"/>
      <c r="D57" s="15"/>
      <c r="E57" s="101"/>
      <c r="F57" s="101"/>
      <c r="G57" s="135"/>
      <c r="H57" s="135"/>
      <c r="I57" s="135"/>
      <c r="J57" s="136"/>
      <c r="K57" s="137"/>
      <c r="L57" s="137"/>
      <c r="Q57" s="118" t="s">
        <v>285</v>
      </c>
      <c r="R57" s="119" t="s">
        <v>209</v>
      </c>
      <c r="S57" s="119">
        <v>2</v>
      </c>
      <c r="T57" s="120">
        <f>1/S57</f>
        <v>0.5</v>
      </c>
      <c r="U57" s="120"/>
      <c r="V57" s="120"/>
      <c r="W57" s="126">
        <f>T57*K56*2</f>
        <v>273.09184756510598</v>
      </c>
      <c r="X57" s="126">
        <f>P55/W57</f>
        <v>236.14765718931019</v>
      </c>
      <c r="Y57" s="127">
        <f>W57/T58</f>
        <v>315.38824149164088</v>
      </c>
      <c r="Z57" s="123"/>
      <c r="AJ57" t="s">
        <v>655</v>
      </c>
      <c r="AK57">
        <v>1950.9</v>
      </c>
      <c r="AL57">
        <v>10.266</v>
      </c>
      <c r="AM57">
        <f t="shared" si="7"/>
        <v>190.03506721215663</v>
      </c>
      <c r="AO57">
        <v>1844</v>
      </c>
      <c r="AP57">
        <v>10.262</v>
      </c>
      <c r="AQ57">
        <f t="shared" si="8"/>
        <v>179.69206782303644</v>
      </c>
      <c r="AS57" s="33">
        <f>I33</f>
        <v>3349</v>
      </c>
      <c r="AT57" s="404">
        <f>J33</f>
        <v>92.916629</v>
      </c>
      <c r="AU57">
        <f t="shared" si="9"/>
        <v>36.043063938533543</v>
      </c>
      <c r="AW57" s="33">
        <f>I43</f>
        <v>3384</v>
      </c>
      <c r="AX57" s="33">
        <f>J43</f>
        <v>92.889161999999999</v>
      </c>
      <c r="AY57">
        <f t="shared" si="10"/>
        <v>36.430514896883231</v>
      </c>
      <c r="BC57" s="405">
        <f t="shared" si="11"/>
        <v>-0.81033466892563155</v>
      </c>
      <c r="BD57" s="405">
        <f t="shared" si="12"/>
        <v>-0.79941761272384415</v>
      </c>
    </row>
    <row r="58" spans="1:59" ht="15.75" thickBot="1" x14ac:dyDescent="0.3">
      <c r="Q58" s="128" t="s">
        <v>285</v>
      </c>
      <c r="R58" s="129" t="s">
        <v>288</v>
      </c>
      <c r="S58" s="129"/>
      <c r="T58" s="233">
        <f>O55/O54</f>
        <v>0.86589102457817557</v>
      </c>
      <c r="U58" s="130"/>
      <c r="V58" s="130"/>
      <c r="W58" s="131" t="s">
        <v>272</v>
      </c>
      <c r="X58" s="131" t="s">
        <v>289</v>
      </c>
      <c r="Y58" s="132" t="s">
        <v>287</v>
      </c>
      <c r="Z58" s="133"/>
      <c r="AJ58" t="s">
        <v>656</v>
      </c>
      <c r="AK58">
        <v>1895.5</v>
      </c>
      <c r="AL58">
        <v>10.257999999999999</v>
      </c>
      <c r="AM58">
        <f t="shared" si="7"/>
        <v>184.78260869565219</v>
      </c>
      <c r="AO58">
        <v>1863</v>
      </c>
      <c r="AP58">
        <v>10.266999999999999</v>
      </c>
      <c r="AQ58">
        <f t="shared" si="8"/>
        <v>181.45514756014416</v>
      </c>
      <c r="AS58" s="33">
        <f>I38</f>
        <v>58154</v>
      </c>
      <c r="AT58" s="404">
        <f>J38</f>
        <v>11.248934999999999</v>
      </c>
      <c r="AU58">
        <f t="shared" si="9"/>
        <v>5169.7338459151915</v>
      </c>
      <c r="AW58" s="33">
        <f>I47</f>
        <v>55994</v>
      </c>
      <c r="AX58" s="33">
        <f>J47</f>
        <v>16.778796</v>
      </c>
      <c r="AY58">
        <f t="shared" si="10"/>
        <v>3337.1881987241518</v>
      </c>
      <c r="BC58" s="405">
        <f t="shared" si="11"/>
        <v>26.977383166129272</v>
      </c>
      <c r="BD58" s="405">
        <f t="shared" si="12"/>
        <v>27.490422649496121</v>
      </c>
    </row>
    <row r="59" spans="1:59" x14ac:dyDescent="0.25">
      <c r="R59" s="33"/>
      <c r="S59" s="33"/>
      <c r="T59" s="415"/>
      <c r="W59" s="416"/>
      <c r="X59" s="416"/>
      <c r="Y59" s="18"/>
      <c r="AS59" s="33"/>
      <c r="AT59" s="404"/>
      <c r="AW59" s="33"/>
      <c r="AX59" s="33"/>
      <c r="BC59" s="417"/>
      <c r="BD59" s="417"/>
    </row>
    <row r="60" spans="1:59" ht="16.5" thickBot="1" x14ac:dyDescent="0.3">
      <c r="B60" s="76" t="s">
        <v>666</v>
      </c>
      <c r="C60" s="109"/>
      <c r="D60" s="109"/>
      <c r="E60" s="102"/>
      <c r="F60" s="102"/>
      <c r="G60" s="109"/>
      <c r="H60" s="109"/>
      <c r="I60" s="109"/>
      <c r="J60" s="109"/>
      <c r="K60" s="109"/>
      <c r="L60" s="452"/>
    </row>
    <row r="61" spans="1:59" ht="15.75" thickBot="1" x14ac:dyDescent="0.3">
      <c r="A61" s="407">
        <v>214</v>
      </c>
      <c r="B61" s="297">
        <f>INDEX(TestSummary!$A$1:$CI$394,'J1634 Calcs'!$A61,'J1634 Calcs'!B$5)</f>
        <v>62009050</v>
      </c>
      <c r="C61" s="297" t="str">
        <f>INDEX(TestSummary!$A$1:$CI$394,'J1634 Calcs'!$A61,'J1634 Calcs'!C$5)</f>
        <v>UDDS 1 , Combined</v>
      </c>
      <c r="D61" s="283" t="str">
        <f>INDEX(TestSummary!$A$1:$CI$394,'J1634 Calcs'!$A61,'J1634 Calcs'!D$5)</f>
        <v>J1634 MCT in hot test cell (95°F) UDDS-HWY-UDDS-US06 with NO Solar</v>
      </c>
      <c r="E61" s="326">
        <f>INDEX(TestSummary!$A$1:$CI$394,'J1634 Calcs'!$A61,'J1634 Calcs'!E$5)</f>
        <v>0</v>
      </c>
      <c r="F61" s="489">
        <f>INDEX(TestSummary!$A$1:$CI$394,'J1634 Calcs'!$A61,'J1634 Calcs'!F$5)</f>
        <v>35.0078405</v>
      </c>
      <c r="G61" s="114">
        <f>INDEX(TestSummary!$A$1:$CI$394,'J1634 Calcs'!$A61,'J1634 Calcs'!G$5)</f>
        <v>216.41664329048987</v>
      </c>
      <c r="H61" s="114">
        <f>INDEX(TestSummary!$A$1:$CI$394,'J1634 Calcs'!$A61,'J1634 Calcs'!H$5)</f>
        <v>95214</v>
      </c>
      <c r="I61" s="114">
        <f>INDEX(TestSummary!$A$1:$CI$394,'J1634 Calcs'!$A61,'J1634 Calcs'!I$5)</f>
        <v>96825</v>
      </c>
      <c r="J61" s="115">
        <f>INDEX(TestSummary!$A$1:$CI$394,'J1634 Calcs'!$A61,'J1634 Calcs'!J$5)</f>
        <v>95.013215000000002</v>
      </c>
      <c r="K61" s="116">
        <f>INDEX(TestSummary!$A$1:$CI$394,'J1634 Calcs'!$A61,'J1634 Calcs'!K$5)</f>
        <v>216.41664329048987</v>
      </c>
      <c r="L61" s="137"/>
      <c r="N61" s="110" t="s">
        <v>276</v>
      </c>
      <c r="O61" s="17" t="s">
        <v>291</v>
      </c>
      <c r="P61" t="s">
        <v>292</v>
      </c>
      <c r="Q61" s="111" t="s">
        <v>277</v>
      </c>
      <c r="R61" s="112"/>
      <c r="S61" s="112"/>
      <c r="T61" s="112"/>
      <c r="U61" s="112"/>
      <c r="V61" s="112"/>
      <c r="W61" s="112"/>
      <c r="X61" s="112"/>
      <c r="Y61" s="112"/>
      <c r="Z61" s="113"/>
    </row>
    <row r="62" spans="1:59" x14ac:dyDescent="0.25">
      <c r="A62" s="407">
        <f>A61+1</f>
        <v>215</v>
      </c>
      <c r="B62" s="297">
        <f>INDEX(TestSummary!$A$1:$CI$394,'J1634 Calcs'!$A62,'J1634 Calcs'!B$5)</f>
        <v>62009050</v>
      </c>
      <c r="C62" s="297" t="str">
        <f>INDEX(TestSummary!$A$1:$CI$394,'J1634 Calcs'!$A62,'J1634 Calcs'!C$5)</f>
        <v>HWY 1</v>
      </c>
      <c r="D62" s="283" t="str">
        <f>INDEX(TestSummary!$A$1:$CI$394,'J1634 Calcs'!$A62,'J1634 Calcs'!D$5)</f>
        <v>J1634 MCT in hot test cell (95°F) UDDS-HWY-UDDS-US06 with NO Solar</v>
      </c>
      <c r="E62" s="326">
        <f>INDEX(TestSummary!$A$1:$CI$394,'J1634 Calcs'!$A62,'J1634 Calcs'!E$5)</f>
        <v>0</v>
      </c>
      <c r="F62" s="489">
        <f>INDEX(TestSummary!$A$1:$CI$394,'J1634 Calcs'!$A62,'J1634 Calcs'!F$5)</f>
        <v>37.541108999999999</v>
      </c>
      <c r="G62" s="114">
        <f>INDEX(TestSummary!$A$1:$CI$394,'J1634 Calcs'!$A62,'J1634 Calcs'!G$5)</f>
        <v>213.58571189315117</v>
      </c>
      <c r="H62" s="114">
        <f>INDEX(TestSummary!$A$1:$CI$394,'J1634 Calcs'!$A62,'J1634 Calcs'!H$5)</f>
        <v>96829</v>
      </c>
      <c r="I62" s="114">
        <f>INDEX(TestSummary!$A$1:$CI$394,'J1634 Calcs'!$A62,'J1634 Calcs'!I$5)</f>
        <v>99024</v>
      </c>
      <c r="J62" s="115">
        <f>INDEX(TestSummary!$A$1:$CI$394,'J1634 Calcs'!$A62,'J1634 Calcs'!J$5)</f>
        <v>91.938526999999993</v>
      </c>
      <c r="K62" s="116">
        <f>INDEX(TestSummary!$A$1:$CI$394,'J1634 Calcs'!$A62,'J1634 Calcs'!K$5)</f>
        <v>213.58571189315117</v>
      </c>
      <c r="L62" s="137"/>
      <c r="N62" s="117" t="s">
        <v>667</v>
      </c>
      <c r="O62" s="420">
        <f>O54</f>
        <v>74183.7</v>
      </c>
      <c r="P62" s="224">
        <f>$O$32</f>
        <v>70871.060981000002</v>
      </c>
      <c r="Q62" s="118" t="s">
        <v>16</v>
      </c>
      <c r="R62" s="119" t="s">
        <v>1</v>
      </c>
      <c r="S62" s="119" t="s">
        <v>383</v>
      </c>
      <c r="T62" s="120" t="s">
        <v>279</v>
      </c>
      <c r="U62" s="119" t="s">
        <v>280</v>
      </c>
      <c r="V62" s="120" t="s">
        <v>281</v>
      </c>
      <c r="W62" s="121" t="s">
        <v>673</v>
      </c>
      <c r="X62" s="122" t="s">
        <v>282</v>
      </c>
      <c r="Y62" s="121" t="s">
        <v>283</v>
      </c>
      <c r="Z62" s="123"/>
    </row>
    <row r="63" spans="1:59" x14ac:dyDescent="0.25">
      <c r="A63" s="407">
        <f>A62+3</f>
        <v>218</v>
      </c>
      <c r="B63" s="297">
        <f>INDEX(TestSummary!$A$1:$CI$394,'J1634 Calcs'!$A63,'J1634 Calcs'!B$5)</f>
        <v>62009050</v>
      </c>
      <c r="C63" s="297" t="str">
        <f>INDEX(TestSummary!$A$1:$CI$394,'J1634 Calcs'!$A63,'J1634 Calcs'!C$5)</f>
        <v>UDDS 2, combined</v>
      </c>
      <c r="D63" s="283" t="str">
        <f>INDEX(TestSummary!$A$1:$CI$394,'J1634 Calcs'!$A63,'J1634 Calcs'!D$5)</f>
        <v>J1634 MCT in hot test cell (95°F) UDDS-HWY-UDDS-US06 with NO Solar</v>
      </c>
      <c r="E63" s="326">
        <f>INDEX(TestSummary!$A$1:$CI$394,'J1634 Calcs'!$A63,'J1634 Calcs'!E$5)</f>
        <v>0</v>
      </c>
      <c r="F63" s="489">
        <f>INDEX(TestSummary!$A$1:$CI$394,'J1634 Calcs'!$A63,'J1634 Calcs'!F$5)</f>
        <v>33.482960499999997</v>
      </c>
      <c r="G63" s="114">
        <f>INDEX(TestSummary!$A$1:$CI$394,'J1634 Calcs'!$A63,'J1634 Calcs'!G$5)</f>
        <v>201.39321481124568</v>
      </c>
      <c r="H63" s="114">
        <f>INDEX(TestSummary!$A$1:$CI$394,'J1634 Calcs'!$A63,'J1634 Calcs'!H$5)</f>
        <v>99036.606450000007</v>
      </c>
      <c r="I63" s="114">
        <f>INDEX(TestSummary!$A$1:$CI$394,'J1634 Calcs'!$A63,'J1634 Calcs'!I$5)</f>
        <v>100536</v>
      </c>
      <c r="J63" s="115">
        <f>INDEX(TestSummary!$A$1:$CI$394,'J1634 Calcs'!$A63,'J1634 Calcs'!J$5)</f>
        <v>91.938526999999993</v>
      </c>
      <c r="K63" s="116">
        <f>INDEX(TestSummary!$A$1:$CI$394,'J1634 Calcs'!$A63,'J1634 Calcs'!K$5)</f>
        <v>201.39321481124568</v>
      </c>
      <c r="L63" s="137"/>
      <c r="N63" s="124" t="s">
        <v>284</v>
      </c>
      <c r="O63" s="421">
        <f>O55</f>
        <v>64235</v>
      </c>
      <c r="P63" s="125">
        <f>$O$33</f>
        <v>64490</v>
      </c>
      <c r="Q63" s="118" t="s">
        <v>285</v>
      </c>
      <c r="R63" s="119" t="s">
        <v>57</v>
      </c>
      <c r="S63" s="119">
        <v>3</v>
      </c>
      <c r="T63" s="120"/>
      <c r="U63" s="120">
        <f>(I61-H61)/O63</f>
        <v>2.5079785163851481E-2</v>
      </c>
      <c r="V63" s="120">
        <f>(1-U63)/S63</f>
        <v>0.32497340494538285</v>
      </c>
      <c r="W63" s="126">
        <f>U63*K61+V63*K63*3</f>
        <v>201.76999916992963</v>
      </c>
      <c r="X63" s="126">
        <f>P63/W63</f>
        <v>319.62135235817124</v>
      </c>
      <c r="Y63" s="127">
        <f>W63/T66</f>
        <v>233.02008387051154</v>
      </c>
      <c r="Z63" s="123"/>
    </row>
    <row r="64" spans="1:59" ht="15.75" customHeight="1" x14ac:dyDescent="0.25">
      <c r="A64" s="407">
        <f>A63+3</f>
        <v>221</v>
      </c>
      <c r="B64" s="297">
        <f>INDEX(TestSummary!$A$1:$CI$394,'J1634 Calcs'!$A64,'J1634 Calcs'!B$5)</f>
        <v>62009050</v>
      </c>
      <c r="C64" s="297" t="str">
        <f>INDEX(TestSummary!$A$1:$CI$394,'J1634 Calcs'!$A64,'J1634 Calcs'!C$5)</f>
        <v>US06 1, combined</v>
      </c>
      <c r="D64" s="283" t="str">
        <f>INDEX(TestSummary!$A$1:$CI$394,'J1634 Calcs'!$A64,'J1634 Calcs'!D$5)</f>
        <v>J1634 MCT in hot test cell (95°F) UDDS-HWY-UDDS-US06 with NO Solar</v>
      </c>
      <c r="E64" s="326">
        <f>INDEX(TestSummary!$A$1:$CI$394,'J1634 Calcs'!$A64,'J1634 Calcs'!E$5)</f>
        <v>0</v>
      </c>
      <c r="F64" s="489">
        <f>INDEX(TestSummary!$A$1:$CI$394,'J1634 Calcs'!$A64,'J1634 Calcs'!F$5)</f>
        <v>37.323793999999999</v>
      </c>
      <c r="G64" s="114">
        <f>INDEX(TestSummary!$A$1:$CI$394,'J1634 Calcs'!$A64,'J1634 Calcs'!G$5)</f>
        <v>282.17138816927599</v>
      </c>
      <c r="H64" s="114">
        <f>INDEX(TestSummary!$A$1:$CI$394,'J1634 Calcs'!$A64,'J1634 Calcs'!H$5)</f>
        <v>100566</v>
      </c>
      <c r="I64" s="114">
        <f>INDEX(TestSummary!$A$1:$CI$394,'J1634 Calcs'!$A64,'J1634 Calcs'!I$5)</f>
        <v>102661</v>
      </c>
      <c r="J64" s="115">
        <f>INDEX(TestSummary!$A$1:$CI$394,'J1634 Calcs'!$A64,'J1634 Calcs'!J$5)</f>
        <v>91.938526999999993</v>
      </c>
      <c r="K64" s="116">
        <f>INDEX(TestSummary!$A$1:$CI$394,'J1634 Calcs'!$A64,'J1634 Calcs'!K$5)</f>
        <v>282.17138816927599</v>
      </c>
      <c r="L64" s="137"/>
      <c r="N64" s="455" t="s">
        <v>677</v>
      </c>
      <c r="Q64" s="118" t="s">
        <v>285</v>
      </c>
      <c r="R64" s="119" t="s">
        <v>55</v>
      </c>
      <c r="S64" s="119">
        <v>2</v>
      </c>
      <c r="T64" s="120">
        <f>1/S64</f>
        <v>0.5</v>
      </c>
      <c r="U64" s="120"/>
      <c r="V64" s="120"/>
      <c r="W64" s="126">
        <f>T64*K62*2</f>
        <v>213.58571189315117</v>
      </c>
      <c r="X64" s="126">
        <f>P63/W64</f>
        <v>301.93967296961279</v>
      </c>
      <c r="Y64" s="127">
        <f>W64/T66</f>
        <v>246.66581109002814</v>
      </c>
      <c r="Z64" s="123"/>
    </row>
    <row r="65" spans="2:56" x14ac:dyDescent="0.25">
      <c r="B65" s="304"/>
      <c r="C65" s="304"/>
      <c r="D65" s="15"/>
      <c r="E65" s="101"/>
      <c r="F65" s="101"/>
      <c r="G65" s="135"/>
      <c r="H65" s="135"/>
      <c r="I65" s="135"/>
      <c r="J65" s="136"/>
      <c r="K65" s="137"/>
      <c r="L65" s="137"/>
      <c r="Q65" s="118" t="s">
        <v>285</v>
      </c>
      <c r="R65" s="119" t="s">
        <v>209</v>
      </c>
      <c r="S65" s="119">
        <v>2</v>
      </c>
      <c r="T65" s="120">
        <f>1/S65</f>
        <v>0.5</v>
      </c>
      <c r="U65" s="120"/>
      <c r="V65" s="120"/>
      <c r="W65" s="126">
        <f>T65*K64*2</f>
        <v>282.17138816927599</v>
      </c>
      <c r="X65" s="126">
        <f>P63/W65</f>
        <v>228.54904041976127</v>
      </c>
      <c r="Y65" s="127">
        <f>W65/T66</f>
        <v>325.87401896992475</v>
      </c>
      <c r="Z65" s="123"/>
    </row>
    <row r="66" spans="2:56" ht="15.75" thickBot="1" x14ac:dyDescent="0.3">
      <c r="Q66" s="128" t="s">
        <v>285</v>
      </c>
      <c r="R66" s="129" t="s">
        <v>288</v>
      </c>
      <c r="S66" s="129"/>
      <c r="T66" s="233">
        <f>O63/O62</f>
        <v>0.86589102457817557</v>
      </c>
      <c r="U66" s="130"/>
      <c r="V66" s="130"/>
      <c r="W66" s="131" t="s">
        <v>272</v>
      </c>
      <c r="X66" s="131" t="s">
        <v>289</v>
      </c>
      <c r="Y66" s="132" t="s">
        <v>287</v>
      </c>
      <c r="Z66" s="133"/>
    </row>
    <row r="67" spans="2:56" x14ac:dyDescent="0.25">
      <c r="O67"/>
      <c r="AS67" s="33"/>
      <c r="AT67" s="404"/>
      <c r="AW67" s="33"/>
      <c r="AX67" s="33"/>
      <c r="BC67" s="417"/>
      <c r="BD67" s="417"/>
    </row>
    <row r="68" spans="2:56" x14ac:dyDescent="0.25">
      <c r="O68"/>
      <c r="AS68" s="33"/>
      <c r="AT68" s="404"/>
      <c r="AW68" s="33"/>
      <c r="AX68" s="33"/>
      <c r="BC68" s="417"/>
      <c r="BD68" s="417"/>
    </row>
    <row r="69" spans="2:56" x14ac:dyDescent="0.25">
      <c r="O69"/>
      <c r="AS69" s="33"/>
      <c r="AT69" s="404"/>
      <c r="AW69" s="33"/>
      <c r="AX69" s="33"/>
      <c r="BC69" s="417"/>
      <c r="BD69" s="417"/>
    </row>
    <row r="70" spans="2:56" x14ac:dyDescent="0.25">
      <c r="O70"/>
      <c r="AS70" s="33"/>
      <c r="AT70" s="404"/>
      <c r="AW70" s="33"/>
      <c r="AX70" s="33"/>
      <c r="BC70" s="417"/>
      <c r="BD70" s="417"/>
    </row>
    <row r="71" spans="2:56" x14ac:dyDescent="0.25">
      <c r="O71"/>
      <c r="AS71" s="33"/>
      <c r="AT71" s="404"/>
      <c r="AW71" s="33"/>
      <c r="AX71" s="33"/>
      <c r="BC71" s="417"/>
      <c r="BD71" s="417"/>
    </row>
    <row r="72" spans="2:56" x14ac:dyDescent="0.25">
      <c r="O72"/>
      <c r="AS72" s="33"/>
      <c r="AT72" s="404"/>
      <c r="AW72" s="33"/>
      <c r="AX72" s="33"/>
      <c r="BC72" s="417"/>
      <c r="BD72" s="417"/>
    </row>
    <row r="73" spans="2:56" x14ac:dyDescent="0.25">
      <c r="O73"/>
      <c r="AC73" t="s">
        <v>657</v>
      </c>
      <c r="AJ73" t="s">
        <v>658</v>
      </c>
      <c r="AK73">
        <v>64945.5</v>
      </c>
      <c r="AL73">
        <v>344.048</v>
      </c>
      <c r="AM73">
        <f>AK73/AL73</f>
        <v>188.76871831837417</v>
      </c>
      <c r="AO73">
        <v>62943</v>
      </c>
      <c r="AP73">
        <v>287.036</v>
      </c>
      <c r="AQ73">
        <f>AO73/AP73</f>
        <v>219.28608258197579</v>
      </c>
      <c r="AS73">
        <f>TestSummary!X341+TestSummary!X342+TestSummary!X345</f>
        <v>0</v>
      </c>
      <c r="AU73">
        <f>TestSummary!Y341+TestSummary!Y342+TestSummary!Y345</f>
        <v>0</v>
      </c>
      <c r="AY73" t="e">
        <f>TestSummary!#REF!+TestSummary!#REF!+TestSummary!#REF!</f>
        <v>#REF!</v>
      </c>
      <c r="BC73" s="134"/>
    </row>
    <row r="74" spans="2:56" x14ac:dyDescent="0.25">
      <c r="O74"/>
      <c r="AD74" s="418">
        <f>T14</f>
        <v>0.88068973500422298</v>
      </c>
      <c r="AE74" s="418">
        <f>T21</f>
        <v>0.89975159484143374</v>
      </c>
      <c r="AF74" s="418">
        <f>T29</f>
        <v>0.89726114951575664</v>
      </c>
      <c r="AG74" s="418">
        <f>T36</f>
        <v>0.90996238954697295</v>
      </c>
      <c r="AH74" s="418">
        <f>T58</f>
        <v>0.86589102457817557</v>
      </c>
      <c r="AI74" s="418">
        <f>T66</f>
        <v>0.86589102457817557</v>
      </c>
      <c r="AJ74" t="s">
        <v>659</v>
      </c>
      <c r="AK74">
        <v>5053.8999999999996</v>
      </c>
      <c r="AL74">
        <v>25.983000000000001</v>
      </c>
      <c r="AM74">
        <f>AK74/AL74</f>
        <v>194.50794750413729</v>
      </c>
      <c r="AO74">
        <v>7980</v>
      </c>
      <c r="AP74">
        <v>36.113999999999997</v>
      </c>
      <c r="AQ74">
        <f>AO74/AP74</f>
        <v>220.96693802957304</v>
      </c>
      <c r="AS74">
        <f>TestSummary!X353</f>
        <v>0</v>
      </c>
      <c r="AU74">
        <f>TestSummary!Y353</f>
        <v>0</v>
      </c>
      <c r="AY74" t="e">
        <f>TestSummary!#REF!</f>
        <v>#REF!</v>
      </c>
      <c r="BC74" s="419"/>
    </row>
    <row r="75" spans="2:56" x14ac:dyDescent="0.25">
      <c r="AJ75" t="s">
        <v>660</v>
      </c>
      <c r="AK75">
        <v>79218</v>
      </c>
      <c r="AL75">
        <v>420.39699999999999</v>
      </c>
      <c r="AO75" s="404">
        <f>SUM(AO53:AO74)</f>
        <v>79765</v>
      </c>
      <c r="AP75" s="404">
        <f>SUM(AP53:AP74)</f>
        <v>373.488</v>
      </c>
      <c r="AS75" s="33">
        <f>SUM(AS53:AS74)</f>
        <v>182861</v>
      </c>
      <c r="AW75" s="33"/>
      <c r="BC75" s="417">
        <f>(AS75-AK75)/AK75</f>
        <v>1.3083263904668132</v>
      </c>
      <c r="BD75" s="417">
        <f>(AS75-AO75)/AO75</f>
        <v>1.2924967090829311</v>
      </c>
    </row>
    <row r="76" spans="2:56" x14ac:dyDescent="0.25">
      <c r="AD76" t="s">
        <v>212</v>
      </c>
      <c r="AE76" t="s">
        <v>661</v>
      </c>
      <c r="AF76" t="s">
        <v>662</v>
      </c>
    </row>
  </sheetData>
  <mergeCells count="4">
    <mergeCell ref="AK40:AM40"/>
    <mergeCell ref="AO40:AQ40"/>
    <mergeCell ref="AS40:AU40"/>
    <mergeCell ref="AW40:AY40"/>
  </mergeCells>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BG76"/>
  <sheetViews>
    <sheetView topLeftCell="W1" zoomScale="85" zoomScaleNormal="85" workbookViewId="0">
      <selection activeCell="AH6" sqref="AH6"/>
    </sheetView>
  </sheetViews>
  <sheetFormatPr defaultColWidth="9.140625" defaultRowHeight="15" x14ac:dyDescent="0.25"/>
  <cols>
    <col min="2" max="2" width="9" customWidth="1"/>
    <col min="3" max="3" width="22.42578125" bestFit="1" customWidth="1"/>
    <col min="4" max="4" width="37.5703125" customWidth="1"/>
    <col min="5" max="5" width="21" customWidth="1"/>
    <col min="6" max="6" width="27" customWidth="1"/>
    <col min="7" max="7" width="9.140625" bestFit="1" customWidth="1"/>
    <col min="8" max="10" width="9" customWidth="1"/>
    <col min="11" max="12" width="19.28515625" customWidth="1"/>
    <col min="13" max="13" width="9" customWidth="1"/>
    <col min="14" max="14" width="27.42578125" customWidth="1"/>
    <col min="15" max="15" width="11.42578125" style="17" customWidth="1"/>
    <col min="16" max="16" width="11.5703125" customWidth="1"/>
    <col min="17" max="17" width="10" customWidth="1"/>
    <col min="18" max="18" width="9.140625" customWidth="1"/>
    <col min="19" max="19" width="13.42578125" bestFit="1" customWidth="1"/>
    <col min="20" max="20" width="16.42578125" bestFit="1" customWidth="1"/>
    <col min="21" max="22" width="12.28515625" bestFit="1" customWidth="1"/>
    <col min="23" max="23" width="9.140625" customWidth="1"/>
    <col min="24" max="24" width="12.85546875" customWidth="1"/>
    <col min="25" max="28" width="9.140625" customWidth="1"/>
    <col min="29" max="29" width="16.85546875" customWidth="1"/>
    <col min="30" max="35" width="9.140625" customWidth="1"/>
    <col min="36" max="36" width="11.7109375" customWidth="1"/>
    <col min="37" max="37" width="11.140625" customWidth="1"/>
    <col min="41" max="41" width="10.85546875" customWidth="1"/>
    <col min="42" max="42" width="11.7109375" bestFit="1" customWidth="1"/>
    <col min="55" max="55" width="9.85546875" bestFit="1" customWidth="1"/>
  </cols>
  <sheetData>
    <row r="1" spans="1:44" x14ac:dyDescent="0.25">
      <c r="B1" s="27"/>
      <c r="C1" s="27"/>
      <c r="D1" s="27"/>
      <c r="E1" s="27"/>
      <c r="F1" s="27"/>
      <c r="G1" s="27"/>
      <c r="O1" s="17" t="s">
        <v>675</v>
      </c>
      <c r="P1" t="s">
        <v>676</v>
      </c>
    </row>
    <row r="2" spans="1:44" x14ac:dyDescent="0.25">
      <c r="B2" s="27"/>
      <c r="C2" s="27"/>
      <c r="D2" s="27"/>
      <c r="E2" s="27"/>
      <c r="O2" s="17" t="s">
        <v>284</v>
      </c>
      <c r="P2" t="s">
        <v>674</v>
      </c>
    </row>
    <row r="5" spans="1:44" ht="15.75" thickBot="1" x14ac:dyDescent="0.3">
      <c r="B5">
        <v>1</v>
      </c>
      <c r="C5">
        <v>2</v>
      </c>
      <c r="D5">
        <v>7</v>
      </c>
      <c r="E5">
        <v>9</v>
      </c>
      <c r="F5">
        <v>10</v>
      </c>
      <c r="G5">
        <v>25</v>
      </c>
      <c r="H5">
        <v>22</v>
      </c>
      <c r="I5">
        <v>23</v>
      </c>
      <c r="J5">
        <v>21</v>
      </c>
      <c r="K5">
        <v>25</v>
      </c>
      <c r="L5">
        <v>41</v>
      </c>
    </row>
    <row r="6" spans="1:44" ht="96" customHeight="1" x14ac:dyDescent="0.25">
      <c r="A6">
        <v>7</v>
      </c>
      <c r="B6" s="103" t="str">
        <f>INDEX(TestSummary!$A$1:$CI$394,'J1634 Calcs  no precondition'!$A6,'J1634 Calcs  no precondition'!B$5)</f>
        <v>Test ID [#]</v>
      </c>
      <c r="C6" s="104" t="str">
        <f>INDEX(TestSummary!$A$1:$CI$394,'J1634 Calcs  no precondition'!$A6,'J1634 Calcs  no precondition'!C$5)</f>
        <v>Cycle</v>
      </c>
      <c r="D6" s="104" t="str">
        <f>INDEX(TestSummary!$A$1:$CI$394,'J1634 Calcs  no precondition'!$A6,'J1634 Calcs  no precondition'!D$5)</f>
        <v>Start Comments</v>
      </c>
      <c r="E6" s="105" t="str">
        <f>INDEX(TestSummary!$A$1:$CI$394,'J1634 Calcs  no precondition'!$A6,'J1634 Calcs  no precondition'!E$5)</f>
        <v>SPECIAL COMMENTS</v>
      </c>
      <c r="F6" s="105" t="str">
        <f>INDEX(TestSummary!$A$1:$CI$394,'J1634 Calcs  no precondition'!$A6,'J1634 Calcs  no precondition'!F$5)</f>
        <v>Test Cell Temp [C]</v>
      </c>
      <c r="G6" s="106" t="str">
        <f>INDEX(TestSummary!$A$1:$CI$394,'J1634 Calcs  no precondition'!$A6,'J1634 Calcs  no precondition'!G$5)</f>
        <v>HV Batt (500A) Energy consumption ΔWP1
[Wh/mi]</v>
      </c>
      <c r="H6" s="106" t="str">
        <f>INDEX(TestSummary!$A$1:$CI$394,'J1634 Calcs  no precondition'!$A6,'J1634 Calcs  no precondition'!H$5)</f>
        <v xml:space="preserve">HV Batt (500A)
Start 
WP1 [Wh]
</v>
      </c>
      <c r="I6" s="106" t="str">
        <f>INDEX(TestSummary!$A$1:$CI$394,'J1634 Calcs  no precondition'!$A6,'J1634 Calcs  no precondition'!I$5)</f>
        <v>HV Batt (500A) End
WP1 [Wh]</v>
      </c>
      <c r="J6" s="107" t="str">
        <f>INDEX(TestSummary!$A$1:$CI$394,'J1634 Calcs  no precondition'!$A6,'J1634 Calcs  no precondition'!J$5)</f>
        <v>End SOC</v>
      </c>
      <c r="K6" s="108" t="str">
        <f>INDEX(TestSummary!$A$1:$CI$394,'J1634 Calcs  no precondition'!$A6,'J1634 Calcs  no precondition'!K$5)</f>
        <v>HV Batt (500A) Energy consumption ΔWP1
[Wh/mi]</v>
      </c>
      <c r="L6" s="108"/>
      <c r="N6" t="s">
        <v>271</v>
      </c>
      <c r="Q6" t="s">
        <v>380</v>
      </c>
      <c r="AC6" s="27" t="s">
        <v>272</v>
      </c>
      <c r="AD6" s="508" t="s">
        <v>1177</v>
      </c>
      <c r="AE6" s="508" t="s">
        <v>1175</v>
      </c>
      <c r="AF6" s="508" t="s">
        <v>1176</v>
      </c>
      <c r="AG6" s="508" t="s">
        <v>1022</v>
      </c>
      <c r="AH6" s="45" t="s">
        <v>1023</v>
      </c>
      <c r="AI6" s="45" t="s">
        <v>1024</v>
      </c>
    </row>
    <row r="7" spans="1:44" x14ac:dyDescent="0.25">
      <c r="C7" s="101"/>
      <c r="D7" s="15"/>
      <c r="E7" s="101"/>
      <c r="F7" s="101"/>
      <c r="G7" s="311"/>
      <c r="H7" s="311"/>
      <c r="I7" s="311"/>
      <c r="J7" s="312"/>
      <c r="K7" s="311"/>
      <c r="L7" s="311"/>
      <c r="AC7" t="s">
        <v>207</v>
      </c>
      <c r="AD7" s="93">
        <f>K10</f>
        <v>535.58081962307995</v>
      </c>
      <c r="AE7" s="93">
        <f>K17</f>
        <v>431.3822994414445</v>
      </c>
      <c r="AF7" s="93">
        <f>K24</f>
        <v>398.14452631280835</v>
      </c>
      <c r="AG7" s="93">
        <f>K32</f>
        <v>171.68219040147656</v>
      </c>
      <c r="AH7" s="93">
        <f>K53</f>
        <v>222.81597643414426</v>
      </c>
      <c r="AI7" s="93">
        <f>K61</f>
        <v>216.41664329048987</v>
      </c>
    </row>
    <row r="8" spans="1:44" ht="17.25" customHeight="1" thickBot="1" x14ac:dyDescent="0.3">
      <c r="AC8" t="s">
        <v>278</v>
      </c>
      <c r="AD8" s="93">
        <f t="shared" ref="AD8:AD10" si="0">K11</f>
        <v>363.02252448862623</v>
      </c>
      <c r="AE8" s="93">
        <f t="shared" ref="AE8:AE10" si="1">K18</f>
        <v>311.38109430516528</v>
      </c>
      <c r="AF8" s="93">
        <f t="shared" ref="AF8:AF10" si="2">K25</f>
        <v>315.05056036409576</v>
      </c>
      <c r="AG8" s="93">
        <f>K33</f>
        <v>201.41867388808302</v>
      </c>
      <c r="AH8" s="93">
        <f>K54</f>
        <v>207.24880302286215</v>
      </c>
      <c r="AI8" s="93">
        <f>K62</f>
        <v>213.58571189315117</v>
      </c>
      <c r="AO8" s="84"/>
    </row>
    <row r="9" spans="1:44" ht="16.5" thickBot="1" x14ac:dyDescent="0.3">
      <c r="B9" s="76" t="s">
        <v>376</v>
      </c>
      <c r="C9" s="109"/>
      <c r="D9" s="109"/>
      <c r="E9" s="102"/>
      <c r="F9" s="102"/>
      <c r="G9" s="109"/>
      <c r="H9" s="109"/>
      <c r="I9" s="109"/>
      <c r="J9" s="109"/>
      <c r="K9" s="109"/>
      <c r="L9" s="452"/>
      <c r="N9" s="110" t="s">
        <v>276</v>
      </c>
      <c r="O9" s="17" t="s">
        <v>291</v>
      </c>
      <c r="P9" t="s">
        <v>292</v>
      </c>
      <c r="Q9" s="111" t="s">
        <v>277</v>
      </c>
      <c r="R9" s="112"/>
      <c r="S9" s="112"/>
      <c r="T9" s="112"/>
      <c r="U9" s="112"/>
      <c r="V9" s="112"/>
      <c r="W9" s="112"/>
      <c r="X9" s="112"/>
      <c r="Y9" s="112"/>
      <c r="Z9" s="113"/>
      <c r="AC9" t="s">
        <v>208</v>
      </c>
      <c r="AD9" s="93">
        <f t="shared" si="0"/>
        <v>423.74986958778777</v>
      </c>
      <c r="AE9" s="93">
        <f t="shared" si="1"/>
        <v>339.5422297261257</v>
      </c>
      <c r="AF9" s="93">
        <f t="shared" si="2"/>
        <v>347.23225791628221</v>
      </c>
      <c r="AG9" s="93">
        <f>K34</f>
        <v>163.95361064234356</v>
      </c>
      <c r="AH9" s="93">
        <f>K55</f>
        <v>197.36417977936662</v>
      </c>
      <c r="AI9" s="93">
        <f>K63</f>
        <v>201.39321481124568</v>
      </c>
      <c r="AK9" s="93"/>
      <c r="AL9" s="93"/>
      <c r="AM9" s="93"/>
      <c r="AO9" s="84"/>
      <c r="AP9" s="26"/>
      <c r="AQ9" s="26"/>
      <c r="AR9" s="26"/>
    </row>
    <row r="10" spans="1:44" s="4" customFormat="1" ht="27" customHeight="1" x14ac:dyDescent="0.25">
      <c r="A10" s="407">
        <v>265</v>
      </c>
      <c r="B10" s="219">
        <f>INDEX(TestSummary!$A$1:$CI$394,'J1634 Calcs  no precondition'!$A10,'J1634 Calcs  no precondition'!B$5)</f>
        <v>62009059</v>
      </c>
      <c r="C10" s="219" t="str">
        <f>INDEX(TestSummary!$A$1:$CI$394,'J1634 Calcs  no precondition'!$A10,'J1634 Calcs  no precondition'!C$5)</f>
        <v>UDDS 1 , Combined</v>
      </c>
      <c r="D10" s="220" t="str">
        <f>INDEX(TestSummary!$A$1:$CI$394,'J1634 Calcs  no precondition'!$A10,'J1634 Calcs  no precondition'!D$5)</f>
        <v>J1634 MCT in cold test cell (0°F), UDDS-HWY-UDDS-US06, HVAC-AUTO-72°F</v>
      </c>
      <c r="E10" s="298">
        <f>INDEX(TestSummary!$A$1:$CI$394,'J1634 Calcs  no precondition'!$A10,'J1634 Calcs  no precondition'!E$5)</f>
        <v>0</v>
      </c>
      <c r="F10" s="504">
        <f>INDEX(TestSummary!$A$1:$CI$394,'J1634 Calcs  no precondition'!$A10,'J1634 Calcs  no precondition'!F$5)</f>
        <v>-17.1973795</v>
      </c>
      <c r="G10" s="221">
        <f>INDEX(TestSummary!$A$1:$CI$394,'J1634 Calcs  no precondition'!$A10,'J1634 Calcs  no precondition'!G$5)</f>
        <v>535.58081962307995</v>
      </c>
      <c r="H10" s="221">
        <f>INDEX(TestSummary!$A$1:$CI$394,'J1634 Calcs  no precondition'!$A10,'J1634 Calcs  no precondition'!H$5)</f>
        <v>5</v>
      </c>
      <c r="I10" s="221">
        <f>INDEX(TestSummary!$A$1:$CI$394,'J1634 Calcs  no precondition'!$A10,'J1634 Calcs  no precondition'!I$5)</f>
        <v>3997</v>
      </c>
      <c r="J10" s="222">
        <f>INDEX(TestSummary!$A$1:$CI$394,'J1634 Calcs  no precondition'!$A10,'J1634 Calcs  no precondition'!J$5)</f>
        <v>91.795091999999997</v>
      </c>
      <c r="K10" s="223">
        <f>INDEX(TestSummary!$A$1:$CI$394,'J1634 Calcs  no precondition'!$A10,'J1634 Calcs  no precondition'!K$5)</f>
        <v>535.58081962307995</v>
      </c>
      <c r="L10" s="223"/>
      <c r="N10" s="117" t="s">
        <v>667</v>
      </c>
      <c r="O10" s="224">
        <f>ABS(TestSummary!BO285)</f>
        <v>69974.7</v>
      </c>
      <c r="P10" s="224">
        <f>$O$32</f>
        <v>70871.060981000002</v>
      </c>
      <c r="Q10" s="225" t="s">
        <v>16</v>
      </c>
      <c r="R10" s="226" t="s">
        <v>1</v>
      </c>
      <c r="S10" s="226" t="s">
        <v>383</v>
      </c>
      <c r="T10" s="227" t="s">
        <v>279</v>
      </c>
      <c r="U10" s="226" t="s">
        <v>280</v>
      </c>
      <c r="V10" s="227" t="s">
        <v>281</v>
      </c>
      <c r="W10" s="228" t="s">
        <v>673</v>
      </c>
      <c r="X10" s="229" t="s">
        <v>282</v>
      </c>
      <c r="Y10" s="228" t="s">
        <v>283</v>
      </c>
      <c r="Z10" s="230"/>
      <c r="AC10" s="4" t="s">
        <v>286</v>
      </c>
      <c r="AD10" s="93">
        <f t="shared" si="0"/>
        <v>414.91241336503037</v>
      </c>
      <c r="AE10" s="93">
        <f t="shared" si="1"/>
        <v>371.4121574672119</v>
      </c>
      <c r="AF10" s="93">
        <f t="shared" si="2"/>
        <v>373.875230236015</v>
      </c>
      <c r="AG10" s="231">
        <f>K35</f>
        <v>270.01110478849705</v>
      </c>
      <c r="AH10" s="231">
        <f>K56</f>
        <v>273.09184756510598</v>
      </c>
      <c r="AI10" s="93">
        <f>K64</f>
        <v>282.17138816927599</v>
      </c>
      <c r="AK10" s="231"/>
      <c r="AL10" s="231"/>
      <c r="AM10" s="231"/>
      <c r="AO10" s="232"/>
    </row>
    <row r="11" spans="1:44" x14ac:dyDescent="0.25">
      <c r="A11" s="407">
        <f>A10+1</f>
        <v>266</v>
      </c>
      <c r="B11" s="297">
        <f>INDEX(TestSummary!$A$1:$CI$394,'J1634 Calcs  no precondition'!$A11,'J1634 Calcs  no precondition'!B$5)</f>
        <v>62009059</v>
      </c>
      <c r="C11" s="297" t="str">
        <f>INDEX(TestSummary!$A$1:$CI$394,'J1634 Calcs  no precondition'!$A11,'J1634 Calcs  no precondition'!C$5)</f>
        <v>HWY 1</v>
      </c>
      <c r="D11" s="283" t="str">
        <f>INDEX(TestSummary!$A$1:$CI$394,'J1634 Calcs  no precondition'!$A11,'J1634 Calcs  no precondition'!D$5)</f>
        <v>J1634 MCT in cold test cell (0°F), UDDS-HWY-UDDS-US06, HVAC-AUTO-72°F</v>
      </c>
      <c r="E11" s="326">
        <f>INDEX(TestSummary!$A$1:$CI$394,'J1634 Calcs  no precondition'!$A11,'J1634 Calcs  no precondition'!E$5)</f>
        <v>0</v>
      </c>
      <c r="F11" s="489">
        <f>INDEX(TestSummary!$A$1:$CI$394,'J1634 Calcs  no precondition'!$A11,'J1634 Calcs  no precondition'!F$5)</f>
        <v>-12.982208999999999</v>
      </c>
      <c r="G11" s="114">
        <f>INDEX(TestSummary!$A$1:$CI$394,'J1634 Calcs  no precondition'!$A11,'J1634 Calcs  no precondition'!G$5)</f>
        <v>363.02252448862623</v>
      </c>
      <c r="H11" s="114">
        <f>INDEX(TestSummary!$A$1:$CI$394,'J1634 Calcs  no precondition'!$A11,'J1634 Calcs  no precondition'!H$5)</f>
        <v>4019</v>
      </c>
      <c r="I11" s="114">
        <f>INDEX(TestSummary!$A$1:$CI$394,'J1634 Calcs  no precondition'!$A11,'J1634 Calcs  no precondition'!I$5)</f>
        <v>7752</v>
      </c>
      <c r="J11" s="115">
        <f>INDEX(TestSummary!$A$1:$CI$394,'J1634 Calcs  no precondition'!$A11,'J1634 Calcs  no precondition'!J$5)</f>
        <v>86.590247000000005</v>
      </c>
      <c r="K11" s="116">
        <f>INDEX(TestSummary!$A$1:$CI$394,'J1634 Calcs  no precondition'!$A11,'J1634 Calcs  no precondition'!K$5)</f>
        <v>363.02252448862623</v>
      </c>
      <c r="L11" s="116"/>
      <c r="N11" s="124" t="s">
        <v>284</v>
      </c>
      <c r="O11" s="125">
        <f>TestSummary!W284-TestSummary!V263</f>
        <v>61626</v>
      </c>
      <c r="P11" s="125">
        <f>$O$33</f>
        <v>64490</v>
      </c>
      <c r="Q11" s="118" t="s">
        <v>285</v>
      </c>
      <c r="R11" s="119" t="s">
        <v>57</v>
      </c>
      <c r="S11" s="119">
        <v>3</v>
      </c>
      <c r="T11" s="120"/>
      <c r="U11" s="120">
        <f>(I10-H10)/O11</f>
        <v>6.4777853503391422E-2</v>
      </c>
      <c r="V11" s="120">
        <f>(1-U11)/S11</f>
        <v>0.31174071549886956</v>
      </c>
      <c r="W11" s="126">
        <f>U11*(K10)+V11*(K12)*3</f>
        <v>430.99403848631903</v>
      </c>
      <c r="X11" s="126">
        <f>P11/W11</f>
        <v>149.63083996821246</v>
      </c>
      <c r="Y11" s="127">
        <f>W11/T14</f>
        <v>489.38237991868084</v>
      </c>
      <c r="Z11" s="123"/>
      <c r="AD11" s="93"/>
      <c r="AE11" s="93"/>
      <c r="AF11" s="93"/>
      <c r="AG11" s="93"/>
      <c r="AH11" s="93"/>
      <c r="AI11" s="93"/>
      <c r="AK11" s="93"/>
      <c r="AL11" s="93"/>
      <c r="AM11" s="93"/>
      <c r="AO11" s="84"/>
    </row>
    <row r="12" spans="1:44" x14ac:dyDescent="0.25">
      <c r="A12" s="407">
        <f>A11+3</f>
        <v>269</v>
      </c>
      <c r="B12" s="297">
        <f>INDEX(TestSummary!$A$1:$CI$394,'J1634 Calcs  no precondition'!$A12,'J1634 Calcs  no precondition'!B$5)</f>
        <v>62009059</v>
      </c>
      <c r="C12" s="297" t="str">
        <f>INDEX(TestSummary!$A$1:$CI$394,'J1634 Calcs  no precondition'!$A12,'J1634 Calcs  no precondition'!C$5)</f>
        <v>UDDS 2, combined</v>
      </c>
      <c r="D12" s="283" t="str">
        <f>INDEX(TestSummary!$A$1:$CI$394,'J1634 Calcs  no precondition'!$A12,'J1634 Calcs  no precondition'!D$5)</f>
        <v>J1634 MCT in cold test cell (0°F), UDDS-HWY-UDDS-US06, HVAC-AUTO-72°F</v>
      </c>
      <c r="E12" s="326">
        <f>INDEX(TestSummary!$A$1:$CI$394,'J1634 Calcs  no precondition'!$A12,'J1634 Calcs  no precondition'!E$5)</f>
        <v>0</v>
      </c>
      <c r="F12" s="489">
        <f>INDEX(TestSummary!$A$1:$CI$394,'J1634 Calcs  no precondition'!$A12,'J1634 Calcs  no precondition'!F$5)</f>
        <v>-17.168461000000001</v>
      </c>
      <c r="G12" s="114">
        <f>INDEX(TestSummary!$A$1:$CI$394,'J1634 Calcs  no precondition'!$A12,'J1634 Calcs  no precondition'!G$5)</f>
        <v>423.74986958778777</v>
      </c>
      <c r="H12" s="114">
        <f>INDEX(TestSummary!$A$1:$CI$394,'J1634 Calcs  no precondition'!$A12,'J1634 Calcs  no precondition'!H$5)</f>
        <v>7769</v>
      </c>
      <c r="I12" s="114">
        <f>INDEX(TestSummary!$A$1:$CI$394,'J1634 Calcs  no precondition'!$A12,'J1634 Calcs  no precondition'!I$5)</f>
        <v>10924</v>
      </c>
      <c r="J12" s="115">
        <f>INDEX(TestSummary!$A$1:$CI$394,'J1634 Calcs  no precondition'!$A12,'J1634 Calcs  no precondition'!J$5)</f>
        <v>82.179260999999997</v>
      </c>
      <c r="K12" s="116">
        <f>INDEX(TestSummary!$A$1:$CI$394,'J1634 Calcs  no precondition'!$A12,'J1634 Calcs  no precondition'!K$5)</f>
        <v>423.74986958778777</v>
      </c>
      <c r="L12" s="116"/>
      <c r="Q12" s="118" t="s">
        <v>285</v>
      </c>
      <c r="R12" s="119" t="s">
        <v>55</v>
      </c>
      <c r="S12" s="119">
        <v>2</v>
      </c>
      <c r="T12" s="120">
        <f>1/S12</f>
        <v>0.5</v>
      </c>
      <c r="U12" s="120"/>
      <c r="V12" s="120"/>
      <c r="W12" s="126">
        <f>T12*(K11)*2</f>
        <v>363.02252448862623</v>
      </c>
      <c r="X12" s="126">
        <f>P11/W12</f>
        <v>177.64737901826948</v>
      </c>
      <c r="Y12" s="127">
        <f>W12/T14</f>
        <v>412.20251589157618</v>
      </c>
      <c r="Z12" s="123"/>
      <c r="AC12" s="27" t="s">
        <v>287</v>
      </c>
      <c r="AD12" s="93"/>
      <c r="AE12" s="93"/>
      <c r="AF12" s="93"/>
      <c r="AG12" s="93"/>
      <c r="AH12" s="93"/>
      <c r="AI12" s="93"/>
    </row>
    <row r="13" spans="1:44" x14ac:dyDescent="0.25">
      <c r="A13" s="407">
        <f>A12+3</f>
        <v>272</v>
      </c>
      <c r="B13" s="297">
        <f>INDEX(TestSummary!$A$1:$CI$394,'J1634 Calcs  no precondition'!$A13,'J1634 Calcs  no precondition'!B$5)</f>
        <v>62009059</v>
      </c>
      <c r="C13" s="297" t="str">
        <f>INDEX(TestSummary!$A$1:$CI$394,'J1634 Calcs  no precondition'!$A13,'J1634 Calcs  no precondition'!C$5)</f>
        <v>US06 1, combined</v>
      </c>
      <c r="D13" s="283" t="str">
        <f>INDEX(TestSummary!$A$1:$CI$394,'J1634 Calcs  no precondition'!$A13,'J1634 Calcs  no precondition'!D$5)</f>
        <v>J1634 MCT in cold test cell (0°F), UDDS-HWY-UDDS-US06, HVAC-AUTO-72°F</v>
      </c>
      <c r="E13" s="326">
        <f>INDEX(TestSummary!$A$1:$CI$394,'J1634 Calcs  no precondition'!$A13,'J1634 Calcs  no precondition'!E$5)</f>
        <v>0</v>
      </c>
      <c r="F13" s="489">
        <f>INDEX(TestSummary!$A$1:$CI$394,'J1634 Calcs  no precondition'!$A13,'J1634 Calcs  no precondition'!F$5)</f>
        <v>-12.287806499999999</v>
      </c>
      <c r="G13" s="114">
        <f>INDEX(TestSummary!$A$1:$CI$394,'J1634 Calcs  no precondition'!$A13,'J1634 Calcs  no precondition'!G$5)</f>
        <v>414.91241336503037</v>
      </c>
      <c r="H13" s="114">
        <f>INDEX(TestSummary!$A$1:$CI$394,'J1634 Calcs  no precondition'!$A13,'J1634 Calcs  no precondition'!H$5)</f>
        <v>11028</v>
      </c>
      <c r="I13" s="114">
        <f>INDEX(TestSummary!$A$1:$CI$394,'J1634 Calcs  no precondition'!$A13,'J1634 Calcs  no precondition'!I$5)</f>
        <v>14084</v>
      </c>
      <c r="J13" s="115">
        <f>INDEX(TestSummary!$A$1:$CI$394,'J1634 Calcs  no precondition'!$A13,'J1634 Calcs  no precondition'!J$5)</f>
        <v>77.652527000000006</v>
      </c>
      <c r="K13" s="116">
        <f>INDEX(TestSummary!$A$1:$CI$394,'J1634 Calcs  no precondition'!$A13,'J1634 Calcs  no precondition'!K$5)</f>
        <v>414.91241336503037</v>
      </c>
      <c r="L13" s="116"/>
      <c r="Q13" s="118" t="s">
        <v>285</v>
      </c>
      <c r="R13" s="119" t="s">
        <v>209</v>
      </c>
      <c r="S13" s="119">
        <v>2</v>
      </c>
      <c r="T13" s="120">
        <f>1/S13</f>
        <v>0.5</v>
      </c>
      <c r="U13" s="120"/>
      <c r="V13" s="120"/>
      <c r="W13" s="126">
        <f>T13*(K13)*2</f>
        <v>414.91241336503037</v>
      </c>
      <c r="X13" s="126">
        <f>P11/W13</f>
        <v>155.43039427760669</v>
      </c>
      <c r="Y13" s="127">
        <f>W13/T14</f>
        <v>471.1221181237463</v>
      </c>
      <c r="Z13" s="123"/>
      <c r="AC13" t="s">
        <v>57</v>
      </c>
      <c r="AD13" s="93">
        <f>Y11</f>
        <v>489.38237991868084</v>
      </c>
      <c r="AE13" s="93">
        <f>Y18</f>
        <v>382.59937123005881</v>
      </c>
      <c r="AF13" s="93">
        <f>Y26</f>
        <v>389.6871075386282</v>
      </c>
      <c r="AG13" s="93">
        <f>Y33</f>
        <v>177.94949718743936</v>
      </c>
      <c r="AH13" s="93">
        <f>Y55</f>
        <v>228.69104628960224</v>
      </c>
      <c r="AI13" s="93">
        <f>Y63</f>
        <v>233.02008387051154</v>
      </c>
      <c r="AP13" s="26"/>
    </row>
    <row r="14" spans="1:44" ht="15.75" thickBot="1" x14ac:dyDescent="0.3">
      <c r="B14" s="304"/>
      <c r="C14" s="304"/>
      <c r="D14" s="15"/>
      <c r="E14" s="101"/>
      <c r="F14" s="101"/>
      <c r="G14" s="135"/>
      <c r="H14" s="135"/>
      <c r="I14" s="135"/>
      <c r="J14" s="136"/>
      <c r="K14" s="137"/>
      <c r="L14" s="137"/>
      <c r="Q14" s="128" t="s">
        <v>285</v>
      </c>
      <c r="R14" s="129" t="s">
        <v>288</v>
      </c>
      <c r="S14" s="129"/>
      <c r="T14" s="233">
        <f>O11/O10</f>
        <v>0.88068973500422298</v>
      </c>
      <c r="U14" s="130"/>
      <c r="V14" s="130"/>
      <c r="W14" s="131" t="s">
        <v>272</v>
      </c>
      <c r="X14" s="131" t="s">
        <v>289</v>
      </c>
      <c r="Y14" s="132" t="s">
        <v>287</v>
      </c>
      <c r="Z14" s="133"/>
      <c r="AC14" t="s">
        <v>55</v>
      </c>
      <c r="AD14" s="93">
        <f>Y12</f>
        <v>412.20251589157618</v>
      </c>
      <c r="AE14" s="93">
        <f>Y19</f>
        <v>346.0745122213882</v>
      </c>
      <c r="AF14" s="93">
        <f>Y27</f>
        <v>351.12470938268706</v>
      </c>
      <c r="AG14" s="93">
        <f>Y34</f>
        <v>221.34835043936246</v>
      </c>
      <c r="AH14" s="93">
        <f>Y56</f>
        <v>239.34744343126175</v>
      </c>
      <c r="AI14" s="93">
        <f>Y64</f>
        <v>246.66581109002814</v>
      </c>
    </row>
    <row r="15" spans="1:44" ht="15.75" thickBot="1" x14ac:dyDescent="0.3">
      <c r="AC15" t="s">
        <v>209</v>
      </c>
      <c r="AD15" s="93">
        <f>Y13</f>
        <v>471.1221181237463</v>
      </c>
      <c r="AE15" s="93">
        <f>Y20</f>
        <v>412.79410850354435</v>
      </c>
      <c r="AF15" s="93">
        <f>Y28</f>
        <v>416.68496450313484</v>
      </c>
      <c r="AG15" s="93">
        <f>Y35</f>
        <v>296.72776357594597</v>
      </c>
      <c r="AH15" s="93">
        <f>Y57</f>
        <v>315.38824149164088</v>
      </c>
      <c r="AI15" s="93">
        <f>Y65</f>
        <v>325.87401896992475</v>
      </c>
    </row>
    <row r="16" spans="1:44" ht="16.5" thickBot="1" x14ac:dyDescent="0.3">
      <c r="B16" s="76" t="s">
        <v>671</v>
      </c>
      <c r="C16" s="109"/>
      <c r="D16" s="109"/>
      <c r="E16" s="102"/>
      <c r="F16" s="102"/>
      <c r="G16" s="109"/>
      <c r="H16" s="109"/>
      <c r="I16" s="109"/>
      <c r="J16" s="109"/>
      <c r="K16" s="109"/>
      <c r="L16" s="452"/>
      <c r="N16" s="110" t="s">
        <v>276</v>
      </c>
      <c r="O16" s="17" t="s">
        <v>291</v>
      </c>
      <c r="P16" t="s">
        <v>292</v>
      </c>
      <c r="Q16" s="111" t="s">
        <v>277</v>
      </c>
      <c r="R16" s="112"/>
      <c r="S16" s="112"/>
      <c r="T16" s="112"/>
      <c r="U16" s="112"/>
      <c r="V16" s="112"/>
      <c r="W16" s="112"/>
      <c r="X16" s="112"/>
      <c r="Y16" s="112"/>
      <c r="Z16" s="113"/>
      <c r="AD16" s="33"/>
      <c r="AE16" s="33"/>
      <c r="AF16" s="33"/>
      <c r="AG16" s="33"/>
      <c r="AH16" s="33"/>
    </row>
    <row r="17" spans="1:41" x14ac:dyDescent="0.25">
      <c r="A17" s="407">
        <v>225</v>
      </c>
      <c r="B17" s="297">
        <f>INDEX(TestSummary!$A$1:$CI$394,'J1634 Calcs  no precondition'!$A17,'J1634 Calcs  no precondition'!B$5)</f>
        <v>62009051</v>
      </c>
      <c r="C17" s="297" t="str">
        <f>INDEX(TestSummary!$A$1:$CI$394,'J1634 Calcs  no precondition'!$A17,'J1634 Calcs  no precondition'!C$5)</f>
        <v>UDDS 1 , Combined</v>
      </c>
      <c r="D17" s="283" t="str">
        <f>INDEX(TestSummary!$A$1:$CI$394,'J1634 Calcs  no precondition'!$A17,'J1634 Calcs  no precondition'!D$5)</f>
        <v>J1634 MCT in cold test cell (20°F) UDDS-HWY-UDDS-US06. full charge, plugged in overnight</v>
      </c>
      <c r="E17" s="326">
        <f>INDEX(TestSummary!$A$1:$CI$394,'J1634 Calcs  no precondition'!$A17,'J1634 Calcs  no precondition'!E$5)</f>
        <v>0</v>
      </c>
      <c r="F17" s="489">
        <f>INDEX(TestSummary!$A$1:$CI$394,'J1634 Calcs  no precondition'!$A17,'J1634 Calcs  no precondition'!F$5)</f>
        <v>-6.5091950000000001</v>
      </c>
      <c r="G17" s="114">
        <f>INDEX(TestSummary!$A$1:$CI$394,'J1634 Calcs  no precondition'!$A17,'J1634 Calcs  no precondition'!G$5)</f>
        <v>431.3822994414445</v>
      </c>
      <c r="H17" s="114">
        <f>INDEX(TestSummary!$A$1:$CI$394,'J1634 Calcs  no precondition'!$A17,'J1634 Calcs  no precondition'!H$5)</f>
        <v>102862</v>
      </c>
      <c r="I17" s="114">
        <f>INDEX(TestSummary!$A$1:$CI$394,'J1634 Calcs  no precondition'!$A17,'J1634 Calcs  no precondition'!I$5)</f>
        <v>106074</v>
      </c>
      <c r="J17" s="115">
        <f>INDEX(TestSummary!$A$1:$CI$394,'J1634 Calcs  no precondition'!$A17,'J1634 Calcs  no precondition'!J$5)</f>
        <v>93.517832999999996</v>
      </c>
      <c r="K17" s="116">
        <f>INDEX(TestSummary!$A$1:$CI$394,'J1634 Calcs  no precondition'!$A17,'J1634 Calcs  no precondition'!K$5)</f>
        <v>431.3822994414445</v>
      </c>
      <c r="L17" s="116"/>
      <c r="M17" s="33"/>
      <c r="N17" s="117" t="s">
        <v>667</v>
      </c>
      <c r="O17" s="453">
        <f>-TestSummary!BO245</f>
        <v>69724.800000000003</v>
      </c>
      <c r="P17" s="224">
        <f>$O$32</f>
        <v>70871.060981000002</v>
      </c>
      <c r="Q17" s="118" t="s">
        <v>16</v>
      </c>
      <c r="R17" s="119" t="s">
        <v>1</v>
      </c>
      <c r="S17" s="119" t="s">
        <v>383</v>
      </c>
      <c r="T17" s="120" t="s">
        <v>279</v>
      </c>
      <c r="U17" s="119" t="s">
        <v>280</v>
      </c>
      <c r="V17" s="120" t="s">
        <v>281</v>
      </c>
      <c r="W17" s="121" t="s">
        <v>673</v>
      </c>
      <c r="X17" s="122" t="s">
        <v>282</v>
      </c>
      <c r="Y17" s="121" t="s">
        <v>283</v>
      </c>
      <c r="Z17" s="123"/>
      <c r="AC17" s="27" t="s">
        <v>381</v>
      </c>
    </row>
    <row r="18" spans="1:41" x14ac:dyDescent="0.25">
      <c r="A18" s="407">
        <f>A17+1</f>
        <v>226</v>
      </c>
      <c r="B18" s="297">
        <f>INDEX(TestSummary!$A$1:$CI$394,'J1634 Calcs  no precondition'!$A18,'J1634 Calcs  no precondition'!B$5)</f>
        <v>62009051</v>
      </c>
      <c r="C18" s="297" t="str">
        <f>INDEX(TestSummary!$A$1:$CI$394,'J1634 Calcs  no precondition'!$A18,'J1634 Calcs  no precondition'!C$5)</f>
        <v>HWY 1</v>
      </c>
      <c r="D18" s="283" t="str">
        <f>INDEX(TestSummary!$A$1:$CI$394,'J1634 Calcs  no precondition'!$A18,'J1634 Calcs  no precondition'!D$5)</f>
        <v>J1634 MCT in cold test cell (20°F) UDDS-HWY-UDDS-US06. full charge, plugged in overnight</v>
      </c>
      <c r="E18" s="326">
        <f>INDEX(TestSummary!$A$1:$CI$394,'J1634 Calcs  no precondition'!$A18,'J1634 Calcs  no precondition'!E$5)</f>
        <v>0</v>
      </c>
      <c r="F18" s="489">
        <f>INDEX(TestSummary!$A$1:$CI$394,'J1634 Calcs  no precondition'!$A18,'J1634 Calcs  no precondition'!F$5)</f>
        <v>-3.5751590000000002</v>
      </c>
      <c r="G18" s="114">
        <f>INDEX(TestSummary!$A$1:$CI$394,'J1634 Calcs  no precondition'!$A18,'J1634 Calcs  no precondition'!G$5)</f>
        <v>311.38109430516528</v>
      </c>
      <c r="H18" s="114">
        <f>INDEX(TestSummary!$A$1:$CI$394,'J1634 Calcs  no precondition'!$A18,'J1634 Calcs  no precondition'!H$5)</f>
        <v>106089</v>
      </c>
      <c r="I18" s="114">
        <f>INDEX(TestSummary!$A$1:$CI$394,'J1634 Calcs  no precondition'!$A18,'J1634 Calcs  no precondition'!I$5)</f>
        <v>109289</v>
      </c>
      <c r="J18" s="115">
        <f>INDEX(TestSummary!$A$1:$CI$394,'J1634 Calcs  no precondition'!$A18,'J1634 Calcs  no precondition'!J$5)</f>
        <v>89.118412000000006</v>
      </c>
      <c r="K18" s="116">
        <f>INDEX(TestSummary!$A$1:$CI$394,'J1634 Calcs  no precondition'!$A18,'J1634 Calcs  no precondition'!K$5)</f>
        <v>311.38109430516528</v>
      </c>
      <c r="L18" s="116"/>
      <c r="N18" s="124" t="s">
        <v>284</v>
      </c>
      <c r="O18" s="454">
        <f>TestSummary!W244-TestSummary!V223</f>
        <v>62735</v>
      </c>
      <c r="P18" s="125">
        <f>$O$33</f>
        <v>64490</v>
      </c>
      <c r="Q18" s="118" t="s">
        <v>285</v>
      </c>
      <c r="R18" s="119" t="s">
        <v>57</v>
      </c>
      <c r="S18" s="119">
        <v>3</v>
      </c>
      <c r="T18" s="120"/>
      <c r="U18" s="120">
        <f>(I17-H17)/O18</f>
        <v>5.1199489917908667E-2</v>
      </c>
      <c r="V18" s="120">
        <f>(1-U18)/S18</f>
        <v>0.31626683669403044</v>
      </c>
      <c r="W18" s="126">
        <f>U18*(K17)+V18*(K19)*3</f>
        <v>344.24439444957517</v>
      </c>
      <c r="X18" s="126">
        <f>P18/W18</f>
        <v>187.33783625762561</v>
      </c>
      <c r="Y18" s="127">
        <f>W18/T21</f>
        <v>382.59937123005881</v>
      </c>
      <c r="Z18" s="123"/>
      <c r="AC18" t="s">
        <v>57</v>
      </c>
      <c r="AD18" s="134">
        <f t="shared" ref="AD18:AI20" si="3">AD13/$AG13-1</f>
        <v>1.7501194870092842</v>
      </c>
      <c r="AE18" s="134">
        <f t="shared" si="3"/>
        <v>1.1500446883929984</v>
      </c>
      <c r="AF18" s="134">
        <f t="shared" si="3"/>
        <v>1.1898747324256806</v>
      </c>
      <c r="AG18" s="134">
        <f t="shared" si="3"/>
        <v>0</v>
      </c>
      <c r="AH18" s="134">
        <f t="shared" si="3"/>
        <v>0.28514578520396339</v>
      </c>
      <c r="AI18" s="134">
        <f t="shared" si="3"/>
        <v>0.309473123293317</v>
      </c>
    </row>
    <row r="19" spans="1:41" x14ac:dyDescent="0.25">
      <c r="A19" s="407">
        <f>A18+3</f>
        <v>229</v>
      </c>
      <c r="B19" s="297">
        <f>INDEX(TestSummary!$A$1:$CI$394,'J1634 Calcs  no precondition'!$A19,'J1634 Calcs  no precondition'!B$5)</f>
        <v>62009051</v>
      </c>
      <c r="C19" s="297" t="str">
        <f>INDEX(TestSummary!$A$1:$CI$394,'J1634 Calcs  no precondition'!$A19,'J1634 Calcs  no precondition'!C$5)</f>
        <v>UDDS 2, combined</v>
      </c>
      <c r="D19" s="283" t="str">
        <f>INDEX(TestSummary!$A$1:$CI$394,'J1634 Calcs  no precondition'!$A19,'J1634 Calcs  no precondition'!D$5)</f>
        <v>J1634 MCT in cold test cell (20°F) UDDS-HWY-UDDS-US06. full charge, plugged in overnight</v>
      </c>
      <c r="E19" s="326">
        <f>INDEX(TestSummary!$A$1:$CI$394,'J1634 Calcs  no precondition'!$A19,'J1634 Calcs  no precondition'!E$5)</f>
        <v>0</v>
      </c>
      <c r="F19" s="489">
        <f>INDEX(TestSummary!$A$1:$CI$394,'J1634 Calcs  no precondition'!$A19,'J1634 Calcs  no precondition'!F$5)</f>
        <v>-7.0322829999999996</v>
      </c>
      <c r="G19" s="114">
        <f>INDEX(TestSummary!$A$1:$CI$394,'J1634 Calcs  no precondition'!$A19,'J1634 Calcs  no precondition'!G$5)</f>
        <v>339.5422297261257</v>
      </c>
      <c r="H19" s="114">
        <f>INDEX(TestSummary!$A$1:$CI$394,'J1634 Calcs  no precondition'!$A19,'J1634 Calcs  no precondition'!H$5)</f>
        <v>109300</v>
      </c>
      <c r="I19" s="114">
        <f>INDEX(TestSummary!$A$1:$CI$394,'J1634 Calcs  no precondition'!$A19,'J1634 Calcs  no precondition'!I$5)</f>
        <v>111829</v>
      </c>
      <c r="J19" s="115">
        <f>INDEX(TestSummary!$A$1:$CI$394,'J1634 Calcs  no precondition'!$A19,'J1634 Calcs  no precondition'!J$5)</f>
        <v>85.618249000000006</v>
      </c>
      <c r="K19" s="116">
        <f>INDEX(TestSummary!$A$1:$CI$394,'J1634 Calcs  no precondition'!$A19,'J1634 Calcs  no precondition'!K$5)</f>
        <v>339.5422297261257</v>
      </c>
      <c r="L19" s="116"/>
      <c r="Q19" s="118" t="s">
        <v>285</v>
      </c>
      <c r="R19" s="119" t="s">
        <v>55</v>
      </c>
      <c r="S19" s="119">
        <v>2</v>
      </c>
      <c r="T19" s="120">
        <f>1/S19</f>
        <v>0.5</v>
      </c>
      <c r="U19" s="120"/>
      <c r="V19" s="120"/>
      <c r="W19" s="126">
        <f>T19*(K18)*2</f>
        <v>311.38109430516528</v>
      </c>
      <c r="X19" s="126">
        <f>P18/W19</f>
        <v>207.10955539515624</v>
      </c>
      <c r="Y19" s="127">
        <f>W19/T21</f>
        <v>346.0745122213882</v>
      </c>
      <c r="Z19" s="123"/>
      <c r="AC19" t="s">
        <v>55</v>
      </c>
      <c r="AD19" s="134">
        <f t="shared" si="3"/>
        <v>0.86223441499961617</v>
      </c>
      <c r="AE19" s="134">
        <f t="shared" si="3"/>
        <v>0.56348358383720587</v>
      </c>
      <c r="AF19" s="134">
        <f t="shared" si="3"/>
        <v>0.58629919168463074</v>
      </c>
      <c r="AG19" s="134">
        <f>AG14/$AG14-1</f>
        <v>0</v>
      </c>
      <c r="AH19" s="134">
        <f t="shared" si="3"/>
        <v>8.1315686139843413E-2</v>
      </c>
      <c r="AI19" s="134">
        <f t="shared" si="3"/>
        <v>0.11437835701242927</v>
      </c>
    </row>
    <row r="20" spans="1:41" x14ac:dyDescent="0.25">
      <c r="A20" s="407">
        <f>A19+3</f>
        <v>232</v>
      </c>
      <c r="B20" s="297">
        <f>INDEX(TestSummary!$A$1:$CI$394,'J1634 Calcs  no precondition'!$A20,'J1634 Calcs  no precondition'!B$5)</f>
        <v>62009051</v>
      </c>
      <c r="C20" s="297" t="str">
        <f>INDEX(TestSummary!$A$1:$CI$394,'J1634 Calcs  no precondition'!$A20,'J1634 Calcs  no precondition'!C$5)</f>
        <v>US06 1, combined</v>
      </c>
      <c r="D20" s="283" t="str">
        <f>INDEX(TestSummary!$A$1:$CI$394,'J1634 Calcs  no precondition'!$A20,'J1634 Calcs  no precondition'!D$5)</f>
        <v>J1634 MCT in cold test cell (20°F) UDDS-HWY-UDDS-US06. full charge, plugged in overnight</v>
      </c>
      <c r="E20" s="326">
        <f>INDEX(TestSummary!$A$1:$CI$394,'J1634 Calcs  no precondition'!$A20,'J1634 Calcs  no precondition'!E$5)</f>
        <v>0</v>
      </c>
      <c r="F20" s="489">
        <f>INDEX(TestSummary!$A$1:$CI$394,'J1634 Calcs  no precondition'!$A20,'J1634 Calcs  no precondition'!F$5)</f>
        <v>-2.8142149999999999</v>
      </c>
      <c r="G20" s="114">
        <f>INDEX(TestSummary!$A$1:$CI$394,'J1634 Calcs  no precondition'!$A20,'J1634 Calcs  no precondition'!G$5)</f>
        <v>371.4121574672119</v>
      </c>
      <c r="H20" s="114">
        <f>INDEX(TestSummary!$A$1:$CI$394,'J1634 Calcs  no precondition'!$A20,'J1634 Calcs  no precondition'!H$5)</f>
        <v>111900</v>
      </c>
      <c r="I20" s="114">
        <f>INDEX(TestSummary!$A$1:$CI$394,'J1634 Calcs  no precondition'!$A20,'J1634 Calcs  no precondition'!I$5)</f>
        <v>114646</v>
      </c>
      <c r="J20" s="115">
        <f>INDEX(TestSummary!$A$1:$CI$394,'J1634 Calcs  no precondition'!$A20,'J1634 Calcs  no precondition'!J$5)</f>
        <v>81.626495000000006</v>
      </c>
      <c r="K20" s="116">
        <f>INDEX(TestSummary!$A$1:$CI$394,'J1634 Calcs  no precondition'!$A20,'J1634 Calcs  no precondition'!K$5)</f>
        <v>371.4121574672119</v>
      </c>
      <c r="L20" s="116"/>
      <c r="Q20" s="118" t="s">
        <v>285</v>
      </c>
      <c r="R20" s="119" t="s">
        <v>209</v>
      </c>
      <c r="S20" s="119">
        <v>2</v>
      </c>
      <c r="T20" s="120">
        <f>1/S20</f>
        <v>0.5</v>
      </c>
      <c r="U20" s="120"/>
      <c r="V20" s="120"/>
      <c r="W20" s="126">
        <f>T20*(K20)*2</f>
        <v>371.4121574672119</v>
      </c>
      <c r="X20" s="126">
        <f>P18/W20</f>
        <v>173.63459623879746</v>
      </c>
      <c r="Y20" s="127">
        <f>W20/T21</f>
        <v>412.79410850354435</v>
      </c>
      <c r="Z20" s="123"/>
      <c r="AC20" t="s">
        <v>209</v>
      </c>
      <c r="AD20" s="134">
        <f t="shared" si="3"/>
        <v>0.58772510009217593</v>
      </c>
      <c r="AE20" s="134">
        <f t="shared" si="3"/>
        <v>0.39115431440877546</v>
      </c>
      <c r="AF20" s="134">
        <f t="shared" si="3"/>
        <v>0.40426685889298808</v>
      </c>
      <c r="AG20" s="134">
        <f t="shared" si="3"/>
        <v>0</v>
      </c>
      <c r="AH20" s="134">
        <f t="shared" si="3"/>
        <v>6.2887536005436395E-2</v>
      </c>
      <c r="AI20" s="134">
        <f t="shared" si="3"/>
        <v>9.8225575668179577E-2</v>
      </c>
    </row>
    <row r="21" spans="1:41" ht="18" customHeight="1" thickBot="1" x14ac:dyDescent="0.3">
      <c r="B21" s="304"/>
      <c r="C21" s="304"/>
      <c r="D21" s="15"/>
      <c r="E21" s="101"/>
      <c r="F21" s="101"/>
      <c r="G21" s="409"/>
      <c r="H21" s="409"/>
      <c r="I21" s="409"/>
      <c r="J21" s="312"/>
      <c r="K21" s="409"/>
      <c r="L21" s="409"/>
      <c r="Q21" s="128" t="s">
        <v>285</v>
      </c>
      <c r="R21" s="129" t="s">
        <v>288</v>
      </c>
      <c r="S21" s="129"/>
      <c r="T21" s="233">
        <f>O18/O17</f>
        <v>0.89975159484143374</v>
      </c>
      <c r="U21" s="130"/>
      <c r="V21" s="130"/>
      <c r="W21" s="131" t="s">
        <v>272</v>
      </c>
      <c r="X21" s="131" t="s">
        <v>289</v>
      </c>
      <c r="Y21" s="132" t="s">
        <v>287</v>
      </c>
      <c r="Z21" s="133"/>
      <c r="AD21" s="134"/>
      <c r="AE21" s="134"/>
      <c r="AF21" s="134"/>
      <c r="AG21" s="134"/>
      <c r="AH21" s="134"/>
      <c r="AI21" s="134"/>
    </row>
    <row r="22" spans="1:41" ht="18" customHeight="1" x14ac:dyDescent="0.25">
      <c r="B22" s="304"/>
      <c r="C22" s="304"/>
      <c r="D22" s="15"/>
      <c r="E22" s="101"/>
      <c r="F22" s="101"/>
      <c r="G22" s="409"/>
      <c r="H22" s="409"/>
      <c r="I22" s="409"/>
      <c r="J22" s="312"/>
      <c r="K22" s="409"/>
      <c r="L22" s="409"/>
      <c r="R22" s="33"/>
      <c r="S22" s="33"/>
      <c r="T22" s="415"/>
      <c r="W22" s="416"/>
      <c r="X22" s="416"/>
      <c r="Y22" s="18"/>
      <c r="AD22" s="134"/>
      <c r="AE22" s="134"/>
      <c r="AF22" s="134"/>
      <c r="AG22" s="134"/>
      <c r="AH22" s="134"/>
      <c r="AI22" s="134"/>
    </row>
    <row r="23" spans="1:41" ht="18" customHeight="1" thickBot="1" x14ac:dyDescent="0.3">
      <c r="B23" s="76" t="s">
        <v>665</v>
      </c>
      <c r="C23" s="109"/>
      <c r="D23" s="109"/>
      <c r="E23" s="102"/>
      <c r="F23" s="102"/>
      <c r="G23" s="109"/>
      <c r="H23" s="109"/>
      <c r="I23" s="109"/>
      <c r="J23" s="109"/>
      <c r="K23" s="109"/>
      <c r="L23" s="452"/>
      <c r="AD23" s="134"/>
      <c r="AE23" s="134"/>
      <c r="AF23" s="134"/>
      <c r="AG23" s="134"/>
      <c r="AH23" s="134"/>
      <c r="AI23" s="134"/>
    </row>
    <row r="24" spans="1:41" ht="18" customHeight="1" thickBot="1" x14ac:dyDescent="0.3">
      <c r="A24" s="407">
        <v>254</v>
      </c>
      <c r="B24" s="297">
        <f>INDEX(TestSummary!$A$1:$CI$394,'J1634 Calcs  no precondition'!$A24,'J1634 Calcs  no precondition'!B$5)</f>
        <v>62009058</v>
      </c>
      <c r="C24" s="297" t="str">
        <f>INDEX(TestSummary!$A$1:$CI$394,'J1634 Calcs  no precondition'!$A24,'J1634 Calcs  no precondition'!C$5)</f>
        <v>UDDS 1 , Combined</v>
      </c>
      <c r="D24" s="283" t="str">
        <f>INDEX(TestSummary!$A$1:$CI$394,'J1634 Calcs  no precondition'!$A24,'J1634 Calcs  no precondition'!D$5)</f>
        <v>J1634 MCT in cold test cell (20°F), UDDS-HWY-UDDS-US06 with 20 minute precondition, vehicle plugged in</v>
      </c>
      <c r="E24" s="326">
        <f>INDEX(TestSummary!$A$1:$CI$394,'J1634 Calcs  no precondition'!$A24,'J1634 Calcs  no precondition'!E$5)</f>
        <v>0</v>
      </c>
      <c r="F24" s="489">
        <f>INDEX(TestSummary!$A$1:$CI$394,'J1634 Calcs  no precondition'!$A24,'J1634 Calcs  no precondition'!F$5)</f>
        <v>-6.4254239999999996</v>
      </c>
      <c r="G24" s="114">
        <f>INDEX(TestSummary!$A$1:$CI$394,'J1634 Calcs  no precondition'!$A24,'J1634 Calcs  no precondition'!G$5)</f>
        <v>398.14452631280835</v>
      </c>
      <c r="H24" s="114">
        <f>INDEX(TestSummary!$A$1:$CI$394,'J1634 Calcs  no precondition'!$A24,'J1634 Calcs  no precondition'!H$5)</f>
        <v>268</v>
      </c>
      <c r="I24" s="114">
        <f>INDEX(TestSummary!$A$1:$CI$394,'J1634 Calcs  no precondition'!$A24,'J1634 Calcs  no precondition'!I$5)</f>
        <v>3236</v>
      </c>
      <c r="J24" s="115">
        <f>INDEX(TestSummary!$A$1:$CI$394,'J1634 Calcs  no precondition'!$A24,'J1634 Calcs  no precondition'!J$5)</f>
        <v>93.171453999999997</v>
      </c>
      <c r="K24" s="116">
        <f>INDEX(TestSummary!$A$1:$CI$394,'J1634 Calcs  no precondition'!$A24,'J1634 Calcs  no precondition'!K$5)</f>
        <v>398.14452631280835</v>
      </c>
      <c r="L24" s="116"/>
      <c r="N24" s="110" t="s">
        <v>276</v>
      </c>
      <c r="O24" s="17" t="s">
        <v>291</v>
      </c>
      <c r="P24" t="s">
        <v>292</v>
      </c>
      <c r="Q24" s="111" t="s">
        <v>277</v>
      </c>
      <c r="R24" s="112"/>
      <c r="S24" s="112"/>
      <c r="T24" s="112"/>
      <c r="U24" s="112"/>
      <c r="V24" s="112"/>
      <c r="W24" s="112"/>
      <c r="X24" s="112"/>
      <c r="Y24" s="112"/>
      <c r="Z24" s="113"/>
      <c r="AD24" s="134"/>
      <c r="AE24" s="134"/>
      <c r="AF24" s="134"/>
      <c r="AG24" s="134"/>
      <c r="AH24" s="134"/>
      <c r="AI24" s="134"/>
    </row>
    <row r="25" spans="1:41" ht="18" customHeight="1" x14ac:dyDescent="0.25">
      <c r="A25" s="407">
        <f>A24+1</f>
        <v>255</v>
      </c>
      <c r="B25" s="297">
        <f>INDEX(TestSummary!$A$1:$CI$394,'J1634 Calcs  no precondition'!$A25,'J1634 Calcs  no precondition'!B$5)</f>
        <v>62009058</v>
      </c>
      <c r="C25" s="297" t="str">
        <f>INDEX(TestSummary!$A$1:$CI$394,'J1634 Calcs  no precondition'!$A25,'J1634 Calcs  no precondition'!C$5)</f>
        <v>HWY 1</v>
      </c>
      <c r="D25" s="283" t="str">
        <f>INDEX(TestSummary!$A$1:$CI$394,'J1634 Calcs  no precondition'!$A25,'J1634 Calcs  no precondition'!D$5)</f>
        <v>J1634 MCT in cold test cell (20°F), UDDS-HWY-UDDS-US06 with 20 minute precondition, vehicle plugged in</v>
      </c>
      <c r="E25" s="326">
        <f>INDEX(TestSummary!$A$1:$CI$394,'J1634 Calcs  no precondition'!$A25,'J1634 Calcs  no precondition'!E$5)</f>
        <v>0</v>
      </c>
      <c r="F25" s="489">
        <f>INDEX(TestSummary!$A$1:$CI$394,'J1634 Calcs  no precondition'!$A25,'J1634 Calcs  no precondition'!F$5)</f>
        <v>-4.2482990000000003</v>
      </c>
      <c r="G25" s="114">
        <f>INDEX(TestSummary!$A$1:$CI$394,'J1634 Calcs  no precondition'!$A25,'J1634 Calcs  no precondition'!G$5)</f>
        <v>315.05056036409576</v>
      </c>
      <c r="H25" s="114">
        <f>INDEX(TestSummary!$A$1:$CI$394,'J1634 Calcs  no precondition'!$A25,'J1634 Calcs  no precondition'!H$5)</f>
        <v>3251</v>
      </c>
      <c r="I25" s="114">
        <f>INDEX(TestSummary!$A$1:$CI$394,'J1634 Calcs  no precondition'!$A25,'J1634 Calcs  no precondition'!I$5)</f>
        <v>6491</v>
      </c>
      <c r="J25" s="115">
        <f>INDEX(TestSummary!$A$1:$CI$394,'J1634 Calcs  no precondition'!$A25,'J1634 Calcs  no precondition'!J$5)</f>
        <v>88.72193</v>
      </c>
      <c r="K25" s="116">
        <f>INDEX(TestSummary!$A$1:$CI$394,'J1634 Calcs  no precondition'!$A25,'J1634 Calcs  no precondition'!K$5)</f>
        <v>315.05056036409576</v>
      </c>
      <c r="L25" s="116"/>
      <c r="N25" s="117" t="s">
        <v>667</v>
      </c>
      <c r="O25" s="138">
        <f>TestSummary!BO248</f>
        <v>69624.100000000006</v>
      </c>
      <c r="P25" s="224">
        <f>$O$32</f>
        <v>70871.060981000002</v>
      </c>
      <c r="Q25" s="118" t="s">
        <v>16</v>
      </c>
      <c r="R25" s="119" t="s">
        <v>1</v>
      </c>
      <c r="S25" s="119" t="s">
        <v>383</v>
      </c>
      <c r="T25" s="120" t="s">
        <v>279</v>
      </c>
      <c r="U25" s="119" t="s">
        <v>280</v>
      </c>
      <c r="V25" s="120" t="s">
        <v>281</v>
      </c>
      <c r="W25" s="121" t="s">
        <v>673</v>
      </c>
      <c r="X25" s="122" t="s">
        <v>282</v>
      </c>
      <c r="Y25" s="121" t="s">
        <v>283</v>
      </c>
      <c r="Z25" s="123"/>
      <c r="AD25" s="134"/>
      <c r="AE25" s="134"/>
      <c r="AF25" s="134"/>
      <c r="AG25" s="134"/>
      <c r="AH25" s="134"/>
      <c r="AI25" s="134"/>
    </row>
    <row r="26" spans="1:41" ht="18" customHeight="1" x14ac:dyDescent="0.25">
      <c r="A26" s="407">
        <f>A25+3</f>
        <v>258</v>
      </c>
      <c r="B26" s="297">
        <f>INDEX(TestSummary!$A$1:$CI$394,'J1634 Calcs  no precondition'!$A26,'J1634 Calcs  no precondition'!B$5)</f>
        <v>62009058</v>
      </c>
      <c r="C26" s="297" t="str">
        <f>INDEX(TestSummary!$A$1:$CI$394,'J1634 Calcs  no precondition'!$A26,'J1634 Calcs  no precondition'!C$5)</f>
        <v>UDDS 2, combined</v>
      </c>
      <c r="D26" s="283" t="str">
        <f>INDEX(TestSummary!$A$1:$CI$394,'J1634 Calcs  no precondition'!$A26,'J1634 Calcs  no precondition'!D$5)</f>
        <v>J1634 MCT in cold test cell (20°F), UDDS-HWY-UDDS-US06 with 20 minute precondition, vehicle plugged in</v>
      </c>
      <c r="E26" s="326">
        <f>INDEX(TestSummary!$A$1:$CI$394,'J1634 Calcs  no precondition'!$A26,'J1634 Calcs  no precondition'!E$5)</f>
        <v>0</v>
      </c>
      <c r="F26" s="489">
        <f>INDEX(TestSummary!$A$1:$CI$394,'J1634 Calcs  no precondition'!$A26,'J1634 Calcs  no precondition'!F$5)</f>
        <v>-6.7767415</v>
      </c>
      <c r="G26" s="114">
        <f>INDEX(TestSummary!$A$1:$CI$394,'J1634 Calcs  no precondition'!$A26,'J1634 Calcs  no precondition'!G$5)</f>
        <v>347.23225791628221</v>
      </c>
      <c r="H26" s="114">
        <f>INDEX(TestSummary!$A$1:$CI$394,'J1634 Calcs  no precondition'!$A26,'J1634 Calcs  no precondition'!H$5)</f>
        <v>6504</v>
      </c>
      <c r="I26" s="114">
        <f>INDEX(TestSummary!$A$1:$CI$394,'J1634 Calcs  no precondition'!$A26,'J1634 Calcs  no precondition'!I$5)</f>
        <v>9093</v>
      </c>
      <c r="J26" s="115">
        <f>INDEX(TestSummary!$A$1:$CI$394,'J1634 Calcs  no precondition'!$A26,'J1634 Calcs  no precondition'!J$5)</f>
        <v>85.142167999999998</v>
      </c>
      <c r="K26" s="116">
        <f>INDEX(TestSummary!$A$1:$CI$394,'J1634 Calcs  no precondition'!$A26,'J1634 Calcs  no precondition'!K$5)</f>
        <v>347.23225791628221</v>
      </c>
      <c r="L26" s="116"/>
      <c r="N26" s="124" t="s">
        <v>284</v>
      </c>
      <c r="O26" s="125">
        <f>TestSummary!W247-TestSummary!V247</f>
        <v>62471</v>
      </c>
      <c r="P26" s="125">
        <f>$O$33</f>
        <v>64490</v>
      </c>
      <c r="Q26" s="118" t="s">
        <v>285</v>
      </c>
      <c r="R26" s="119" t="s">
        <v>57</v>
      </c>
      <c r="S26" s="119">
        <v>3</v>
      </c>
      <c r="T26" s="120"/>
      <c r="U26" s="120">
        <f>(I24-H24)/O26</f>
        <v>4.7510044660722575E-2</v>
      </c>
      <c r="V26" s="120">
        <f>(1-U26)/S26</f>
        <v>0.31749665177975911</v>
      </c>
      <c r="W26" s="126">
        <f>U26*(K24)+V26*(K26)*3</f>
        <v>349.65110206157982</v>
      </c>
      <c r="X26" s="126">
        <f>P26/W26</f>
        <v>184.44100310212139</v>
      </c>
      <c r="Y26" s="127">
        <f>W26/T29</f>
        <v>389.6871075386282</v>
      </c>
      <c r="Z26" s="123"/>
      <c r="AD26" s="134"/>
      <c r="AE26" s="134"/>
      <c r="AF26" s="134"/>
      <c r="AG26" s="134"/>
      <c r="AH26" s="134"/>
      <c r="AI26" s="134"/>
    </row>
    <row r="27" spans="1:41" ht="18" customHeight="1" x14ac:dyDescent="0.25">
      <c r="A27" s="407">
        <f>A26+3</f>
        <v>261</v>
      </c>
      <c r="B27" s="297">
        <f>INDEX(TestSummary!$A$1:$CI$394,'J1634 Calcs  no precondition'!$A27,'J1634 Calcs  no precondition'!B$5)</f>
        <v>62009058</v>
      </c>
      <c r="C27" s="297" t="str">
        <f>INDEX(TestSummary!$A$1:$CI$394,'J1634 Calcs  no precondition'!$A27,'J1634 Calcs  no precondition'!C$5)</f>
        <v>US06 1, combined</v>
      </c>
      <c r="D27" s="283" t="str">
        <f>INDEX(TestSummary!$A$1:$CI$394,'J1634 Calcs  no precondition'!$A27,'J1634 Calcs  no precondition'!D$5)</f>
        <v>J1634 MCT in cold test cell (20°F), UDDS-HWY-UDDS-US06 with 20 minute precondition, vehicle plugged in</v>
      </c>
      <c r="E27" s="326">
        <f>INDEX(TestSummary!$A$1:$CI$394,'J1634 Calcs  no precondition'!$A27,'J1634 Calcs  no precondition'!E$5)</f>
        <v>0</v>
      </c>
      <c r="F27" s="489">
        <f>INDEX(TestSummary!$A$1:$CI$394,'J1634 Calcs  no precondition'!$A27,'J1634 Calcs  no precondition'!F$5)</f>
        <v>-2.4328684999999997</v>
      </c>
      <c r="G27" s="114">
        <f>INDEX(TestSummary!$A$1:$CI$394,'J1634 Calcs  no precondition'!$A27,'J1634 Calcs  no precondition'!G$5)</f>
        <v>373.875230236015</v>
      </c>
      <c r="H27" s="114">
        <f>INDEX(TestSummary!$A$1:$CI$394,'J1634 Calcs  no precondition'!$A27,'J1634 Calcs  no precondition'!H$5)</f>
        <v>9171</v>
      </c>
      <c r="I27" s="114">
        <f>INDEX(TestSummary!$A$1:$CI$394,'J1634 Calcs  no precondition'!$A27,'J1634 Calcs  no precondition'!I$5)</f>
        <v>11935</v>
      </c>
      <c r="J27" s="115">
        <f>INDEX(TestSummary!$A$1:$CI$394,'J1634 Calcs  no precondition'!$A27,'J1634 Calcs  no precondition'!J$5)</f>
        <v>81.130577000000002</v>
      </c>
      <c r="K27" s="116">
        <f>INDEX(TestSummary!$A$1:$CI$394,'J1634 Calcs  no precondition'!$A27,'J1634 Calcs  no precondition'!K$5)</f>
        <v>373.875230236015</v>
      </c>
      <c r="L27" s="116"/>
      <c r="N27" s="455"/>
      <c r="Q27" s="118" t="s">
        <v>285</v>
      </c>
      <c r="R27" s="119" t="s">
        <v>55</v>
      </c>
      <c r="S27" s="119">
        <v>2</v>
      </c>
      <c r="T27" s="120">
        <f>1/S27</f>
        <v>0.5</v>
      </c>
      <c r="U27" s="120"/>
      <c r="V27" s="120"/>
      <c r="W27" s="126">
        <f>T27*(K25)*2</f>
        <v>315.05056036409576</v>
      </c>
      <c r="X27" s="126">
        <f>P26/W27</f>
        <v>204.69730295185187</v>
      </c>
      <c r="Y27" s="127">
        <f>W27/T29</f>
        <v>351.12470938268706</v>
      </c>
      <c r="Z27" s="123"/>
      <c r="AD27" s="134"/>
      <c r="AE27" s="134"/>
      <c r="AF27" s="134"/>
      <c r="AG27" s="134"/>
      <c r="AH27" s="134"/>
      <c r="AI27" s="134"/>
    </row>
    <row r="28" spans="1:41" ht="18" customHeight="1" x14ac:dyDescent="0.25">
      <c r="B28" s="304"/>
      <c r="C28" s="304"/>
      <c r="D28" s="15"/>
      <c r="E28" s="101"/>
      <c r="F28" s="101"/>
      <c r="G28" s="135"/>
      <c r="H28" s="135"/>
      <c r="I28" s="135"/>
      <c r="J28" s="136"/>
      <c r="K28" s="137"/>
      <c r="L28" s="137"/>
      <c r="Q28" s="118" t="s">
        <v>285</v>
      </c>
      <c r="R28" s="119" t="s">
        <v>209</v>
      </c>
      <c r="S28" s="119">
        <v>2</v>
      </c>
      <c r="T28" s="120">
        <f>1/S28</f>
        <v>0.5</v>
      </c>
      <c r="U28" s="120"/>
      <c r="V28" s="120"/>
      <c r="W28" s="126">
        <f>T28*(K27)*2</f>
        <v>373.875230236015</v>
      </c>
      <c r="X28" s="126">
        <f>P26/W28</f>
        <v>172.49069952906376</v>
      </c>
      <c r="Y28" s="127">
        <f>W28/T29</f>
        <v>416.68496450313484</v>
      </c>
      <c r="Z28" s="123"/>
      <c r="AD28" s="134"/>
      <c r="AE28" s="134"/>
      <c r="AF28" s="134"/>
      <c r="AG28" s="134"/>
      <c r="AH28" s="134"/>
      <c r="AI28" s="134"/>
    </row>
    <row r="29" spans="1:41" ht="18" customHeight="1" thickBot="1" x14ac:dyDescent="0.3">
      <c r="Q29" s="128" t="s">
        <v>285</v>
      </c>
      <c r="R29" s="129" t="s">
        <v>288</v>
      </c>
      <c r="S29" s="129"/>
      <c r="T29" s="233">
        <f>O26/O25</f>
        <v>0.89726114951575664</v>
      </c>
      <c r="U29" s="130"/>
      <c r="V29" s="130"/>
      <c r="W29" s="131" t="s">
        <v>272</v>
      </c>
      <c r="X29" s="131" t="s">
        <v>289</v>
      </c>
      <c r="Y29" s="132" t="s">
        <v>287</v>
      </c>
      <c r="Z29" s="133"/>
      <c r="AD29" s="134"/>
      <c r="AE29" s="134"/>
      <c r="AF29" s="134"/>
      <c r="AG29" s="134"/>
      <c r="AH29" s="134"/>
      <c r="AI29" s="134"/>
    </row>
    <row r="30" spans="1:41" ht="15.75" thickBot="1" x14ac:dyDescent="0.3">
      <c r="AC30" s="27" t="s">
        <v>638</v>
      </c>
    </row>
    <row r="31" spans="1:41" ht="16.5" thickBot="1" x14ac:dyDescent="0.3">
      <c r="B31" s="76" t="s">
        <v>668</v>
      </c>
      <c r="C31" s="109"/>
      <c r="D31" s="109"/>
      <c r="E31" s="102"/>
      <c r="F31" s="102"/>
      <c r="G31" s="109"/>
      <c r="H31" s="109"/>
      <c r="I31" s="109"/>
      <c r="J31" s="109"/>
      <c r="K31" s="109"/>
      <c r="L31" s="452"/>
      <c r="N31" s="110" t="s">
        <v>276</v>
      </c>
      <c r="O31" s="410" t="s">
        <v>291</v>
      </c>
      <c r="P31" s="411" t="s">
        <v>292</v>
      </c>
      <c r="Q31" s="111" t="s">
        <v>277</v>
      </c>
      <c r="R31" s="112"/>
      <c r="S31" s="112"/>
      <c r="T31" s="112"/>
      <c r="U31" s="112"/>
      <c r="V31" s="112"/>
      <c r="W31" s="112"/>
      <c r="X31" s="112"/>
      <c r="Y31" s="112"/>
      <c r="Z31" s="113"/>
      <c r="AC31" t="s">
        <v>57</v>
      </c>
      <c r="AD31" s="134">
        <f t="shared" ref="AD31:AI34" si="4">AD7/$AG7-1</f>
        <v>2.1196061651510338</v>
      </c>
      <c r="AE31" s="134">
        <f t="shared" si="4"/>
        <v>1.5126793782899823</v>
      </c>
      <c r="AF31" s="134">
        <f>AF7/$AG7-1</f>
        <v>1.3190787896039335</v>
      </c>
      <c r="AG31" s="134">
        <f>AG7/$AG7-1</f>
        <v>0</v>
      </c>
      <c r="AH31" s="134">
        <f>AH7/$AG7-1</f>
        <v>0.29783978124400678</v>
      </c>
      <c r="AI31" s="134">
        <f>AI7/$AG7-1</f>
        <v>0.26056548314302352</v>
      </c>
    </row>
    <row r="32" spans="1:41" ht="17.25" customHeight="1" x14ac:dyDescent="0.25">
      <c r="A32" s="407">
        <v>78</v>
      </c>
      <c r="B32" s="297">
        <f>INDEX(TestSummary!$A$1:$CI$394,'J1634 Calcs  no precondition'!$A32,'J1634 Calcs  no precondition'!B$5)</f>
        <v>62009019</v>
      </c>
      <c r="C32" s="297" t="str">
        <f>INDEX(TestSummary!$A$1:$CI$394,'J1634 Calcs  no precondition'!$A32,'J1634 Calcs  no precondition'!C$5)</f>
        <v>UDDS 1 , Combined</v>
      </c>
      <c r="D32" s="283" t="str">
        <f>INDEX(TestSummary!$A$1:$CI$394,'J1634 Calcs  no precondition'!$A32,'J1634 Calcs  no precondition'!D$5)</f>
        <v>J1634 MCT, UDDS-HWY-UDDS-US06, in L mode, Headlights -OFF</v>
      </c>
      <c r="E32" s="326">
        <f>INDEX(TestSummary!$A$1:$CI$394,'J1634 Calcs  no precondition'!$A32,'J1634 Calcs  no precondition'!E$5)</f>
        <v>0</v>
      </c>
      <c r="F32" s="489">
        <f>INDEX(TestSummary!$A$1:$CI$394,'J1634 Calcs  no precondition'!$A32,'J1634 Calcs  no precondition'!F$5)</f>
        <v>23.067756500000002</v>
      </c>
      <c r="G32" s="114">
        <f>INDEX(TestSummary!$A$1:$CI$394,'J1634 Calcs  no precondition'!$A32,'J1634 Calcs  no precondition'!G$5)</f>
        <v>171.68219040147656</v>
      </c>
      <c r="H32" s="114">
        <f>INDEX(TestSummary!$A$1:$CI$394,'J1634 Calcs  no precondition'!$A32,'J1634 Calcs  no precondition'!H$5)</f>
        <v>9</v>
      </c>
      <c r="I32" s="114">
        <f>INDEX(TestSummary!$A$1:$CI$394,'J1634 Calcs  no precondition'!$A32,'J1634 Calcs  no precondition'!I$5)</f>
        <v>1284</v>
      </c>
      <c r="J32" s="115">
        <f>INDEX(TestSummary!$A$1:$CI$394,'J1634 Calcs  no precondition'!$A32,'J1634 Calcs  no precondition'!J$5)</f>
        <v>95.678507999999994</v>
      </c>
      <c r="K32" s="116">
        <f>INDEX(TestSummary!$A$1:$CI$394,'J1634 Calcs  no precondition'!$A32,'J1634 Calcs  no precondition'!K$5)</f>
        <v>171.68219040147656</v>
      </c>
      <c r="L32" s="137"/>
      <c r="N32" s="117" t="s">
        <v>667</v>
      </c>
      <c r="O32" s="138">
        <f>-TestSummary!BO98</f>
        <v>70871.060981000002</v>
      </c>
      <c r="P32" s="224">
        <f>$O$32</f>
        <v>70871.060981000002</v>
      </c>
      <c r="Q32" s="118" t="s">
        <v>16</v>
      </c>
      <c r="R32" s="119" t="s">
        <v>1</v>
      </c>
      <c r="S32" s="119" t="s">
        <v>383</v>
      </c>
      <c r="T32" s="120" t="s">
        <v>279</v>
      </c>
      <c r="U32" s="119" t="s">
        <v>280</v>
      </c>
      <c r="V32" s="120" t="s">
        <v>281</v>
      </c>
      <c r="W32" s="121" t="s">
        <v>673</v>
      </c>
      <c r="X32" s="122" t="s">
        <v>282</v>
      </c>
      <c r="Y32" s="121" t="s">
        <v>283</v>
      </c>
      <c r="Z32" s="123"/>
      <c r="AC32" t="s">
        <v>55</v>
      </c>
      <c r="AD32" s="134">
        <f t="shared" si="4"/>
        <v>0.80232804377580869</v>
      </c>
      <c r="AE32" s="134">
        <f t="shared" si="4"/>
        <v>0.54593955115692094</v>
      </c>
      <c r="AF32" s="134">
        <f t="shared" si="4"/>
        <v>0.56415765371959292</v>
      </c>
      <c r="AG32" s="134">
        <f t="shared" si="4"/>
        <v>0</v>
      </c>
      <c r="AH32" s="134">
        <f t="shared" si="4"/>
        <v>2.8945325784532683E-2</v>
      </c>
      <c r="AI32" s="134">
        <f t="shared" si="4"/>
        <v>6.0406702964535874E-2</v>
      </c>
      <c r="AO32" s="84"/>
    </row>
    <row r="33" spans="1:51" x14ac:dyDescent="0.25">
      <c r="A33" s="407">
        <f>A32+1</f>
        <v>79</v>
      </c>
      <c r="B33" s="297">
        <f>INDEX(TestSummary!$A$1:$CI$394,'J1634 Calcs  no precondition'!$A33,'J1634 Calcs  no precondition'!B$5)</f>
        <v>62009019</v>
      </c>
      <c r="C33" s="297" t="str">
        <f>INDEX(TestSummary!$A$1:$CI$394,'J1634 Calcs  no precondition'!$A33,'J1634 Calcs  no precondition'!C$5)</f>
        <v>HWY 1</v>
      </c>
      <c r="D33" s="283" t="str">
        <f>INDEX(TestSummary!$A$1:$CI$394,'J1634 Calcs  no precondition'!$A33,'J1634 Calcs  no precondition'!D$5)</f>
        <v>J1634 MCT, UDDS-HWY-UDDS-US06, in L mode, Headlights -OFF</v>
      </c>
      <c r="E33" s="326">
        <f>INDEX(TestSummary!$A$1:$CI$394,'J1634 Calcs  no precondition'!$A33,'J1634 Calcs  no precondition'!E$5)</f>
        <v>0</v>
      </c>
      <c r="F33" s="489">
        <f>INDEX(TestSummary!$A$1:$CI$394,'J1634 Calcs  no precondition'!$A33,'J1634 Calcs  no precondition'!F$5)</f>
        <v>24.913674</v>
      </c>
      <c r="G33" s="114">
        <f>INDEX(TestSummary!$A$1:$CI$394,'J1634 Calcs  no precondition'!$A33,'J1634 Calcs  no precondition'!G$5)</f>
        <v>201.41867388808302</v>
      </c>
      <c r="H33" s="114">
        <f>INDEX(TestSummary!$A$1:$CI$394,'J1634 Calcs  no precondition'!$A33,'J1634 Calcs  no precondition'!H$5)</f>
        <v>1285</v>
      </c>
      <c r="I33" s="114">
        <f>INDEX(TestSummary!$A$1:$CI$394,'J1634 Calcs  no precondition'!$A33,'J1634 Calcs  no precondition'!I$5)</f>
        <v>3349</v>
      </c>
      <c r="J33" s="115">
        <f>INDEX(TestSummary!$A$1:$CI$394,'J1634 Calcs  no precondition'!$A33,'J1634 Calcs  no precondition'!J$5)</f>
        <v>92.916629</v>
      </c>
      <c r="K33" s="116">
        <f>INDEX(TestSummary!$A$1:$CI$394,'J1634 Calcs  no precondition'!$A33,'J1634 Calcs  no precondition'!K$5)</f>
        <v>201.41867388808302</v>
      </c>
      <c r="L33" s="137"/>
      <c r="N33" s="124" t="s">
        <v>284</v>
      </c>
      <c r="O33" s="125">
        <f>TestSummary!W97-TestSummary!V76</f>
        <v>64490</v>
      </c>
      <c r="P33" s="125">
        <f>$O$33</f>
        <v>64490</v>
      </c>
      <c r="Q33" s="118" t="s">
        <v>285</v>
      </c>
      <c r="R33" s="119" t="s">
        <v>57</v>
      </c>
      <c r="S33" s="119">
        <v>3</v>
      </c>
      <c r="T33" s="120"/>
      <c r="U33" s="120">
        <f>(I32-H32)/O33</f>
        <v>1.977050705535742E-2</v>
      </c>
      <c r="V33" s="120">
        <f>(1-U33)/S33</f>
        <v>0.32674316431488087</v>
      </c>
      <c r="W33" s="126">
        <f>U33*K32+(V33*K34)+(V33*K37)+(V33*K39)</f>
        <v>161.92734967936465</v>
      </c>
      <c r="X33" s="126">
        <f>P33/W33</f>
        <v>398.26502519616264</v>
      </c>
      <c r="Y33" s="127">
        <f>W33/T36</f>
        <v>177.94949718743936</v>
      </c>
      <c r="Z33" s="123"/>
      <c r="AC33" t="s">
        <v>639</v>
      </c>
      <c r="AD33" s="134">
        <f t="shared" si="4"/>
        <v>1.5845717451881951</v>
      </c>
      <c r="AE33" s="134">
        <f t="shared" si="4"/>
        <v>1.0709652467905677</v>
      </c>
      <c r="AF33" s="134">
        <f t="shared" si="4"/>
        <v>1.1178689298508444</v>
      </c>
      <c r="AG33" s="134">
        <f t="shared" si="4"/>
        <v>0</v>
      </c>
      <c r="AH33" s="134">
        <f t="shared" si="4"/>
        <v>0.20378062432492872</v>
      </c>
      <c r="AI33" s="134">
        <f t="shared" si="4"/>
        <v>0.22835486222120904</v>
      </c>
      <c r="AK33" s="93"/>
      <c r="AL33" s="93"/>
      <c r="AM33" s="93"/>
      <c r="AO33" s="84"/>
      <c r="AP33" s="26"/>
      <c r="AQ33" s="26"/>
      <c r="AR33" s="26"/>
    </row>
    <row r="34" spans="1:51" x14ac:dyDescent="0.25">
      <c r="A34" s="407">
        <f>A33+3</f>
        <v>82</v>
      </c>
      <c r="B34" s="297">
        <f>INDEX(TestSummary!$A$1:$CI$394,'J1634 Calcs  no precondition'!$A34,'J1634 Calcs  no precondition'!B$5)</f>
        <v>62009019</v>
      </c>
      <c r="C34" s="297" t="str">
        <f>INDEX(TestSummary!$A$1:$CI$394,'J1634 Calcs  no precondition'!$A34,'J1634 Calcs  no precondition'!C$5)</f>
        <v>UDDS 2, combined</v>
      </c>
      <c r="D34" s="283" t="str">
        <f>INDEX(TestSummary!$A$1:$CI$394,'J1634 Calcs  no precondition'!$A34,'J1634 Calcs  no precondition'!D$5)</f>
        <v>J1634 MCT, UDDS-HWY-UDDS-US06, in L mode, Headlights -OFF</v>
      </c>
      <c r="E34" s="326">
        <f>INDEX(TestSummary!$A$1:$CI$394,'J1634 Calcs  no precondition'!$A34,'J1634 Calcs  no precondition'!E$5)</f>
        <v>0</v>
      </c>
      <c r="F34" s="489">
        <f>INDEX(TestSummary!$A$1:$CI$394,'J1634 Calcs  no precondition'!$A34,'J1634 Calcs  no precondition'!F$5)</f>
        <v>20.170271499999998</v>
      </c>
      <c r="G34" s="114">
        <f>INDEX(TestSummary!$A$1:$CI$394,'J1634 Calcs  no precondition'!$A34,'J1634 Calcs  no precondition'!G$5)</f>
        <v>163.95361064234356</v>
      </c>
      <c r="H34" s="114">
        <f>INDEX(TestSummary!$A$1:$CI$394,'J1634 Calcs  no precondition'!$A34,'J1634 Calcs  no precondition'!H$5)</f>
        <v>3356</v>
      </c>
      <c r="I34" s="114">
        <f>INDEX(TestSummary!$A$1:$CI$394,'J1634 Calcs  no precondition'!$A34,'J1634 Calcs  no precondition'!I$5)</f>
        <v>4574</v>
      </c>
      <c r="J34" s="115">
        <f>INDEX(TestSummary!$A$1:$CI$394,'J1634 Calcs  no precondition'!$A34,'J1634 Calcs  no precondition'!J$5)</f>
        <v>91.265604999999994</v>
      </c>
      <c r="K34" s="116">
        <f>INDEX(TestSummary!$A$1:$CI$394,'J1634 Calcs  no precondition'!$A34,'J1634 Calcs  no precondition'!K$5)</f>
        <v>163.95361064234356</v>
      </c>
      <c r="L34" s="137"/>
      <c r="N34" s="411"/>
      <c r="O34" s="410"/>
      <c r="P34" s="411"/>
      <c r="Q34" s="118" t="s">
        <v>285</v>
      </c>
      <c r="R34" s="119" t="s">
        <v>55</v>
      </c>
      <c r="S34" s="119">
        <v>2</v>
      </c>
      <c r="T34" s="120">
        <f>1/S34</f>
        <v>0.5</v>
      </c>
      <c r="U34" s="120"/>
      <c r="V34" s="120"/>
      <c r="W34" s="126">
        <f>T34*K33*2</f>
        <v>201.41867388808302</v>
      </c>
      <c r="X34" s="126">
        <f>P33/W34</f>
        <v>320.17885310789728</v>
      </c>
      <c r="Y34" s="127">
        <f>W34/T36</f>
        <v>221.34835043936246</v>
      </c>
      <c r="Z34" s="123"/>
      <c r="AC34" t="s">
        <v>209</v>
      </c>
      <c r="AD34" s="134">
        <f t="shared" si="4"/>
        <v>0.53664944147403215</v>
      </c>
      <c r="AE34" s="134">
        <f t="shared" si="4"/>
        <v>0.37554400867380444</v>
      </c>
      <c r="AF34" s="134">
        <f t="shared" si="4"/>
        <v>0.3846661252279826</v>
      </c>
      <c r="AG34" s="134">
        <f t="shared" si="4"/>
        <v>0</v>
      </c>
      <c r="AH34" s="134">
        <f t="shared" si="4"/>
        <v>1.1409689164533221E-2</v>
      </c>
      <c r="AI34" s="134">
        <f t="shared" si="4"/>
        <v>4.5036234307119338E-2</v>
      </c>
      <c r="AK34" s="93"/>
      <c r="AL34" s="93"/>
      <c r="AM34" s="93"/>
      <c r="AO34" s="84"/>
    </row>
    <row r="35" spans="1:51" x14ac:dyDescent="0.25">
      <c r="A35" s="407">
        <f>A34+3</f>
        <v>85</v>
      </c>
      <c r="B35" s="297">
        <f>INDEX(TestSummary!$A$1:$CI$394,'J1634 Calcs  no precondition'!$A35,'J1634 Calcs  no precondition'!B$5)</f>
        <v>62009019</v>
      </c>
      <c r="C35" s="297" t="str">
        <f>INDEX(TestSummary!$A$1:$CI$394,'J1634 Calcs  no precondition'!$A35,'J1634 Calcs  no precondition'!C$5)</f>
        <v>US06 1, combined</v>
      </c>
      <c r="D35" s="283" t="str">
        <f>INDEX(TestSummary!$A$1:$CI$394,'J1634 Calcs  no precondition'!$A35,'J1634 Calcs  no precondition'!D$5)</f>
        <v>J1634 MCT, UDDS-HWY-UDDS-US06, in L mode, Headlights -OFF</v>
      </c>
      <c r="E35" s="326">
        <f>INDEX(TestSummary!$A$1:$CI$394,'J1634 Calcs  no precondition'!$A35,'J1634 Calcs  no precondition'!E$5)</f>
        <v>0</v>
      </c>
      <c r="F35" s="489">
        <f>INDEX(TestSummary!$A$1:$CI$394,'J1634 Calcs  no precondition'!$A35,'J1634 Calcs  no precondition'!F$5)</f>
        <v>25.145004999999998</v>
      </c>
      <c r="G35" s="114">
        <f>INDEX(TestSummary!$A$1:$CI$394,'J1634 Calcs  no precondition'!$A35,'J1634 Calcs  no precondition'!G$5)</f>
        <v>270.01110478849705</v>
      </c>
      <c r="H35" s="114">
        <f>INDEX(TestSummary!$A$1:$CI$394,'J1634 Calcs  no precondition'!$A35,'J1634 Calcs  no precondition'!H$5)</f>
        <v>4579</v>
      </c>
      <c r="I35" s="114">
        <f>INDEX(TestSummary!$A$1:$CI$394,'J1634 Calcs  no precondition'!$A35,'J1634 Calcs  no precondition'!I$5)</f>
        <v>6596</v>
      </c>
      <c r="J35" s="115">
        <f>INDEX(TestSummary!$A$1:$CI$394,'J1634 Calcs  no precondition'!$A35,'J1634 Calcs  no precondition'!J$5)</f>
        <v>88.505251999999999</v>
      </c>
      <c r="K35" s="116">
        <f>INDEX(TestSummary!$A$1:$CI$394,'J1634 Calcs  no precondition'!$A35,'J1634 Calcs  no precondition'!K$5)</f>
        <v>270.01110478849705</v>
      </c>
      <c r="L35" s="137"/>
      <c r="N35" s="124" t="s">
        <v>640</v>
      </c>
      <c r="O35" s="125">
        <f>TestSummary!W97-TestSummary!V76</f>
        <v>64490</v>
      </c>
      <c r="P35" s="125">
        <f>$O$35</f>
        <v>64490</v>
      </c>
      <c r="Q35" s="118" t="s">
        <v>285</v>
      </c>
      <c r="R35" s="119" t="s">
        <v>209</v>
      </c>
      <c r="S35" s="119">
        <v>2</v>
      </c>
      <c r="T35" s="120">
        <f>1/S35</f>
        <v>0.5</v>
      </c>
      <c r="U35" s="120"/>
      <c r="V35" s="120"/>
      <c r="W35" s="126">
        <f>T35*K35*2</f>
        <v>270.01110478849705</v>
      </c>
      <c r="X35" s="126">
        <f>P33/W35</f>
        <v>238.84202855477292</v>
      </c>
      <c r="Y35" s="127">
        <f>W35/T36</f>
        <v>296.72776357594597</v>
      </c>
      <c r="Z35" s="123"/>
      <c r="AD35" s="134"/>
      <c r="AE35" s="134"/>
      <c r="AF35" s="134"/>
      <c r="AG35" s="134"/>
      <c r="AH35" s="134"/>
      <c r="AI35" s="134"/>
      <c r="AK35" s="93"/>
      <c r="AL35" s="93"/>
      <c r="AM35" s="93"/>
      <c r="AO35" s="84"/>
    </row>
    <row r="36" spans="1:51" ht="15.75" thickBot="1" x14ac:dyDescent="0.3">
      <c r="A36" s="407">
        <f>A35+4</f>
        <v>89</v>
      </c>
      <c r="B36" s="297">
        <f>INDEX(TestSummary!$A$1:$CI$394,'J1634 Calcs  no precondition'!$A36,'J1634 Calcs  no precondition'!B$5)</f>
        <v>62009021</v>
      </c>
      <c r="C36" s="297" t="str">
        <f>INDEX(TestSummary!$A$1:$CI$394,'J1634 Calcs  no precondition'!$A36,'J1634 Calcs  no precondition'!C$5)</f>
        <v>US06 2, combined</v>
      </c>
      <c r="D36" s="283" t="str">
        <f>INDEX(TestSummary!$A$1:$CI$394,'J1634 Calcs  no precondition'!$A36,'J1634 Calcs  no precondition'!D$5)</f>
        <v>J1634 MCT, US06-UDDS-HWY-UDDS, in L-mode, Headlights -OFF</v>
      </c>
      <c r="E36" s="326">
        <f>INDEX(TestSummary!$A$1:$CI$394,'J1634 Calcs  no precondition'!$A36,'J1634 Calcs  no precondition'!E$5)</f>
        <v>0</v>
      </c>
      <c r="F36" s="489">
        <f>INDEX(TestSummary!$A$1:$CI$394,'J1634 Calcs  no precondition'!$A36,'J1634 Calcs  no precondition'!F$5)</f>
        <v>24.006812</v>
      </c>
      <c r="G36" s="114">
        <f>INDEX(TestSummary!$A$1:$CI$394,'J1634 Calcs  no precondition'!$A36,'J1634 Calcs  no precondition'!G$5)</f>
        <v>269.61406072132525</v>
      </c>
      <c r="H36" s="114">
        <f>INDEX(TestSummary!$A$1:$CI$394,'J1634 Calcs  no precondition'!$A36,'J1634 Calcs  no precondition'!H$5)</f>
        <v>52793</v>
      </c>
      <c r="I36" s="114">
        <f>INDEX(TestSummary!$A$1:$CI$394,'J1634 Calcs  no precondition'!$A36,'J1634 Calcs  no precondition'!I$5)</f>
        <v>54809</v>
      </c>
      <c r="J36" s="115">
        <f>INDEX(TestSummary!$A$1:$CI$394,'J1634 Calcs  no precondition'!$A36,'J1634 Calcs  no precondition'!J$5)</f>
        <v>16.633835999999999</v>
      </c>
      <c r="K36" s="116">
        <f>INDEX(TestSummary!$A$1:$CI$394,'J1634 Calcs  no precondition'!$A36,'J1634 Calcs  no precondition'!K$5)</f>
        <v>269.61406072132525</v>
      </c>
      <c r="L36" s="137"/>
      <c r="Q36" s="128" t="s">
        <v>285</v>
      </c>
      <c r="R36" s="129" t="s">
        <v>288</v>
      </c>
      <c r="S36" s="129"/>
      <c r="T36" s="233">
        <f>O33/O32</f>
        <v>0.90996238954697295</v>
      </c>
      <c r="U36" s="130"/>
      <c r="V36" s="130"/>
      <c r="W36" s="131" t="s">
        <v>272</v>
      </c>
      <c r="X36" s="131" t="s">
        <v>289</v>
      </c>
      <c r="Y36" s="132" t="s">
        <v>287</v>
      </c>
      <c r="Z36" s="133"/>
      <c r="AC36" s="27" t="s">
        <v>290</v>
      </c>
      <c r="AD36" s="33"/>
      <c r="AE36" s="33"/>
      <c r="AF36" s="33"/>
      <c r="AG36" s="33"/>
      <c r="AH36" s="33"/>
    </row>
    <row r="37" spans="1:51" x14ac:dyDescent="0.25">
      <c r="A37" s="407">
        <f>A36+3</f>
        <v>92</v>
      </c>
      <c r="B37" s="297">
        <f>INDEX(TestSummary!$A$1:$CI$394,'J1634 Calcs  no precondition'!$A37,'J1634 Calcs  no precondition'!B$5)</f>
        <v>62009021</v>
      </c>
      <c r="C37" s="297" t="str">
        <f>INDEX(TestSummary!$A$1:$CI$394,'J1634 Calcs  no precondition'!$A37,'J1634 Calcs  no precondition'!C$5)</f>
        <v>UDDS 3, combined</v>
      </c>
      <c r="D37" s="283" t="str">
        <f>INDEX(TestSummary!$A$1:$CI$394,'J1634 Calcs  no precondition'!$A37,'J1634 Calcs  no precondition'!D$5)</f>
        <v>J1634 MCT, US06-UDDS-HWY-UDDS, in L-mode, Headlights -OFF</v>
      </c>
      <c r="E37" s="326">
        <f>INDEX(TestSummary!$A$1:$CI$394,'J1634 Calcs  no precondition'!$A37,'J1634 Calcs  no precondition'!E$5)</f>
        <v>0</v>
      </c>
      <c r="F37" s="489">
        <f>INDEX(TestSummary!$A$1:$CI$394,'J1634 Calcs  no precondition'!$A37,'J1634 Calcs  no precondition'!F$5)</f>
        <v>20.743687000000001</v>
      </c>
      <c r="G37" s="114">
        <f>INDEX(TestSummary!$A$1:$CI$394,'J1634 Calcs  no precondition'!$A37,'J1634 Calcs  no precondition'!G$5)</f>
        <v>160.36390428849893</v>
      </c>
      <c r="H37" s="114">
        <f>INDEX(TestSummary!$A$1:$CI$394,'J1634 Calcs  no precondition'!$A37,'J1634 Calcs  no precondition'!H$5)</f>
        <v>54955</v>
      </c>
      <c r="I37" s="114">
        <f>INDEX(TestSummary!$A$1:$CI$394,'J1634 Calcs  no precondition'!$A37,'J1634 Calcs  no precondition'!I$5)</f>
        <v>56146</v>
      </c>
      <c r="J37" s="115">
        <f>INDEX(TestSummary!$A$1:$CI$394,'J1634 Calcs  no precondition'!$A37,'J1634 Calcs  no precondition'!J$5)</f>
        <v>14.483843</v>
      </c>
      <c r="K37" s="116">
        <f>INDEX(TestSummary!$A$1:$CI$394,'J1634 Calcs  no precondition'!$A37,'J1634 Calcs  no precondition'!K$5)</f>
        <v>160.36390428849893</v>
      </c>
      <c r="L37" s="137"/>
      <c r="AC37" t="s">
        <v>57</v>
      </c>
      <c r="AD37" s="93">
        <f>X11</f>
        <v>149.63083996821246</v>
      </c>
      <c r="AE37" s="93">
        <f>X18</f>
        <v>187.33783625762561</v>
      </c>
      <c r="AF37" s="93">
        <f>X26</f>
        <v>184.44100310212139</v>
      </c>
      <c r="AG37" s="93">
        <f>X33</f>
        <v>398.26502519616264</v>
      </c>
      <c r="AH37" s="93">
        <f>X55</f>
        <v>325.67166726323046</v>
      </c>
      <c r="AI37" s="93">
        <f>X63</f>
        <v>319.62135235817124</v>
      </c>
      <c r="AK37" s="134">
        <f>(AK54-AK53)/AK53</f>
        <v>-0.10964146636229366</v>
      </c>
      <c r="AO37" s="134">
        <f>(AO54-AO53)/AO53</f>
        <v>-6.2084257206208429E-2</v>
      </c>
      <c r="AP37" s="26"/>
      <c r="AS37" s="134">
        <f>(AS54-AS53)/AS53</f>
        <v>2.5623052959501558</v>
      </c>
      <c r="AW37" s="134">
        <f>(AW54-AW53)/AW53</f>
        <v>2.4924127465857357</v>
      </c>
    </row>
    <row r="38" spans="1:51" x14ac:dyDescent="0.25">
      <c r="A38" s="407">
        <f>A37+1</f>
        <v>93</v>
      </c>
      <c r="B38" s="297">
        <f>INDEX(TestSummary!$A$1:$CI$394,'J1634 Calcs  no precondition'!$A38,'J1634 Calcs  no precondition'!B$5)</f>
        <v>62009021</v>
      </c>
      <c r="C38" s="297" t="str">
        <f>INDEX(TestSummary!$A$1:$CI$394,'J1634 Calcs  no precondition'!$A38,'J1634 Calcs  no precondition'!C$5)</f>
        <v>HWY</v>
      </c>
      <c r="D38" s="283" t="str">
        <f>INDEX(TestSummary!$A$1:$CI$394,'J1634 Calcs  no precondition'!$A38,'J1634 Calcs  no precondition'!D$5)</f>
        <v>J1634 MCT, US06-UDDS-HWY-UDDS, in L-mode, Headlights -OFF</v>
      </c>
      <c r="E38" s="326">
        <f>INDEX(TestSummary!$A$1:$CI$394,'J1634 Calcs  no precondition'!$A38,'J1634 Calcs  no precondition'!E$5)</f>
        <v>0</v>
      </c>
      <c r="F38" s="489">
        <f>INDEX(TestSummary!$A$1:$CI$394,'J1634 Calcs  no precondition'!$A38,'J1634 Calcs  no precondition'!F$5)</f>
        <v>25.679169000000002</v>
      </c>
      <c r="G38" s="114">
        <f>INDEX(TestSummary!$A$1:$CI$394,'J1634 Calcs  no precondition'!$A38,'J1634 Calcs  no precondition'!G$5)</f>
        <v>195.87334715381968</v>
      </c>
      <c r="H38" s="114">
        <f>INDEX(TestSummary!$A$1:$CI$394,'J1634 Calcs  no precondition'!$A38,'J1634 Calcs  no precondition'!H$5)</f>
        <v>56147</v>
      </c>
      <c r="I38" s="114">
        <f>INDEX(TestSummary!$A$1:$CI$394,'J1634 Calcs  no precondition'!$A38,'J1634 Calcs  no precondition'!I$5)</f>
        <v>58154</v>
      </c>
      <c r="J38" s="115">
        <f>INDEX(TestSummary!$A$1:$CI$394,'J1634 Calcs  no precondition'!$A38,'J1634 Calcs  no precondition'!J$5)</f>
        <v>11.248934999999999</v>
      </c>
      <c r="K38" s="116">
        <f>INDEX(TestSummary!$A$1:$CI$394,'J1634 Calcs  no precondition'!$A38,'J1634 Calcs  no precondition'!K$5)</f>
        <v>195.87334715381968</v>
      </c>
      <c r="L38" s="137"/>
      <c r="AC38" t="s">
        <v>55</v>
      </c>
      <c r="AD38" s="93">
        <f>X12</f>
        <v>177.64737901826948</v>
      </c>
      <c r="AE38" s="93">
        <f>X19</f>
        <v>207.10955539515624</v>
      </c>
      <c r="AF38" s="93">
        <f>X27</f>
        <v>204.69730295185187</v>
      </c>
      <c r="AG38" s="93">
        <f>X34</f>
        <v>320.17885310789728</v>
      </c>
      <c r="AH38" s="93">
        <f>X56</f>
        <v>311.17188161943665</v>
      </c>
      <c r="AI38" s="93">
        <f>X64</f>
        <v>301.93967296961279</v>
      </c>
    </row>
    <row r="39" spans="1:51" x14ac:dyDescent="0.25">
      <c r="A39" s="407">
        <f>A38+3</f>
        <v>96</v>
      </c>
      <c r="B39" s="297">
        <f>INDEX(TestSummary!$A$1:$CI$394,'J1634 Calcs  no precondition'!$A39,'J1634 Calcs  no precondition'!B$5)</f>
        <v>62009021</v>
      </c>
      <c r="C39" s="297" t="str">
        <f>INDEX(TestSummary!$A$1:$CI$394,'J1634 Calcs  no precondition'!$A39,'J1634 Calcs  no precondition'!C$5)</f>
        <v>UDDS 4, combined</v>
      </c>
      <c r="D39" s="283" t="str">
        <f>INDEX(TestSummary!$A$1:$CI$394,'J1634 Calcs  no precondition'!$A39,'J1634 Calcs  no precondition'!D$5)</f>
        <v>J1634 MCT, US06-UDDS-HWY-UDDS, in L-mode, Headlights -OFF</v>
      </c>
      <c r="E39" s="326">
        <f>INDEX(TestSummary!$A$1:$CI$394,'J1634 Calcs  no precondition'!$A39,'J1634 Calcs  no precondition'!E$5)</f>
        <v>0</v>
      </c>
      <c r="F39" s="489">
        <f>INDEX(TestSummary!$A$1:$CI$394,'J1634 Calcs  no precondition'!$A39,'J1634 Calcs  no precondition'!F$5)</f>
        <v>20.092956999999998</v>
      </c>
      <c r="G39" s="114">
        <f>INDEX(TestSummary!$A$1:$CI$394,'J1634 Calcs  no precondition'!$A39,'J1634 Calcs  no precondition'!G$5)</f>
        <v>160.87429024484419</v>
      </c>
      <c r="H39" s="114">
        <f>INDEX(TestSummary!$A$1:$CI$394,'J1634 Calcs  no precondition'!$A39,'J1634 Calcs  no precondition'!H$5)</f>
        <v>58159</v>
      </c>
      <c r="I39" s="114">
        <f>INDEX(TestSummary!$A$1:$CI$394,'J1634 Calcs  no precondition'!$A39,'J1634 Calcs  no precondition'!I$5)</f>
        <v>59354</v>
      </c>
      <c r="J39" s="115">
        <f>INDEX(TestSummary!$A$1:$CI$394,'J1634 Calcs  no precondition'!$A39,'J1634 Calcs  no precondition'!J$5)</f>
        <v>9.3018859999999997</v>
      </c>
      <c r="K39" s="116">
        <f>INDEX(TestSummary!$A$1:$CI$394,'J1634 Calcs  no precondition'!$A39,'J1634 Calcs  no precondition'!K$5)</f>
        <v>160.87429024484419</v>
      </c>
      <c r="L39" s="137"/>
      <c r="AC39" t="s">
        <v>209</v>
      </c>
      <c r="AD39" s="93">
        <f>X13</f>
        <v>155.43039427760669</v>
      </c>
      <c r="AE39" s="93">
        <f>X20</f>
        <v>173.63459623879746</v>
      </c>
      <c r="AF39" s="93">
        <f>X28</f>
        <v>172.49069952906376</v>
      </c>
      <c r="AG39" s="93">
        <f>X35</f>
        <v>238.84202855477292</v>
      </c>
      <c r="AH39" s="93">
        <f>X57</f>
        <v>236.14765718931019</v>
      </c>
      <c r="AI39" s="93">
        <f>X65</f>
        <v>228.54904041976127</v>
      </c>
    </row>
    <row r="40" spans="1:51" ht="15.75" thickBot="1" x14ac:dyDescent="0.3">
      <c r="AK40" s="514" t="s">
        <v>641</v>
      </c>
      <c r="AL40" s="514"/>
      <c r="AM40" s="514"/>
      <c r="AO40" s="514" t="s">
        <v>642</v>
      </c>
      <c r="AP40" s="514"/>
      <c r="AQ40" s="514"/>
      <c r="AS40" s="514" t="s">
        <v>643</v>
      </c>
      <c r="AT40" s="514"/>
      <c r="AU40" s="514"/>
      <c r="AW40" s="514" t="s">
        <v>644</v>
      </c>
      <c r="AX40" s="514"/>
      <c r="AY40" s="514"/>
    </row>
    <row r="41" spans="1:51" ht="16.5" thickBot="1" x14ac:dyDescent="0.3">
      <c r="B41" s="76" t="s">
        <v>669</v>
      </c>
      <c r="C41" s="109"/>
      <c r="D41" s="109"/>
      <c r="E41" s="102"/>
      <c r="F41" s="102"/>
      <c r="G41" s="109"/>
      <c r="H41" s="109"/>
      <c r="I41" s="109"/>
      <c r="J41" s="109"/>
      <c r="K41" s="109"/>
      <c r="L41" s="452"/>
      <c r="N41" s="110" t="s">
        <v>276</v>
      </c>
      <c r="O41" s="17" t="s">
        <v>291</v>
      </c>
      <c r="P41" t="s">
        <v>292</v>
      </c>
      <c r="Q41" s="111" t="s">
        <v>277</v>
      </c>
      <c r="R41" s="112"/>
      <c r="S41" s="112"/>
      <c r="T41" s="112"/>
      <c r="U41" s="112"/>
      <c r="V41" s="112"/>
      <c r="W41" s="112"/>
      <c r="X41" s="112"/>
      <c r="Y41" s="112"/>
      <c r="Z41" s="113"/>
      <c r="AC41" t="s">
        <v>663</v>
      </c>
      <c r="AD41">
        <v>79218.399999999994</v>
      </c>
      <c r="AE41">
        <v>89577</v>
      </c>
      <c r="AF41" s="406">
        <f>AD41/AE41</f>
        <v>0.88436094086651706</v>
      </c>
    </row>
    <row r="42" spans="1:51" x14ac:dyDescent="0.25">
      <c r="A42" s="407">
        <v>102</v>
      </c>
      <c r="B42" s="297">
        <f>INDEX(TestSummary!$A$1:$CI$394,'J1634 Calcs  no precondition'!$A42,'J1634 Calcs  no precondition'!B$5)</f>
        <v>62009024</v>
      </c>
      <c r="C42" s="297" t="str">
        <f>INDEX(TestSummary!$A$1:$CI$394,'J1634 Calcs  no precondition'!$A42,'J1634 Calcs  no precondition'!C$5)</f>
        <v>UDDS 1 , Combined</v>
      </c>
      <c r="D42" s="283" t="str">
        <f>INDEX(TestSummary!$A$1:$CI$394,'J1634 Calcs  no precondition'!$A42,'J1634 Calcs  no precondition'!D$5)</f>
        <v>J1634 MCT, start from full charge, UDDS-HWY-UDDS-US06, in L mode, Headlights -OFF</v>
      </c>
      <c r="E42" s="326">
        <f>INDEX(TestSummary!$A$1:$CI$394,'J1634 Calcs  no precondition'!$A42,'J1634 Calcs  no precondition'!E$5)</f>
        <v>0</v>
      </c>
      <c r="F42" s="489">
        <f>INDEX(TestSummary!$A$1:$CI$394,'J1634 Calcs  no precondition'!$A42,'J1634 Calcs  no precondition'!F$5)</f>
        <v>21.866452500000001</v>
      </c>
      <c r="G42" s="114">
        <f>INDEX(TestSummary!$A$1:$CI$394,'J1634 Calcs  no precondition'!$A42,'J1634 Calcs  no precondition'!G$5)</f>
        <v>177.82112544818389</v>
      </c>
      <c r="H42" s="114">
        <f>INDEX(TestSummary!$A$1:$CI$394,'J1634 Calcs  no precondition'!$A42,'J1634 Calcs  no precondition'!H$5)</f>
        <v>-1</v>
      </c>
      <c r="I42" s="114">
        <f>INDEX(TestSummary!$A$1:$CI$394,'J1634 Calcs  no precondition'!$A42,'J1634 Calcs  no precondition'!I$5)</f>
        <v>1318</v>
      </c>
      <c r="J42" s="115">
        <f>INDEX(TestSummary!$A$1:$CI$394,'J1634 Calcs  no precondition'!$A42,'J1634 Calcs  no precondition'!J$5)</f>
        <v>95.651042000000004</v>
      </c>
      <c r="K42" s="116">
        <f>INDEX(TestSummary!$A$1:$CI$394,'J1634 Calcs  no precondition'!$A42,'J1634 Calcs  no precondition'!K$5)</f>
        <v>177.82112544818389</v>
      </c>
      <c r="L42" s="137"/>
      <c r="N42" s="117" t="s">
        <v>667</v>
      </c>
      <c r="O42" s="138">
        <f>-TestSummary!BO122</f>
        <v>70920.900000000009</v>
      </c>
      <c r="P42" s="224">
        <f>O42</f>
        <v>70920.900000000009</v>
      </c>
      <c r="Q42" s="118" t="s">
        <v>16</v>
      </c>
      <c r="R42" s="119" t="s">
        <v>1</v>
      </c>
      <c r="S42" s="119" t="s">
        <v>383</v>
      </c>
      <c r="T42" s="120" t="s">
        <v>279</v>
      </c>
      <c r="U42" s="119" t="s">
        <v>280</v>
      </c>
      <c r="V42" s="120" t="s">
        <v>281</v>
      </c>
      <c r="W42" s="121" t="s">
        <v>673</v>
      </c>
      <c r="X42" s="122" t="s">
        <v>282</v>
      </c>
      <c r="Y42" s="121" t="s">
        <v>283</v>
      </c>
      <c r="Z42" s="123"/>
      <c r="AC42" t="s">
        <v>664</v>
      </c>
      <c r="AD42">
        <v>79764.800000000003</v>
      </c>
      <c r="AE42">
        <v>89907</v>
      </c>
      <c r="AF42" s="406">
        <f>AD42/AE42</f>
        <v>0.88719232095387457</v>
      </c>
    </row>
    <row r="43" spans="1:51" x14ac:dyDescent="0.25">
      <c r="A43" s="407">
        <f>A42+1</f>
        <v>103</v>
      </c>
      <c r="B43" s="297">
        <f>INDEX(TestSummary!$A$1:$CI$394,'J1634 Calcs  no precondition'!$A43,'J1634 Calcs  no precondition'!B$5)</f>
        <v>62009024</v>
      </c>
      <c r="C43" s="297" t="str">
        <f>INDEX(TestSummary!$A$1:$CI$394,'J1634 Calcs  no precondition'!$A43,'J1634 Calcs  no precondition'!C$5)</f>
        <v>HWY 1</v>
      </c>
      <c r="D43" s="283" t="str">
        <f>INDEX(TestSummary!$A$1:$CI$394,'J1634 Calcs  no precondition'!$A43,'J1634 Calcs  no precondition'!D$5)</f>
        <v>J1634 MCT, start from full charge, UDDS-HWY-UDDS-US06, in L mode, Headlights -OFF</v>
      </c>
      <c r="E43" s="326">
        <f>INDEX(TestSummary!$A$1:$CI$394,'J1634 Calcs  no precondition'!$A43,'J1634 Calcs  no precondition'!E$5)</f>
        <v>0</v>
      </c>
      <c r="F43" s="489">
        <f>INDEX(TestSummary!$A$1:$CI$394,'J1634 Calcs  no precondition'!$A43,'J1634 Calcs  no precondition'!F$5)</f>
        <v>24.933250000000001</v>
      </c>
      <c r="G43" s="114">
        <f>INDEX(TestSummary!$A$1:$CI$394,'J1634 Calcs  no precondition'!$A43,'J1634 Calcs  no precondition'!G$5)</f>
        <v>201.51461350114849</v>
      </c>
      <c r="H43" s="114">
        <f>INDEX(TestSummary!$A$1:$CI$394,'J1634 Calcs  no precondition'!$A43,'J1634 Calcs  no precondition'!H$5)</f>
        <v>1319</v>
      </c>
      <c r="I43" s="114">
        <f>INDEX(TestSummary!$A$1:$CI$394,'J1634 Calcs  no precondition'!$A43,'J1634 Calcs  no precondition'!I$5)</f>
        <v>3384</v>
      </c>
      <c r="J43" s="115">
        <f>INDEX(TestSummary!$A$1:$CI$394,'J1634 Calcs  no precondition'!$A43,'J1634 Calcs  no precondition'!J$5)</f>
        <v>92.889161999999999</v>
      </c>
      <c r="K43" s="116">
        <f>INDEX(TestSummary!$A$1:$CI$394,'J1634 Calcs  no precondition'!$A43,'J1634 Calcs  no precondition'!K$5)</f>
        <v>201.51461350114849</v>
      </c>
      <c r="L43" s="137"/>
      <c r="N43" s="124" t="s">
        <v>284</v>
      </c>
      <c r="O43" s="125">
        <f>TestSummary!W121-TestSummary!V100</f>
        <v>64595</v>
      </c>
      <c r="P43" s="125">
        <f>O43</f>
        <v>64595</v>
      </c>
      <c r="Q43" s="118" t="s">
        <v>285</v>
      </c>
      <c r="R43" s="119" t="s">
        <v>57</v>
      </c>
      <c r="S43" s="119">
        <v>3</v>
      </c>
      <c r="T43" s="120"/>
      <c r="U43" s="120">
        <f>(I42-H42)/O43</f>
        <v>2.0419537115875842E-2</v>
      </c>
      <c r="V43" s="120">
        <f>(1-U43)/S43</f>
        <v>0.3265268209613747</v>
      </c>
      <c r="W43" s="126">
        <f>U43*K42+(V43*K44)+(V43*K47)+(V43*K49)</f>
        <v>161.58710846424015</v>
      </c>
      <c r="X43" s="126">
        <f>P43/W43</f>
        <v>399.75342472506168</v>
      </c>
      <c r="Y43" s="127">
        <f>W43/T46</f>
        <v>177.41161329331266</v>
      </c>
      <c r="Z43" s="123"/>
      <c r="AA43" s="404"/>
    </row>
    <row r="44" spans="1:51" x14ac:dyDescent="0.25">
      <c r="A44" s="407">
        <f>A43+3</f>
        <v>106</v>
      </c>
      <c r="B44" s="297">
        <f>INDEX(TestSummary!$A$1:$CI$394,'J1634 Calcs  no precondition'!$A44,'J1634 Calcs  no precondition'!B$5)</f>
        <v>62009024</v>
      </c>
      <c r="C44" s="297" t="str">
        <f>INDEX(TestSummary!$A$1:$CI$394,'J1634 Calcs  no precondition'!$A44,'J1634 Calcs  no precondition'!C$5)</f>
        <v>UDDS 2, combined</v>
      </c>
      <c r="D44" s="283" t="str">
        <f>INDEX(TestSummary!$A$1:$CI$394,'J1634 Calcs  no precondition'!$A44,'J1634 Calcs  no precondition'!D$5)</f>
        <v>J1634 MCT, start from full charge, UDDS-HWY-UDDS-US06, in L mode, Headlights -OFF</v>
      </c>
      <c r="E44" s="326">
        <f>INDEX(TestSummary!$A$1:$CI$394,'J1634 Calcs  no precondition'!$A44,'J1634 Calcs  no precondition'!E$5)</f>
        <v>0</v>
      </c>
      <c r="F44" s="489">
        <f>INDEX(TestSummary!$A$1:$CI$394,'J1634 Calcs  no precondition'!$A44,'J1634 Calcs  no precondition'!F$5)</f>
        <v>20.159744500000002</v>
      </c>
      <c r="G44" s="114">
        <f>INDEX(TestSummary!$A$1:$CI$394,'J1634 Calcs  no precondition'!$A44,'J1634 Calcs  no precondition'!G$5)</f>
        <v>163.43883934190961</v>
      </c>
      <c r="H44" s="114">
        <f>INDEX(TestSummary!$A$1:$CI$394,'J1634 Calcs  no precondition'!$A44,'J1634 Calcs  no precondition'!H$5)</f>
        <v>3389</v>
      </c>
      <c r="I44" s="114">
        <f>INDEX(TestSummary!$A$1:$CI$394,'J1634 Calcs  no precondition'!$A44,'J1634 Calcs  no precondition'!I$5)</f>
        <v>4603</v>
      </c>
      <c r="J44" s="115">
        <f>INDEX(TestSummary!$A$1:$CI$394,'J1634 Calcs  no precondition'!$A44,'J1634 Calcs  no precondition'!J$5)</f>
        <v>91.242716000000001</v>
      </c>
      <c r="K44" s="116">
        <f>INDEX(TestSummary!$A$1:$CI$394,'J1634 Calcs  no precondition'!$A44,'J1634 Calcs  no precondition'!K$5)</f>
        <v>163.43883934190961</v>
      </c>
      <c r="L44" s="137"/>
      <c r="Q44" s="118" t="s">
        <v>285</v>
      </c>
      <c r="R44" s="119" t="s">
        <v>55</v>
      </c>
      <c r="S44" s="119">
        <v>2</v>
      </c>
      <c r="T44" s="120">
        <f>1/S44</f>
        <v>0.5</v>
      </c>
      <c r="U44" s="120"/>
      <c r="V44" s="120"/>
      <c r="W44" s="126">
        <f>T44*K43*2</f>
        <v>201.51461350114849</v>
      </c>
      <c r="X44" s="126">
        <f>P43/W44</f>
        <v>320.54747235307508</v>
      </c>
      <c r="Y44" s="127">
        <f>W44/T46</f>
        <v>221.24928791165885</v>
      </c>
      <c r="Z44" s="123"/>
      <c r="AA44" s="404"/>
    </row>
    <row r="45" spans="1:51" x14ac:dyDescent="0.25">
      <c r="A45" s="407">
        <f>A44+3</f>
        <v>109</v>
      </c>
      <c r="B45" s="297">
        <f>INDEX(TestSummary!$A$1:$CI$394,'J1634 Calcs  no precondition'!$A45,'J1634 Calcs  no precondition'!B$5)</f>
        <v>62009024</v>
      </c>
      <c r="C45" s="297" t="str">
        <f>INDEX(TestSummary!$A$1:$CI$394,'J1634 Calcs  no precondition'!$A45,'J1634 Calcs  no precondition'!C$5)</f>
        <v>US06 1, combined</v>
      </c>
      <c r="D45" s="283" t="str">
        <f>INDEX(TestSummary!$A$1:$CI$394,'J1634 Calcs  no precondition'!$A45,'J1634 Calcs  no precondition'!D$5)</f>
        <v>J1634 MCT, start from full charge, UDDS-HWY-UDDS-US06, in L mode, Headlights -OFF</v>
      </c>
      <c r="E45" s="326">
        <f>INDEX(TestSummary!$A$1:$CI$394,'J1634 Calcs  no precondition'!$A45,'J1634 Calcs  no precondition'!E$5)</f>
        <v>0</v>
      </c>
      <c r="F45" s="489">
        <f>INDEX(TestSummary!$A$1:$CI$394,'J1634 Calcs  no precondition'!$A45,'J1634 Calcs  no precondition'!F$5)</f>
        <v>25.047121000000001</v>
      </c>
      <c r="G45" s="114">
        <f>INDEX(TestSummary!$A$1:$CI$394,'J1634 Calcs  no precondition'!$A45,'J1634 Calcs  no precondition'!G$5)</f>
        <v>270.0226469295294</v>
      </c>
      <c r="H45" s="114">
        <f>INDEX(TestSummary!$A$1:$CI$394,'J1634 Calcs  no precondition'!$A45,'J1634 Calcs  no precondition'!H$5)</f>
        <v>4608</v>
      </c>
      <c r="I45" s="114">
        <f>INDEX(TestSummary!$A$1:$CI$394,'J1634 Calcs  no precondition'!$A45,'J1634 Calcs  no precondition'!I$5)</f>
        <v>6626</v>
      </c>
      <c r="J45" s="115">
        <f>INDEX(TestSummary!$A$1:$CI$394,'J1634 Calcs  no precondition'!$A45,'J1634 Calcs  no precondition'!J$5)</f>
        <v>88.485415000000003</v>
      </c>
      <c r="K45" s="116">
        <f>INDEX(TestSummary!$A$1:$CI$394,'J1634 Calcs  no precondition'!$A45,'J1634 Calcs  no precondition'!K$5)</f>
        <v>270.0226469295294</v>
      </c>
      <c r="L45" s="137"/>
      <c r="N45" s="124" t="s">
        <v>640</v>
      </c>
      <c r="O45" s="125">
        <f>O43</f>
        <v>64595</v>
      </c>
      <c r="P45" s="125">
        <f>O43</f>
        <v>64595</v>
      </c>
      <c r="Q45" s="118" t="s">
        <v>285</v>
      </c>
      <c r="R45" s="119" t="s">
        <v>209</v>
      </c>
      <c r="S45" s="119">
        <v>2</v>
      </c>
      <c r="T45" s="120">
        <f>1/S45</f>
        <v>0.5</v>
      </c>
      <c r="U45" s="120"/>
      <c r="V45" s="120"/>
      <c r="W45" s="126">
        <f>T45*K45*2</f>
        <v>270.0226469295294</v>
      </c>
      <c r="X45" s="126">
        <f>P43/W45</f>
        <v>239.22067550451806</v>
      </c>
      <c r="Y45" s="127">
        <f>W45/T46</f>
        <v>296.4664314672105</v>
      </c>
      <c r="Z45" s="123"/>
      <c r="AA45" s="404"/>
    </row>
    <row r="46" spans="1:51" ht="15.75" thickBot="1" x14ac:dyDescent="0.3">
      <c r="A46" s="407">
        <f>A45+4</f>
        <v>113</v>
      </c>
      <c r="B46" s="297">
        <f>INDEX(TestSummary!$A$1:$CI$394,'J1634 Calcs  no precondition'!$A46,'J1634 Calcs  no precondition'!B$5)</f>
        <v>62009026</v>
      </c>
      <c r="C46" s="297" t="str">
        <f>INDEX(TestSummary!$A$1:$CI$394,'J1634 Calcs  no precondition'!$A46,'J1634 Calcs  no precondition'!C$5)</f>
        <v>US06 2, combined</v>
      </c>
      <c r="D46" s="283" t="str">
        <f>INDEX(TestSummary!$A$1:$CI$394,'J1634 Calcs  no precondition'!$A46,'J1634 Calcs  no precondition'!D$5)</f>
        <v xml:space="preserve">J1634 MCT, US06-UDDS-HWY-UDDS, in L-mode, Headlights-OFF. </v>
      </c>
      <c r="E46" s="326">
        <f>INDEX(TestSummary!$A$1:$CI$394,'J1634 Calcs  no precondition'!$A46,'J1634 Calcs  no precondition'!E$5)</f>
        <v>0</v>
      </c>
      <c r="F46" s="489">
        <f>INDEX(TestSummary!$A$1:$CI$394,'J1634 Calcs  no precondition'!$A46,'J1634 Calcs  no precondition'!F$5)</f>
        <v>24.079560999999998</v>
      </c>
      <c r="G46" s="114">
        <f>INDEX(TestSummary!$A$1:$CI$394,'J1634 Calcs  no precondition'!$A46,'J1634 Calcs  no precondition'!G$5)</f>
        <v>268.2596518702909</v>
      </c>
      <c r="H46" s="114">
        <f>INDEX(TestSummary!$A$1:$CI$394,'J1634 Calcs  no precondition'!$A46,'J1634 Calcs  no precondition'!H$5)</f>
        <v>52658</v>
      </c>
      <c r="I46" s="114">
        <f>INDEX(TestSummary!$A$1:$CI$394,'J1634 Calcs  no precondition'!$A46,'J1634 Calcs  no precondition'!I$5)</f>
        <v>54663</v>
      </c>
      <c r="J46" s="115">
        <f>INDEX(TestSummary!$A$1:$CI$394,'J1634 Calcs  no precondition'!$A46,'J1634 Calcs  no precondition'!J$5)</f>
        <v>17.010732999999998</v>
      </c>
      <c r="K46" s="116">
        <f>INDEX(TestSummary!$A$1:$CI$394,'J1634 Calcs  no precondition'!$A46,'J1634 Calcs  no precondition'!K$5)</f>
        <v>268.2596518702909</v>
      </c>
      <c r="L46" s="137"/>
      <c r="Q46" s="128" t="s">
        <v>285</v>
      </c>
      <c r="R46" s="129" t="s">
        <v>288</v>
      </c>
      <c r="S46" s="129"/>
      <c r="T46" s="233">
        <f>O43/O42</f>
        <v>0.91080344440073369</v>
      </c>
      <c r="U46" s="130"/>
      <c r="V46" s="130"/>
      <c r="W46" s="131" t="s">
        <v>272</v>
      </c>
      <c r="X46" s="131" t="s">
        <v>289</v>
      </c>
      <c r="Y46" s="132" t="s">
        <v>287</v>
      </c>
      <c r="Z46" s="133"/>
    </row>
    <row r="47" spans="1:51" x14ac:dyDescent="0.25">
      <c r="A47" s="407">
        <f>A46+3</f>
        <v>116</v>
      </c>
      <c r="B47" s="297">
        <f>INDEX(TestSummary!$A$1:$CI$394,'J1634 Calcs  no precondition'!$A47,'J1634 Calcs  no precondition'!B$5)</f>
        <v>62009026</v>
      </c>
      <c r="C47" s="297" t="str">
        <f>INDEX(TestSummary!$A$1:$CI$394,'J1634 Calcs  no precondition'!$A47,'J1634 Calcs  no precondition'!C$5)</f>
        <v>UDDS 3, combined</v>
      </c>
      <c r="D47" s="283" t="str">
        <f>INDEX(TestSummary!$A$1:$CI$394,'J1634 Calcs  no precondition'!$A47,'J1634 Calcs  no precondition'!D$5)</f>
        <v xml:space="preserve">J1634 MCT, US06-UDDS-HWY-UDDS, in L-mode, Headlights-OFF. </v>
      </c>
      <c r="E47" s="326">
        <f>INDEX(TestSummary!$A$1:$CI$394,'J1634 Calcs  no precondition'!$A47,'J1634 Calcs  no precondition'!E$5)</f>
        <v>0</v>
      </c>
      <c r="F47" s="489">
        <f>INDEX(TestSummary!$A$1:$CI$394,'J1634 Calcs  no precondition'!$A47,'J1634 Calcs  no precondition'!F$5)</f>
        <v>20.7152955</v>
      </c>
      <c r="G47" s="114">
        <f>INDEX(TestSummary!$A$1:$CI$394,'J1634 Calcs  no precondition'!$A47,'J1634 Calcs  no precondition'!G$5)</f>
        <v>159.42914734866898</v>
      </c>
      <c r="H47" s="114">
        <f>INDEX(TestSummary!$A$1:$CI$394,'J1634 Calcs  no precondition'!$A47,'J1634 Calcs  no precondition'!H$5)</f>
        <v>54810</v>
      </c>
      <c r="I47" s="114">
        <f>INDEX(TestSummary!$A$1:$CI$394,'J1634 Calcs  no precondition'!$A47,'J1634 Calcs  no precondition'!I$5)</f>
        <v>55994</v>
      </c>
      <c r="J47" s="115">
        <f>INDEX(TestSummary!$A$1:$CI$394,'J1634 Calcs  no precondition'!$A47,'J1634 Calcs  no precondition'!J$5)</f>
        <v>16.778796</v>
      </c>
      <c r="K47" s="116">
        <f>INDEX(TestSummary!$A$1:$CI$394,'J1634 Calcs  no precondition'!$A47,'J1634 Calcs  no precondition'!K$5)</f>
        <v>159.42914734866898</v>
      </c>
      <c r="L47" s="137"/>
    </row>
    <row r="48" spans="1:51" x14ac:dyDescent="0.25">
      <c r="A48" s="407">
        <f>A47+1</f>
        <v>117</v>
      </c>
      <c r="B48" s="297">
        <f>INDEX(TestSummary!$A$1:$CI$394,'J1634 Calcs  no precondition'!$A48,'J1634 Calcs  no precondition'!B$5)</f>
        <v>62009026</v>
      </c>
      <c r="C48" s="297" t="str">
        <f>INDEX(TestSummary!$A$1:$CI$394,'J1634 Calcs  no precondition'!$A48,'J1634 Calcs  no precondition'!C$5)</f>
        <v>HWY</v>
      </c>
      <c r="D48" s="283" t="str">
        <f>INDEX(TestSummary!$A$1:$CI$394,'J1634 Calcs  no precondition'!$A48,'J1634 Calcs  no precondition'!D$5)</f>
        <v xml:space="preserve">J1634 MCT, US06-UDDS-HWY-UDDS, in L-mode, Headlights-OFF. </v>
      </c>
      <c r="E48" s="326">
        <f>INDEX(TestSummary!$A$1:$CI$394,'J1634 Calcs  no precondition'!$A48,'J1634 Calcs  no precondition'!E$5)</f>
        <v>0</v>
      </c>
      <c r="F48" s="489">
        <f>INDEX(TestSummary!$A$1:$CI$394,'J1634 Calcs  no precondition'!$A48,'J1634 Calcs  no precondition'!F$5)</f>
        <v>25.616880999999999</v>
      </c>
      <c r="G48" s="114">
        <f>INDEX(TestSummary!$A$1:$CI$394,'J1634 Calcs  no precondition'!$A48,'J1634 Calcs  no precondition'!G$5)</f>
        <v>195.56842171098774</v>
      </c>
      <c r="H48" s="114">
        <f>INDEX(TestSummary!$A$1:$CI$394,'J1634 Calcs  no precondition'!$A48,'J1634 Calcs  no precondition'!H$5)</f>
        <v>55995</v>
      </c>
      <c r="I48" s="114">
        <f>INDEX(TestSummary!$A$1:$CI$394,'J1634 Calcs  no precondition'!$A48,'J1634 Calcs  no precondition'!I$5)</f>
        <v>57999</v>
      </c>
      <c r="J48" s="115">
        <f>INDEX(TestSummary!$A$1:$CI$394,'J1634 Calcs  no precondition'!$A48,'J1634 Calcs  no precondition'!J$5)</f>
        <v>16.778796</v>
      </c>
      <c r="K48" s="116">
        <f>INDEX(TestSummary!$A$1:$CI$394,'J1634 Calcs  no precondition'!$A48,'J1634 Calcs  no precondition'!K$5)</f>
        <v>195.56842171098774</v>
      </c>
      <c r="L48" s="137"/>
    </row>
    <row r="49" spans="1:59" x14ac:dyDescent="0.25">
      <c r="A49" s="407">
        <f>A48+3</f>
        <v>120</v>
      </c>
      <c r="B49" s="297">
        <f>INDEX(TestSummary!$A$1:$CI$394,'J1634 Calcs  no precondition'!$A49,'J1634 Calcs  no precondition'!B$5)</f>
        <v>62009026</v>
      </c>
      <c r="C49" s="297" t="str">
        <f>INDEX(TestSummary!$A$1:$CI$394,'J1634 Calcs  no precondition'!$A49,'J1634 Calcs  no precondition'!C$5)</f>
        <v>UDDS 4, combined</v>
      </c>
      <c r="D49" s="283" t="str">
        <f>INDEX(TestSummary!$A$1:$CI$394,'J1634 Calcs  no precondition'!$A49,'J1634 Calcs  no precondition'!D$5)</f>
        <v xml:space="preserve">J1634 MCT, US06-UDDS-HWY-UDDS, in L-mode, Headlights-OFF. </v>
      </c>
      <c r="E49" s="326">
        <f>INDEX(TestSummary!$A$1:$CI$394,'J1634 Calcs  no precondition'!$A49,'J1634 Calcs  no precondition'!E$5)</f>
        <v>0</v>
      </c>
      <c r="F49" s="489">
        <f>INDEX(TestSummary!$A$1:$CI$394,'J1634 Calcs  no precondition'!$A49,'J1634 Calcs  no precondition'!F$5)</f>
        <v>20.012726499999999</v>
      </c>
      <c r="G49" s="114">
        <f>INDEX(TestSummary!$A$1:$CI$394,'J1634 Calcs  no precondition'!$A49,'J1634 Calcs  no precondition'!G$5)</f>
        <v>160.87813538326165</v>
      </c>
      <c r="H49" s="114">
        <f>INDEX(TestSummary!$A$1:$CI$394,'J1634 Calcs  no precondition'!$A49,'J1634 Calcs  no precondition'!H$5)</f>
        <v>58002</v>
      </c>
      <c r="I49" s="114">
        <f>INDEX(TestSummary!$A$1:$CI$394,'J1634 Calcs  no precondition'!$A49,'J1634 Calcs  no precondition'!I$5)</f>
        <v>59197</v>
      </c>
      <c r="J49" s="115">
        <f>INDEX(TestSummary!$A$1:$CI$394,'J1634 Calcs  no precondition'!$A49,'J1634 Calcs  no precondition'!J$5)</f>
        <v>16.778796</v>
      </c>
      <c r="K49" s="116">
        <f>INDEX(TestSummary!$A$1:$CI$394,'J1634 Calcs  no precondition'!$A49,'J1634 Calcs  no precondition'!K$5)</f>
        <v>160.87813538326165</v>
      </c>
      <c r="L49" s="137"/>
    </row>
    <row r="50" spans="1:59" x14ac:dyDescent="0.25">
      <c r="B50" s="304"/>
      <c r="C50" s="304"/>
      <c r="D50" s="15"/>
      <c r="E50" s="101"/>
      <c r="F50" s="101"/>
      <c r="G50" s="409"/>
      <c r="H50" s="409"/>
      <c r="I50" s="409"/>
      <c r="J50" s="312"/>
      <c r="K50" s="409"/>
      <c r="L50" s="409"/>
    </row>
    <row r="51" spans="1:59" x14ac:dyDescent="0.25">
      <c r="B51" s="304"/>
      <c r="C51" s="304"/>
      <c r="D51" s="15"/>
      <c r="E51" s="101"/>
      <c r="F51" s="101"/>
      <c r="G51" s="409"/>
      <c r="H51" s="409"/>
      <c r="I51" s="409"/>
      <c r="J51" s="312"/>
      <c r="K51" s="409"/>
      <c r="L51" s="409"/>
    </row>
    <row r="52" spans="1:59" ht="16.5" thickBot="1" x14ac:dyDescent="0.3">
      <c r="B52" s="76" t="s">
        <v>645</v>
      </c>
      <c r="C52" s="109"/>
      <c r="D52" s="109"/>
      <c r="E52" s="102"/>
      <c r="F52" s="102"/>
      <c r="G52" s="109"/>
      <c r="H52" s="109"/>
      <c r="I52" s="109"/>
      <c r="J52" s="109"/>
      <c r="K52" s="109"/>
      <c r="L52" s="452"/>
      <c r="AC52" t="s">
        <v>382</v>
      </c>
      <c r="AK52" t="s">
        <v>646</v>
      </c>
      <c r="AL52" t="s">
        <v>647</v>
      </c>
      <c r="AM52" t="s">
        <v>648</v>
      </c>
      <c r="AO52" t="s">
        <v>646</v>
      </c>
      <c r="AP52" t="s">
        <v>647</v>
      </c>
      <c r="AQ52" t="s">
        <v>648</v>
      </c>
      <c r="AS52" t="s">
        <v>646</v>
      </c>
      <c r="AT52" t="s">
        <v>647</v>
      </c>
      <c r="AU52" t="s">
        <v>648</v>
      </c>
      <c r="AW52" t="s">
        <v>646</v>
      </c>
      <c r="AX52" t="s">
        <v>647</v>
      </c>
      <c r="AY52" t="s">
        <v>648</v>
      </c>
      <c r="BC52" t="s">
        <v>649</v>
      </c>
      <c r="BD52" t="s">
        <v>650</v>
      </c>
      <c r="BF52" t="s">
        <v>561</v>
      </c>
      <c r="BG52" t="s">
        <v>204</v>
      </c>
    </row>
    <row r="53" spans="1:59" ht="15.75" thickBot="1" x14ac:dyDescent="0.3">
      <c r="A53" s="407">
        <v>190</v>
      </c>
      <c r="B53" s="297">
        <f>INDEX(TestSummary!$A$1:$CI$394,'J1634 Calcs  no precondition'!$A53,'J1634 Calcs  no precondition'!B$5)</f>
        <v>62009040</v>
      </c>
      <c r="C53" s="297" t="str">
        <f>INDEX(TestSummary!$A$1:$CI$394,'J1634 Calcs  no precondition'!$A53,'J1634 Calcs  no precondition'!C$5)</f>
        <v>UDDS 1 , Combined</v>
      </c>
      <c r="D53" s="283" t="str">
        <f>INDEX(TestSummary!$A$1:$CI$394,'J1634 Calcs  no precondition'!$A53,'J1634 Calcs  no precondition'!D$5)</f>
        <v xml:space="preserve">J1634 MCT in hot test cell (95°F) with solar @ 850 W/m^2.  HVAC Auto-72°F, Solar light on 30 minutes prior to test start, UDDS-HWY-UDDS (pulled wrong test file, should have US06 as well) </v>
      </c>
      <c r="E53" s="326">
        <f>INDEX(TestSummary!$A$1:$CI$394,'J1634 Calcs  no precondition'!$A53,'J1634 Calcs  no precondition'!E$5)</f>
        <v>0</v>
      </c>
      <c r="F53" s="489">
        <f>INDEX(TestSummary!$A$1:$CI$394,'J1634 Calcs  no precondition'!$A53,'J1634 Calcs  no precondition'!F$5)</f>
        <v>35.096563500000002</v>
      </c>
      <c r="G53" s="114">
        <f>INDEX(TestSummary!$A$1:$CI$394,'J1634 Calcs  no precondition'!$A53,'J1634 Calcs  no precondition'!G$5)</f>
        <v>222.81597643414426</v>
      </c>
      <c r="H53" s="114">
        <f>INDEX(TestSummary!$A$1:$CI$394,'J1634 Calcs  no precondition'!$A53,'J1634 Calcs  no precondition'!H$5)</f>
        <v>34242</v>
      </c>
      <c r="I53" s="114">
        <f>INDEX(TestSummary!$A$1:$CI$394,'J1634 Calcs  no precondition'!$A53,'J1634 Calcs  no precondition'!I$5)</f>
        <v>35901</v>
      </c>
      <c r="J53" s="115">
        <f>INDEX(TestSummary!$A$1:$CI$394,'J1634 Calcs  no precondition'!$A53,'J1634 Calcs  no precondition'!J$5)</f>
        <v>94.973541999999995</v>
      </c>
      <c r="K53" s="116">
        <f>INDEX(TestSummary!$A$1:$CI$394,'J1634 Calcs  no precondition'!$A53,'J1634 Calcs  no precondition'!K$5)</f>
        <v>222.81597643414426</v>
      </c>
      <c r="L53" s="137"/>
      <c r="N53" s="110" t="s">
        <v>276</v>
      </c>
      <c r="O53" s="17" t="s">
        <v>291</v>
      </c>
      <c r="P53" t="s">
        <v>292</v>
      </c>
      <c r="Q53" s="111" t="s">
        <v>277</v>
      </c>
      <c r="R53" s="112"/>
      <c r="S53" s="112"/>
      <c r="T53" s="112"/>
      <c r="U53" s="112"/>
      <c r="V53" s="112"/>
      <c r="W53" s="112"/>
      <c r="X53" s="112"/>
      <c r="Y53" s="112"/>
      <c r="Z53" s="113"/>
      <c r="AC53" t="s">
        <v>57</v>
      </c>
      <c r="AD53" s="134">
        <f t="shared" ref="AD53:AE55" si="5">(AD37/$AG37)</f>
        <v>0.37570670408357559</v>
      </c>
      <c r="AE53" s="134">
        <f t="shared" si="5"/>
        <v>0.47038485532429986</v>
      </c>
      <c r="AF53" s="134"/>
      <c r="AG53" s="134">
        <f>(AG37/$AG37)</f>
        <v>1</v>
      </c>
      <c r="AH53" s="134">
        <f>(AH37/$AG37)</f>
        <v>0.8177260031880107</v>
      </c>
      <c r="AJ53" t="s">
        <v>651</v>
      </c>
      <c r="AK53">
        <v>1489.4</v>
      </c>
      <c r="AL53">
        <v>7.4589999999999996</v>
      </c>
      <c r="AM53">
        <f t="shared" ref="AM53:AM58" si="6">AK53/AL53</f>
        <v>199.67824105107925</v>
      </c>
      <c r="AO53">
        <v>1353</v>
      </c>
      <c r="AP53">
        <v>7.4550000000000001</v>
      </c>
      <c r="AQ53">
        <f t="shared" ref="AQ53:AQ58" si="7">AO53/AP53</f>
        <v>181.48893360160966</v>
      </c>
      <c r="AS53" s="33">
        <f>I32</f>
        <v>1284</v>
      </c>
      <c r="AT53" s="404">
        <f>J32</f>
        <v>95.678507999999994</v>
      </c>
      <c r="AU53">
        <f t="shared" ref="AU53:AU58" si="8">AS53/AT53</f>
        <v>13.419941707284984</v>
      </c>
      <c r="AW53" s="33">
        <f>I42</f>
        <v>1318</v>
      </c>
      <c r="AX53" s="33">
        <f>J42</f>
        <v>95.651042000000004</v>
      </c>
      <c r="AY53">
        <f t="shared" ref="AY53:AY58" si="9">AW53/AX53</f>
        <v>13.779253967771725</v>
      </c>
      <c r="BC53" s="405">
        <f t="shared" ref="BC53:BC58" si="10">(AU53-AM53)/AM53</f>
        <v>-0.93279216785642638</v>
      </c>
      <c r="BD53" s="405">
        <f t="shared" ref="BD53:BD58" si="11">(AU53-AQ53)/AQ53</f>
        <v>-0.92605641875254285</v>
      </c>
      <c r="BE53" t="s">
        <v>57</v>
      </c>
      <c r="BF53">
        <v>455.32</v>
      </c>
    </row>
    <row r="54" spans="1:59" x14ac:dyDescent="0.25">
      <c r="A54" s="407">
        <f>A53+1</f>
        <v>191</v>
      </c>
      <c r="B54" s="297">
        <f>INDEX(TestSummary!$A$1:$CI$394,'J1634 Calcs  no precondition'!$A54,'J1634 Calcs  no precondition'!B$5)</f>
        <v>62009040</v>
      </c>
      <c r="C54" s="297" t="str">
        <f>INDEX(TestSummary!$A$1:$CI$394,'J1634 Calcs  no precondition'!$A54,'J1634 Calcs  no precondition'!C$5)</f>
        <v>HWY 1</v>
      </c>
      <c r="D54" s="283" t="str">
        <f>INDEX(TestSummary!$A$1:$CI$394,'J1634 Calcs  no precondition'!$A54,'J1634 Calcs  no precondition'!D$5)</f>
        <v xml:space="preserve">J1634 MCT in hot test cell (95°F) with solar @ 850 W/m^2.  HVAC Auto-72°F, Solar light on 30 minutes prior to test start, UDDS-HWY-UDDS (pulled wrong test file, should have US06 as well) </v>
      </c>
      <c r="E54" s="326">
        <f>INDEX(TestSummary!$A$1:$CI$394,'J1634 Calcs  no precondition'!$A54,'J1634 Calcs  no precondition'!E$5)</f>
        <v>0</v>
      </c>
      <c r="F54" s="489">
        <f>INDEX(TestSummary!$A$1:$CI$394,'J1634 Calcs  no precondition'!$A54,'J1634 Calcs  no precondition'!F$5)</f>
        <v>37.816772999999998</v>
      </c>
      <c r="G54" s="114">
        <f>INDEX(TestSummary!$A$1:$CI$394,'J1634 Calcs  no precondition'!$A54,'J1634 Calcs  no precondition'!G$5)</f>
        <v>207.24880302286215</v>
      </c>
      <c r="H54" s="114">
        <f>INDEX(TestSummary!$A$1:$CI$394,'J1634 Calcs  no precondition'!$A54,'J1634 Calcs  no precondition'!H$5)</f>
        <v>35906</v>
      </c>
      <c r="I54" s="114">
        <f>INDEX(TestSummary!$A$1:$CI$394,'J1634 Calcs  no precondition'!$A54,'J1634 Calcs  no precondition'!I$5)</f>
        <v>38036</v>
      </c>
      <c r="J54" s="115">
        <f>INDEX(TestSummary!$A$1:$CI$394,'J1634 Calcs  no precondition'!$A54,'J1634 Calcs  no precondition'!J$5)</f>
        <v>92.095693999999995</v>
      </c>
      <c r="K54" s="116">
        <f>INDEX(TestSummary!$A$1:$CI$394,'J1634 Calcs  no precondition'!$A54,'J1634 Calcs  no precondition'!K$5)</f>
        <v>207.24880302286215</v>
      </c>
      <c r="L54" s="137"/>
      <c r="N54" s="117" t="s">
        <v>667</v>
      </c>
      <c r="O54" s="138">
        <f>-TestSummary!BO210</f>
        <v>74183.7</v>
      </c>
      <c r="P54" s="224">
        <f>$O$32</f>
        <v>70871.060981000002</v>
      </c>
      <c r="Q54" s="118" t="s">
        <v>16</v>
      </c>
      <c r="R54" s="119" t="s">
        <v>1</v>
      </c>
      <c r="S54" s="119" t="s">
        <v>383</v>
      </c>
      <c r="T54" s="120" t="s">
        <v>279</v>
      </c>
      <c r="U54" s="119" t="s">
        <v>280</v>
      </c>
      <c r="V54" s="120" t="s">
        <v>281</v>
      </c>
      <c r="W54" s="121" t="s">
        <v>673</v>
      </c>
      <c r="X54" s="122" t="s">
        <v>282</v>
      </c>
      <c r="Y54" s="121" t="s">
        <v>283</v>
      </c>
      <c r="Z54" s="123"/>
      <c r="AC54" t="s">
        <v>55</v>
      </c>
      <c r="AD54" s="134">
        <f t="shared" si="5"/>
        <v>0.55483795164449534</v>
      </c>
      <c r="AE54" s="134">
        <f t="shared" si="5"/>
        <v>0.64685582256540297</v>
      </c>
      <c r="AF54" s="134"/>
      <c r="AG54" s="134">
        <f>(AG38/$AG37)</f>
        <v>0.80393414649000483</v>
      </c>
      <c r="AH54" s="134">
        <f>(AH38/$AG38)</f>
        <v>0.97186893699870502</v>
      </c>
      <c r="AJ54" t="s">
        <v>652</v>
      </c>
      <c r="AK54">
        <v>1326.1</v>
      </c>
      <c r="AL54">
        <v>7.4530000000000003</v>
      </c>
      <c r="AM54">
        <f t="shared" si="6"/>
        <v>177.92835099959746</v>
      </c>
      <c r="AO54">
        <v>1269</v>
      </c>
      <c r="AP54">
        <v>7.4589999999999996</v>
      </c>
      <c r="AQ54">
        <f t="shared" si="7"/>
        <v>170.13004424185547</v>
      </c>
      <c r="AS54" s="26">
        <f>I34</f>
        <v>4574</v>
      </c>
      <c r="AT54" s="404">
        <f>J34</f>
        <v>91.265604999999994</v>
      </c>
      <c r="AU54">
        <f t="shared" si="8"/>
        <v>50.117456625636791</v>
      </c>
      <c r="AW54" s="26">
        <f>I44</f>
        <v>4603</v>
      </c>
      <c r="AX54" s="26">
        <f>J44</f>
        <v>91.242716000000001</v>
      </c>
      <c r="AY54">
        <f t="shared" si="9"/>
        <v>50.447862599793716</v>
      </c>
      <c r="BC54" s="405">
        <f t="shared" si="10"/>
        <v>-0.71832787555171473</v>
      </c>
      <c r="BD54" s="405">
        <f t="shared" si="11"/>
        <v>-0.70541677780092604</v>
      </c>
      <c r="BF54">
        <v>422.7</v>
      </c>
    </row>
    <row r="55" spans="1:59" x14ac:dyDescent="0.25">
      <c r="A55" s="407">
        <f>A54+3</f>
        <v>194</v>
      </c>
      <c r="B55" s="297">
        <f>INDEX(TestSummary!$A$1:$CI$394,'J1634 Calcs  no precondition'!$A55,'J1634 Calcs  no precondition'!B$5)</f>
        <v>62009040</v>
      </c>
      <c r="C55" s="297" t="str">
        <f>INDEX(TestSummary!$A$1:$CI$394,'J1634 Calcs  no precondition'!$A55,'J1634 Calcs  no precondition'!C$5)</f>
        <v>UDDS 2, combined</v>
      </c>
      <c r="D55" s="283" t="str">
        <f>INDEX(TestSummary!$A$1:$CI$394,'J1634 Calcs  no precondition'!$A55,'J1634 Calcs  no precondition'!D$5)</f>
        <v xml:space="preserve">J1634 MCT in hot test cell (95°F) with solar @ 850 W/m^2.  HVAC Auto-72°F, Solar light on 30 minutes prior to test start, UDDS-HWY-UDDS (pulled wrong test file, should have US06 as well) </v>
      </c>
      <c r="E55" s="326">
        <f>INDEX(TestSummary!$A$1:$CI$394,'J1634 Calcs  no precondition'!$A55,'J1634 Calcs  no precondition'!E$5)</f>
        <v>0</v>
      </c>
      <c r="F55" s="489">
        <f>INDEX(TestSummary!$A$1:$CI$394,'J1634 Calcs  no precondition'!$A55,'J1634 Calcs  no precondition'!F$5)</f>
        <v>33.284959000000001</v>
      </c>
      <c r="G55" s="114">
        <f>INDEX(TestSummary!$A$1:$CI$394,'J1634 Calcs  no precondition'!$A55,'J1634 Calcs  no precondition'!G$5)</f>
        <v>197.36417977936662</v>
      </c>
      <c r="H55" s="114">
        <f>INDEX(TestSummary!$A$1:$CI$394,'J1634 Calcs  no precondition'!$A55,'J1634 Calcs  no precondition'!H$5)</f>
        <v>38044.435854000003</v>
      </c>
      <c r="I55" s="114">
        <f>INDEX(TestSummary!$A$1:$CI$394,'J1634 Calcs  no precondition'!$A55,'J1634 Calcs  no precondition'!I$5)</f>
        <v>39514</v>
      </c>
      <c r="J55" s="115">
        <f>INDEX(TestSummary!$A$1:$CI$394,'J1634 Calcs  no precondition'!$A55,'J1634 Calcs  no precondition'!J$5)</f>
        <v>90.128809000000004</v>
      </c>
      <c r="K55" s="116">
        <f>INDEX(TestSummary!$A$1:$CI$394,'J1634 Calcs  no precondition'!$A55,'J1634 Calcs  no precondition'!K$5)</f>
        <v>197.36417977936662</v>
      </c>
      <c r="L55" s="137"/>
      <c r="N55" s="124" t="s">
        <v>284</v>
      </c>
      <c r="O55" s="125">
        <f>TestSummary!W209-TestSummary!V188</f>
        <v>64235</v>
      </c>
      <c r="P55" s="125">
        <f>$O$33</f>
        <v>64490</v>
      </c>
      <c r="Q55" s="118" t="s">
        <v>285</v>
      </c>
      <c r="R55" s="119" t="s">
        <v>57</v>
      </c>
      <c r="S55" s="119">
        <v>3</v>
      </c>
      <c r="T55" s="120"/>
      <c r="U55" s="120">
        <f>(I53-H53)/O55</f>
        <v>2.5827041332606833E-2</v>
      </c>
      <c r="V55" s="120">
        <f>(1-U55)/S55</f>
        <v>0.32472431955579772</v>
      </c>
      <c r="W55" s="126">
        <f>U55*K53+V55*K55*3</f>
        <v>198.02152438355867</v>
      </c>
      <c r="X55" s="126">
        <f>P55/W55</f>
        <v>325.67166726323046</v>
      </c>
      <c r="Y55" s="127">
        <f>W55/T58</f>
        <v>228.69104628960224</v>
      </c>
      <c r="Z55" s="123"/>
      <c r="AC55" t="s">
        <v>209</v>
      </c>
      <c r="AD55" s="134">
        <f t="shared" si="5"/>
        <v>0.65076651382552764</v>
      </c>
      <c r="AE55" s="134">
        <f t="shared" si="5"/>
        <v>0.72698510094498869</v>
      </c>
      <c r="AF55" s="134"/>
      <c r="AG55" s="134">
        <f>(AG39/$AG38)</f>
        <v>0.74596440781891793</v>
      </c>
      <c r="AH55" s="134">
        <f>(AH39/$AG39)</f>
        <v>0.9887190232733899</v>
      </c>
      <c r="AJ55" t="s">
        <v>653</v>
      </c>
      <c r="AK55">
        <v>1271.5</v>
      </c>
      <c r="AL55">
        <v>7.4669999999999996</v>
      </c>
      <c r="AM55">
        <f t="shared" si="6"/>
        <v>170.28257667068436</v>
      </c>
      <c r="AO55">
        <v>1252</v>
      </c>
      <c r="AP55">
        <v>7.4429999999999996</v>
      </c>
      <c r="AQ55">
        <f t="shared" si="7"/>
        <v>168.21174257691791</v>
      </c>
      <c r="AS55" s="33">
        <f>I37</f>
        <v>56146</v>
      </c>
      <c r="AT55" s="404">
        <f>J37</f>
        <v>14.483843</v>
      </c>
      <c r="AU55">
        <f t="shared" si="8"/>
        <v>3876.4573739165771</v>
      </c>
      <c r="AW55" s="33">
        <f>I47</f>
        <v>55994</v>
      </c>
      <c r="AX55" s="33">
        <f>J47</f>
        <v>16.778796</v>
      </c>
      <c r="AY55">
        <f t="shared" si="9"/>
        <v>3337.1881987241518</v>
      </c>
      <c r="BC55" s="405">
        <f t="shared" si="10"/>
        <v>21.764850342929673</v>
      </c>
      <c r="BD55" s="405">
        <f t="shared" si="11"/>
        <v>22.045105618259651</v>
      </c>
    </row>
    <row r="56" spans="1:59" x14ac:dyDescent="0.25">
      <c r="A56" s="407">
        <f>A55+3</f>
        <v>197</v>
      </c>
      <c r="B56" s="297">
        <f>INDEX(TestSummary!$A$1:$CI$394,'J1634 Calcs  no precondition'!$A56,'J1634 Calcs  no precondition'!B$5)</f>
        <v>62009041</v>
      </c>
      <c r="C56" s="297" t="str">
        <f>INDEX(TestSummary!$A$1:$CI$394,'J1634 Calcs  no precondition'!$A56,'J1634 Calcs  no precondition'!C$5)</f>
        <v>US06 1, combined</v>
      </c>
      <c r="D56" s="283" t="str">
        <f>INDEX(TestSummary!$A$1:$CI$394,'J1634 Calcs  no precondition'!$A56,'J1634 Calcs  no precondition'!D$5)</f>
        <v>J1634 MCT in hot test cell (95°F) with solar @ 850 W/m^2.  HVAC Auto-72°F, Solar light on 30 minutes prior to test start, US06, 2 bag to complete first half cycles</v>
      </c>
      <c r="E56" s="326">
        <f>INDEX(TestSummary!$A$1:$CI$394,'J1634 Calcs  no precondition'!$A56,'J1634 Calcs  no precondition'!E$5)</f>
        <v>0</v>
      </c>
      <c r="F56" s="489">
        <f>INDEX(TestSummary!$A$1:$CI$394,'J1634 Calcs  no precondition'!$A56,'J1634 Calcs  no precondition'!F$5)</f>
        <v>38.357382999999999</v>
      </c>
      <c r="G56" s="114">
        <f>INDEX(TestSummary!$A$1:$CI$394,'J1634 Calcs  no precondition'!$A56,'J1634 Calcs  no precondition'!G$5)</f>
        <v>273.09184756510598</v>
      </c>
      <c r="H56" s="114">
        <f>INDEX(TestSummary!$A$1:$CI$394,'J1634 Calcs  no precondition'!$A56,'J1634 Calcs  no precondition'!H$5)</f>
        <v>39572</v>
      </c>
      <c r="I56" s="114">
        <f>INDEX(TestSummary!$A$1:$CI$394,'J1634 Calcs  no precondition'!$A56,'J1634 Calcs  no precondition'!I$5)</f>
        <v>41600</v>
      </c>
      <c r="J56" s="115">
        <f>INDEX(TestSummary!$A$1:$CI$394,'J1634 Calcs  no precondition'!$A56,'J1634 Calcs  no precondition'!J$5)</f>
        <v>87.289108999999996</v>
      </c>
      <c r="K56" s="116">
        <f>INDEX(TestSummary!$A$1:$CI$394,'J1634 Calcs  no precondition'!$A56,'J1634 Calcs  no precondition'!K$5)</f>
        <v>273.09184756510598</v>
      </c>
      <c r="L56" s="137"/>
      <c r="Q56" s="118" t="s">
        <v>285</v>
      </c>
      <c r="R56" s="119" t="s">
        <v>55</v>
      </c>
      <c r="S56" s="119">
        <v>2</v>
      </c>
      <c r="T56" s="120">
        <f>1/S56</f>
        <v>0.5</v>
      </c>
      <c r="U56" s="120"/>
      <c r="V56" s="120"/>
      <c r="W56" s="126">
        <f>T56*K54*2</f>
        <v>207.24880302286215</v>
      </c>
      <c r="X56" s="126">
        <f>P55/W56</f>
        <v>311.17188161943665</v>
      </c>
      <c r="Y56" s="127">
        <f>W56/T58</f>
        <v>239.34744343126175</v>
      </c>
      <c r="Z56" s="123"/>
      <c r="AJ56" t="s">
        <v>654</v>
      </c>
      <c r="AK56">
        <v>1285.5999999999999</v>
      </c>
      <c r="AL56">
        <v>7.4630000000000001</v>
      </c>
      <c r="AM56">
        <f t="shared" si="6"/>
        <v>172.2631649470722</v>
      </c>
      <c r="AO56">
        <v>1261</v>
      </c>
      <c r="AP56">
        <v>7.452</v>
      </c>
      <c r="AQ56">
        <f t="shared" si="7"/>
        <v>169.2163177670424</v>
      </c>
      <c r="AS56" s="33">
        <f>I39</f>
        <v>59354</v>
      </c>
      <c r="AT56" s="404">
        <f>J39</f>
        <v>9.3018859999999997</v>
      </c>
      <c r="AU56">
        <f t="shared" si="8"/>
        <v>6380.856527375201</v>
      </c>
      <c r="AW56" s="33">
        <f>I49</f>
        <v>59197</v>
      </c>
      <c r="AX56" s="33">
        <f>J49</f>
        <v>16.778796</v>
      </c>
      <c r="AY56">
        <f t="shared" si="9"/>
        <v>3528.0838982725577</v>
      </c>
      <c r="BC56" s="405">
        <f t="shared" si="10"/>
        <v>36.041328767735791</v>
      </c>
      <c r="BD56" s="405">
        <f t="shared" si="11"/>
        <v>36.708281397303729</v>
      </c>
    </row>
    <row r="57" spans="1:59" x14ac:dyDescent="0.25">
      <c r="B57" s="304"/>
      <c r="C57" s="304"/>
      <c r="D57" s="15"/>
      <c r="E57" s="101"/>
      <c r="F57" s="101"/>
      <c r="G57" s="135"/>
      <c r="H57" s="135"/>
      <c r="I57" s="135"/>
      <c r="J57" s="136"/>
      <c r="K57" s="137"/>
      <c r="L57" s="137"/>
      <c r="Q57" s="118" t="s">
        <v>285</v>
      </c>
      <c r="R57" s="119" t="s">
        <v>209</v>
      </c>
      <c r="S57" s="119">
        <v>2</v>
      </c>
      <c r="T57" s="120">
        <f>1/S57</f>
        <v>0.5</v>
      </c>
      <c r="U57" s="120"/>
      <c r="V57" s="120"/>
      <c r="W57" s="126">
        <f>T57*K56*2</f>
        <v>273.09184756510598</v>
      </c>
      <c r="X57" s="126">
        <f>P55/W57</f>
        <v>236.14765718931019</v>
      </c>
      <c r="Y57" s="127">
        <f>W57/T58</f>
        <v>315.38824149164088</v>
      </c>
      <c r="Z57" s="123"/>
      <c r="AJ57" t="s">
        <v>655</v>
      </c>
      <c r="AK57">
        <v>1950.9</v>
      </c>
      <c r="AL57">
        <v>10.266</v>
      </c>
      <c r="AM57">
        <f t="shared" si="6"/>
        <v>190.03506721215663</v>
      </c>
      <c r="AO57">
        <v>1844</v>
      </c>
      <c r="AP57">
        <v>10.262</v>
      </c>
      <c r="AQ57">
        <f t="shared" si="7"/>
        <v>179.69206782303644</v>
      </c>
      <c r="AS57" s="33">
        <f>I33</f>
        <v>3349</v>
      </c>
      <c r="AT57" s="404">
        <f>J33</f>
        <v>92.916629</v>
      </c>
      <c r="AU57">
        <f t="shared" si="8"/>
        <v>36.043063938533543</v>
      </c>
      <c r="AW57" s="33">
        <f>I43</f>
        <v>3384</v>
      </c>
      <c r="AX57" s="33">
        <f>J43</f>
        <v>92.889161999999999</v>
      </c>
      <c r="AY57">
        <f t="shared" si="9"/>
        <v>36.430514896883231</v>
      </c>
      <c r="BC57" s="405">
        <f t="shared" si="10"/>
        <v>-0.81033466892563155</v>
      </c>
      <c r="BD57" s="405">
        <f t="shared" si="11"/>
        <v>-0.79941761272384415</v>
      </c>
    </row>
    <row r="58" spans="1:59" ht="15.75" thickBot="1" x14ac:dyDescent="0.3">
      <c r="Q58" s="128" t="s">
        <v>285</v>
      </c>
      <c r="R58" s="129" t="s">
        <v>288</v>
      </c>
      <c r="S58" s="129"/>
      <c r="T58" s="233">
        <f>O55/O54</f>
        <v>0.86589102457817557</v>
      </c>
      <c r="U58" s="130"/>
      <c r="V58" s="130"/>
      <c r="W58" s="131" t="s">
        <v>272</v>
      </c>
      <c r="X58" s="131" t="s">
        <v>289</v>
      </c>
      <c r="Y58" s="132" t="s">
        <v>287</v>
      </c>
      <c r="Z58" s="133"/>
      <c r="AJ58" t="s">
        <v>656</v>
      </c>
      <c r="AK58">
        <v>1895.5</v>
      </c>
      <c r="AL58">
        <v>10.257999999999999</v>
      </c>
      <c r="AM58">
        <f t="shared" si="6"/>
        <v>184.78260869565219</v>
      </c>
      <c r="AO58">
        <v>1863</v>
      </c>
      <c r="AP58">
        <v>10.266999999999999</v>
      </c>
      <c r="AQ58">
        <f t="shared" si="7"/>
        <v>181.45514756014416</v>
      </c>
      <c r="AS58" s="33">
        <f>I38</f>
        <v>58154</v>
      </c>
      <c r="AT58" s="404">
        <f>J38</f>
        <v>11.248934999999999</v>
      </c>
      <c r="AU58">
        <f t="shared" si="8"/>
        <v>5169.7338459151915</v>
      </c>
      <c r="AW58" s="33">
        <f>I47</f>
        <v>55994</v>
      </c>
      <c r="AX58" s="33">
        <f>J47</f>
        <v>16.778796</v>
      </c>
      <c r="AY58">
        <f t="shared" si="9"/>
        <v>3337.1881987241518</v>
      </c>
      <c r="BC58" s="405">
        <f t="shared" si="10"/>
        <v>26.977383166129272</v>
      </c>
      <c r="BD58" s="405">
        <f t="shared" si="11"/>
        <v>27.490422649496121</v>
      </c>
    </row>
    <row r="59" spans="1:59" x14ac:dyDescent="0.25">
      <c r="R59" s="33"/>
      <c r="S59" s="33"/>
      <c r="T59" s="415"/>
      <c r="W59" s="416"/>
      <c r="X59" s="416"/>
      <c r="Y59" s="18"/>
      <c r="AS59" s="33"/>
      <c r="AT59" s="404"/>
      <c r="AW59" s="33"/>
      <c r="AX59" s="33"/>
      <c r="BC59" s="417"/>
      <c r="BD59" s="417"/>
    </row>
    <row r="60" spans="1:59" ht="16.5" thickBot="1" x14ac:dyDescent="0.3">
      <c r="B60" s="76" t="s">
        <v>666</v>
      </c>
      <c r="C60" s="109"/>
      <c r="D60" s="109"/>
      <c r="E60" s="102"/>
      <c r="F60" s="102"/>
      <c r="G60" s="109"/>
      <c r="H60" s="109"/>
      <c r="I60" s="109"/>
      <c r="J60" s="109"/>
      <c r="K60" s="109"/>
      <c r="L60" s="452"/>
    </row>
    <row r="61" spans="1:59" ht="15.75" thickBot="1" x14ac:dyDescent="0.3">
      <c r="A61" s="407">
        <v>214</v>
      </c>
      <c r="B61" s="297">
        <f>INDEX(TestSummary!$A$1:$CI$394,'J1634 Calcs  no precondition'!$A61,'J1634 Calcs  no precondition'!B$5)</f>
        <v>62009050</v>
      </c>
      <c r="C61" s="297" t="str">
        <f>INDEX(TestSummary!$A$1:$CI$394,'J1634 Calcs  no precondition'!$A61,'J1634 Calcs  no precondition'!C$5)</f>
        <v>UDDS 1 , Combined</v>
      </c>
      <c r="D61" s="283" t="str">
        <f>INDEX(TestSummary!$A$1:$CI$394,'J1634 Calcs  no precondition'!$A61,'J1634 Calcs  no precondition'!D$5)</f>
        <v>J1634 MCT in hot test cell (95°F) UDDS-HWY-UDDS-US06 with NO Solar</v>
      </c>
      <c r="E61" s="326">
        <f>INDEX(TestSummary!$A$1:$CI$394,'J1634 Calcs  no precondition'!$A61,'J1634 Calcs  no precondition'!E$5)</f>
        <v>0</v>
      </c>
      <c r="F61" s="489">
        <f>INDEX(TestSummary!$A$1:$CI$394,'J1634 Calcs  no precondition'!$A61,'J1634 Calcs  no precondition'!F$5)</f>
        <v>35.0078405</v>
      </c>
      <c r="G61" s="114">
        <f>INDEX(TestSummary!$A$1:$CI$394,'J1634 Calcs  no precondition'!$A61,'J1634 Calcs  no precondition'!G$5)</f>
        <v>216.41664329048987</v>
      </c>
      <c r="H61" s="114">
        <f>INDEX(TestSummary!$A$1:$CI$394,'J1634 Calcs  no precondition'!$A61,'J1634 Calcs  no precondition'!H$5)</f>
        <v>95214</v>
      </c>
      <c r="I61" s="114">
        <f>INDEX(TestSummary!$A$1:$CI$394,'J1634 Calcs  no precondition'!$A61,'J1634 Calcs  no precondition'!I$5)</f>
        <v>96825</v>
      </c>
      <c r="J61" s="115">
        <f>INDEX(TestSummary!$A$1:$CI$394,'J1634 Calcs  no precondition'!$A61,'J1634 Calcs  no precondition'!J$5)</f>
        <v>95.013215000000002</v>
      </c>
      <c r="K61" s="116">
        <f>INDEX(TestSummary!$A$1:$CI$394,'J1634 Calcs  no precondition'!$A61,'J1634 Calcs  no precondition'!K$5)</f>
        <v>216.41664329048987</v>
      </c>
      <c r="L61" s="137"/>
      <c r="N61" s="110" t="s">
        <v>276</v>
      </c>
      <c r="O61" s="17" t="s">
        <v>291</v>
      </c>
      <c r="P61" t="s">
        <v>292</v>
      </c>
      <c r="Q61" s="111" t="s">
        <v>277</v>
      </c>
      <c r="R61" s="112"/>
      <c r="S61" s="112"/>
      <c r="T61" s="112"/>
      <c r="U61" s="112"/>
      <c r="V61" s="112"/>
      <c r="W61" s="112"/>
      <c r="X61" s="112"/>
      <c r="Y61" s="112"/>
      <c r="Z61" s="113"/>
    </row>
    <row r="62" spans="1:59" x14ac:dyDescent="0.25">
      <c r="A62" s="407">
        <f>A61+1</f>
        <v>215</v>
      </c>
      <c r="B62" s="297">
        <f>INDEX(TestSummary!$A$1:$CI$394,'J1634 Calcs  no precondition'!$A62,'J1634 Calcs  no precondition'!B$5)</f>
        <v>62009050</v>
      </c>
      <c r="C62" s="297" t="str">
        <f>INDEX(TestSummary!$A$1:$CI$394,'J1634 Calcs  no precondition'!$A62,'J1634 Calcs  no precondition'!C$5)</f>
        <v>HWY 1</v>
      </c>
      <c r="D62" s="283" t="str">
        <f>INDEX(TestSummary!$A$1:$CI$394,'J1634 Calcs  no precondition'!$A62,'J1634 Calcs  no precondition'!D$5)</f>
        <v>J1634 MCT in hot test cell (95°F) UDDS-HWY-UDDS-US06 with NO Solar</v>
      </c>
      <c r="E62" s="326">
        <f>INDEX(TestSummary!$A$1:$CI$394,'J1634 Calcs  no precondition'!$A62,'J1634 Calcs  no precondition'!E$5)</f>
        <v>0</v>
      </c>
      <c r="F62" s="489">
        <f>INDEX(TestSummary!$A$1:$CI$394,'J1634 Calcs  no precondition'!$A62,'J1634 Calcs  no precondition'!F$5)</f>
        <v>37.541108999999999</v>
      </c>
      <c r="G62" s="114">
        <f>INDEX(TestSummary!$A$1:$CI$394,'J1634 Calcs  no precondition'!$A62,'J1634 Calcs  no precondition'!G$5)</f>
        <v>213.58571189315117</v>
      </c>
      <c r="H62" s="114">
        <f>INDEX(TestSummary!$A$1:$CI$394,'J1634 Calcs  no precondition'!$A62,'J1634 Calcs  no precondition'!H$5)</f>
        <v>96829</v>
      </c>
      <c r="I62" s="114">
        <f>INDEX(TestSummary!$A$1:$CI$394,'J1634 Calcs  no precondition'!$A62,'J1634 Calcs  no precondition'!I$5)</f>
        <v>99024</v>
      </c>
      <c r="J62" s="115">
        <f>INDEX(TestSummary!$A$1:$CI$394,'J1634 Calcs  no precondition'!$A62,'J1634 Calcs  no precondition'!J$5)</f>
        <v>91.938526999999993</v>
      </c>
      <c r="K62" s="116">
        <f>INDEX(TestSummary!$A$1:$CI$394,'J1634 Calcs  no precondition'!$A62,'J1634 Calcs  no precondition'!K$5)</f>
        <v>213.58571189315117</v>
      </c>
      <c r="L62" s="137"/>
      <c r="N62" s="117" t="s">
        <v>667</v>
      </c>
      <c r="O62" s="420">
        <f>O54</f>
        <v>74183.7</v>
      </c>
      <c r="P62" s="224">
        <f>$O$32</f>
        <v>70871.060981000002</v>
      </c>
      <c r="Q62" s="118" t="s">
        <v>16</v>
      </c>
      <c r="R62" s="119" t="s">
        <v>1</v>
      </c>
      <c r="S62" s="119" t="s">
        <v>383</v>
      </c>
      <c r="T62" s="120" t="s">
        <v>279</v>
      </c>
      <c r="U62" s="119" t="s">
        <v>280</v>
      </c>
      <c r="V62" s="120" t="s">
        <v>281</v>
      </c>
      <c r="W62" s="121" t="s">
        <v>673</v>
      </c>
      <c r="X62" s="122" t="s">
        <v>282</v>
      </c>
      <c r="Y62" s="121" t="s">
        <v>283</v>
      </c>
      <c r="Z62" s="123"/>
    </row>
    <row r="63" spans="1:59" x14ac:dyDescent="0.25">
      <c r="A63" s="407">
        <f>A62+3</f>
        <v>218</v>
      </c>
      <c r="B63" s="297">
        <f>INDEX(TestSummary!$A$1:$CI$394,'J1634 Calcs  no precondition'!$A63,'J1634 Calcs  no precondition'!B$5)</f>
        <v>62009050</v>
      </c>
      <c r="C63" s="297" t="str">
        <f>INDEX(TestSummary!$A$1:$CI$394,'J1634 Calcs  no precondition'!$A63,'J1634 Calcs  no precondition'!C$5)</f>
        <v>UDDS 2, combined</v>
      </c>
      <c r="D63" s="283" t="str">
        <f>INDEX(TestSummary!$A$1:$CI$394,'J1634 Calcs  no precondition'!$A63,'J1634 Calcs  no precondition'!D$5)</f>
        <v>J1634 MCT in hot test cell (95°F) UDDS-HWY-UDDS-US06 with NO Solar</v>
      </c>
      <c r="E63" s="326">
        <f>INDEX(TestSummary!$A$1:$CI$394,'J1634 Calcs  no precondition'!$A63,'J1634 Calcs  no precondition'!E$5)</f>
        <v>0</v>
      </c>
      <c r="F63" s="489">
        <f>INDEX(TestSummary!$A$1:$CI$394,'J1634 Calcs  no precondition'!$A63,'J1634 Calcs  no precondition'!F$5)</f>
        <v>33.482960499999997</v>
      </c>
      <c r="G63" s="114">
        <f>INDEX(TestSummary!$A$1:$CI$394,'J1634 Calcs  no precondition'!$A63,'J1634 Calcs  no precondition'!G$5)</f>
        <v>201.39321481124568</v>
      </c>
      <c r="H63" s="114">
        <f>INDEX(TestSummary!$A$1:$CI$394,'J1634 Calcs  no precondition'!$A63,'J1634 Calcs  no precondition'!H$5)</f>
        <v>99036.606450000007</v>
      </c>
      <c r="I63" s="114">
        <f>INDEX(TestSummary!$A$1:$CI$394,'J1634 Calcs  no precondition'!$A63,'J1634 Calcs  no precondition'!I$5)</f>
        <v>100536</v>
      </c>
      <c r="J63" s="115">
        <f>INDEX(TestSummary!$A$1:$CI$394,'J1634 Calcs  no precondition'!$A63,'J1634 Calcs  no precondition'!J$5)</f>
        <v>91.938526999999993</v>
      </c>
      <c r="K63" s="116">
        <f>INDEX(TestSummary!$A$1:$CI$394,'J1634 Calcs  no precondition'!$A63,'J1634 Calcs  no precondition'!K$5)</f>
        <v>201.39321481124568</v>
      </c>
      <c r="L63" s="137"/>
      <c r="N63" s="124" t="s">
        <v>284</v>
      </c>
      <c r="O63" s="421">
        <f>O55</f>
        <v>64235</v>
      </c>
      <c r="P63" s="125">
        <f>$O$33</f>
        <v>64490</v>
      </c>
      <c r="Q63" s="118" t="s">
        <v>285</v>
      </c>
      <c r="R63" s="119" t="s">
        <v>57</v>
      </c>
      <c r="S63" s="119">
        <v>3</v>
      </c>
      <c r="T63" s="120"/>
      <c r="U63" s="120">
        <f>(I61-H61)/O63</f>
        <v>2.5079785163851481E-2</v>
      </c>
      <c r="V63" s="120">
        <f>(1-U63)/S63</f>
        <v>0.32497340494538285</v>
      </c>
      <c r="W63" s="126">
        <f>U63*K61+V63*K63*3</f>
        <v>201.76999916992963</v>
      </c>
      <c r="X63" s="126">
        <f>P63/W63</f>
        <v>319.62135235817124</v>
      </c>
      <c r="Y63" s="127">
        <f>W63/T66</f>
        <v>233.02008387051154</v>
      </c>
      <c r="Z63" s="123"/>
    </row>
    <row r="64" spans="1:59" ht="15.75" customHeight="1" x14ac:dyDescent="0.25">
      <c r="A64" s="407">
        <f>A63+3</f>
        <v>221</v>
      </c>
      <c r="B64" s="297">
        <f>INDEX(TestSummary!$A$1:$CI$394,'J1634 Calcs  no precondition'!$A64,'J1634 Calcs  no precondition'!B$5)</f>
        <v>62009050</v>
      </c>
      <c r="C64" s="297" t="str">
        <f>INDEX(TestSummary!$A$1:$CI$394,'J1634 Calcs  no precondition'!$A64,'J1634 Calcs  no precondition'!C$5)</f>
        <v>US06 1, combined</v>
      </c>
      <c r="D64" s="283" t="str">
        <f>INDEX(TestSummary!$A$1:$CI$394,'J1634 Calcs  no precondition'!$A64,'J1634 Calcs  no precondition'!D$5)</f>
        <v>J1634 MCT in hot test cell (95°F) UDDS-HWY-UDDS-US06 with NO Solar</v>
      </c>
      <c r="E64" s="326">
        <f>INDEX(TestSummary!$A$1:$CI$394,'J1634 Calcs  no precondition'!$A64,'J1634 Calcs  no precondition'!E$5)</f>
        <v>0</v>
      </c>
      <c r="F64" s="489">
        <f>INDEX(TestSummary!$A$1:$CI$394,'J1634 Calcs  no precondition'!$A64,'J1634 Calcs  no precondition'!F$5)</f>
        <v>37.323793999999999</v>
      </c>
      <c r="G64" s="114">
        <f>INDEX(TestSummary!$A$1:$CI$394,'J1634 Calcs  no precondition'!$A64,'J1634 Calcs  no precondition'!G$5)</f>
        <v>282.17138816927599</v>
      </c>
      <c r="H64" s="114">
        <f>INDEX(TestSummary!$A$1:$CI$394,'J1634 Calcs  no precondition'!$A64,'J1634 Calcs  no precondition'!H$5)</f>
        <v>100566</v>
      </c>
      <c r="I64" s="114">
        <f>INDEX(TestSummary!$A$1:$CI$394,'J1634 Calcs  no precondition'!$A64,'J1634 Calcs  no precondition'!I$5)</f>
        <v>102661</v>
      </c>
      <c r="J64" s="115">
        <f>INDEX(TestSummary!$A$1:$CI$394,'J1634 Calcs  no precondition'!$A64,'J1634 Calcs  no precondition'!J$5)</f>
        <v>91.938526999999993</v>
      </c>
      <c r="K64" s="116">
        <f>INDEX(TestSummary!$A$1:$CI$394,'J1634 Calcs  no precondition'!$A64,'J1634 Calcs  no precondition'!K$5)</f>
        <v>282.17138816927599</v>
      </c>
      <c r="L64" s="137"/>
      <c r="N64" s="455" t="s">
        <v>677</v>
      </c>
      <c r="Q64" s="118" t="s">
        <v>285</v>
      </c>
      <c r="R64" s="119" t="s">
        <v>55</v>
      </c>
      <c r="S64" s="119">
        <v>2</v>
      </c>
      <c r="T64" s="120">
        <f>1/S64</f>
        <v>0.5</v>
      </c>
      <c r="U64" s="120"/>
      <c r="V64" s="120"/>
      <c r="W64" s="126">
        <f>T64*K62*2</f>
        <v>213.58571189315117</v>
      </c>
      <c r="X64" s="126">
        <f>P63/W64</f>
        <v>301.93967296961279</v>
      </c>
      <c r="Y64" s="127">
        <f>W64/T66</f>
        <v>246.66581109002814</v>
      </c>
      <c r="Z64" s="123"/>
    </row>
    <row r="65" spans="2:56" x14ac:dyDescent="0.25">
      <c r="B65" s="304"/>
      <c r="C65" s="304"/>
      <c r="D65" s="15"/>
      <c r="E65" s="101"/>
      <c r="F65" s="101"/>
      <c r="G65" s="135"/>
      <c r="H65" s="135"/>
      <c r="I65" s="135"/>
      <c r="J65" s="136"/>
      <c r="K65" s="137"/>
      <c r="L65" s="137"/>
      <c r="Q65" s="118" t="s">
        <v>285</v>
      </c>
      <c r="R65" s="119" t="s">
        <v>209</v>
      </c>
      <c r="S65" s="119">
        <v>2</v>
      </c>
      <c r="T65" s="120">
        <f>1/S65</f>
        <v>0.5</v>
      </c>
      <c r="U65" s="120"/>
      <c r="V65" s="120"/>
      <c r="W65" s="126">
        <f>T65*K64*2</f>
        <v>282.17138816927599</v>
      </c>
      <c r="X65" s="126">
        <f>P63/W65</f>
        <v>228.54904041976127</v>
      </c>
      <c r="Y65" s="127">
        <f>W65/T66</f>
        <v>325.87401896992475</v>
      </c>
      <c r="Z65" s="123"/>
    </row>
    <row r="66" spans="2:56" ht="15.75" thickBot="1" x14ac:dyDescent="0.3">
      <c r="Q66" s="128" t="s">
        <v>285</v>
      </c>
      <c r="R66" s="129" t="s">
        <v>288</v>
      </c>
      <c r="S66" s="129"/>
      <c r="T66" s="233">
        <f>O63/O62</f>
        <v>0.86589102457817557</v>
      </c>
      <c r="U66" s="130"/>
      <c r="V66" s="130"/>
      <c r="W66" s="131" t="s">
        <v>272</v>
      </c>
      <c r="X66" s="131" t="s">
        <v>289</v>
      </c>
      <c r="Y66" s="132" t="s">
        <v>287</v>
      </c>
      <c r="Z66" s="133"/>
    </row>
    <row r="67" spans="2:56" x14ac:dyDescent="0.25">
      <c r="O67"/>
      <c r="AS67" s="33"/>
      <c r="AT67" s="404"/>
      <c r="AW67" s="33"/>
      <c r="AX67" s="33"/>
      <c r="BC67" s="417"/>
      <c r="BD67" s="417"/>
    </row>
    <row r="68" spans="2:56" x14ac:dyDescent="0.25">
      <c r="O68"/>
      <c r="AS68" s="33"/>
      <c r="AT68" s="404"/>
      <c r="AW68" s="33"/>
      <c r="AX68" s="33"/>
      <c r="BC68" s="417"/>
      <c r="BD68" s="417"/>
    </row>
    <row r="69" spans="2:56" x14ac:dyDescent="0.25">
      <c r="O69"/>
      <c r="AS69" s="33"/>
      <c r="AT69" s="404"/>
      <c r="AW69" s="33"/>
      <c r="AX69" s="33"/>
      <c r="BC69" s="417"/>
      <c r="BD69" s="417"/>
    </row>
    <row r="70" spans="2:56" x14ac:dyDescent="0.25">
      <c r="O70"/>
      <c r="AS70" s="33"/>
      <c r="AT70" s="404"/>
      <c r="AW70" s="33"/>
      <c r="AX70" s="33"/>
      <c r="BC70" s="417"/>
      <c r="BD70" s="417"/>
    </row>
    <row r="71" spans="2:56" x14ac:dyDescent="0.25">
      <c r="O71"/>
      <c r="AS71" s="33"/>
      <c r="AT71" s="404"/>
      <c r="AW71" s="33"/>
      <c r="AX71" s="33"/>
      <c r="BC71" s="417"/>
      <c r="BD71" s="417"/>
    </row>
    <row r="72" spans="2:56" x14ac:dyDescent="0.25">
      <c r="O72"/>
      <c r="AS72" s="33"/>
      <c r="AT72" s="404"/>
      <c r="AW72" s="33"/>
      <c r="AX72" s="33"/>
      <c r="BC72" s="417"/>
      <c r="BD72" s="417"/>
    </row>
    <row r="73" spans="2:56" x14ac:dyDescent="0.25">
      <c r="O73"/>
      <c r="AC73" t="s">
        <v>657</v>
      </c>
      <c r="AJ73" t="s">
        <v>658</v>
      </c>
      <c r="AK73">
        <v>64945.5</v>
      </c>
      <c r="AL73">
        <v>344.048</v>
      </c>
      <c r="AM73">
        <f>AK73/AL73</f>
        <v>188.76871831837417</v>
      </c>
      <c r="AO73">
        <v>62943</v>
      </c>
      <c r="AP73">
        <v>287.036</v>
      </c>
      <c r="AQ73">
        <f>AO73/AP73</f>
        <v>219.28608258197579</v>
      </c>
      <c r="AS73">
        <f>TestSummary!X341+TestSummary!X342+TestSummary!X345</f>
        <v>0</v>
      </c>
      <c r="AU73">
        <f>TestSummary!Y341+TestSummary!Y342+TestSummary!Y345</f>
        <v>0</v>
      </c>
      <c r="AY73" t="e">
        <f>TestSummary!#REF!+TestSummary!#REF!+TestSummary!#REF!</f>
        <v>#REF!</v>
      </c>
      <c r="BC73" s="134"/>
    </row>
    <row r="74" spans="2:56" x14ac:dyDescent="0.25">
      <c r="O74"/>
      <c r="AD74" s="418">
        <f>T14</f>
        <v>0.88068973500422298</v>
      </c>
      <c r="AE74" s="418">
        <f>T21</f>
        <v>0.89975159484143374</v>
      </c>
      <c r="AF74" s="418">
        <f>T29</f>
        <v>0.89726114951575664</v>
      </c>
      <c r="AG74" s="418">
        <f>T36</f>
        <v>0.90996238954697295</v>
      </c>
      <c r="AH74" s="418">
        <f>T58</f>
        <v>0.86589102457817557</v>
      </c>
      <c r="AI74" s="418">
        <f>T66</f>
        <v>0.86589102457817557</v>
      </c>
      <c r="AJ74" t="s">
        <v>659</v>
      </c>
      <c r="AK74">
        <v>5053.8999999999996</v>
      </c>
      <c r="AL74">
        <v>25.983000000000001</v>
      </c>
      <c r="AM74">
        <f>AK74/AL74</f>
        <v>194.50794750413729</v>
      </c>
      <c r="AO74">
        <v>7980</v>
      </c>
      <c r="AP74">
        <v>36.113999999999997</v>
      </c>
      <c r="AQ74">
        <f>AO74/AP74</f>
        <v>220.96693802957304</v>
      </c>
      <c r="AS74">
        <f>TestSummary!X353</f>
        <v>0</v>
      </c>
      <c r="AU74">
        <f>TestSummary!Y353</f>
        <v>0</v>
      </c>
      <c r="AY74" t="e">
        <f>TestSummary!#REF!</f>
        <v>#REF!</v>
      </c>
      <c r="BC74" s="419"/>
    </row>
    <row r="75" spans="2:56" x14ac:dyDescent="0.25">
      <c r="AJ75" t="s">
        <v>660</v>
      </c>
      <c r="AK75">
        <v>79218</v>
      </c>
      <c r="AL75">
        <v>420.39699999999999</v>
      </c>
      <c r="AO75" s="404">
        <f>SUM(AO53:AO74)</f>
        <v>79765</v>
      </c>
      <c r="AP75" s="404">
        <f>SUM(AP53:AP74)</f>
        <v>373.488</v>
      </c>
      <c r="AS75" s="33">
        <f>SUM(AS53:AS74)</f>
        <v>182861</v>
      </c>
      <c r="AW75" s="33"/>
      <c r="BC75" s="417">
        <f>(AS75-AK75)/AK75</f>
        <v>1.3083263904668132</v>
      </c>
      <c r="BD75" s="417">
        <f>(AS75-AO75)/AO75</f>
        <v>1.2924967090829311</v>
      </c>
    </row>
    <row r="76" spans="2:56" x14ac:dyDescent="0.25">
      <c r="AD76" t="s">
        <v>212</v>
      </c>
      <c r="AE76" t="s">
        <v>661</v>
      </c>
      <c r="AF76" t="s">
        <v>662</v>
      </c>
    </row>
  </sheetData>
  <mergeCells count="4">
    <mergeCell ref="AK40:AM40"/>
    <mergeCell ref="AO40:AQ40"/>
    <mergeCell ref="AS40:AU40"/>
    <mergeCell ref="AW40:AY40"/>
  </mergeCells>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V33"/>
  <sheetViews>
    <sheetView workbookViewId="0">
      <selection activeCell="D13" sqref="D13"/>
    </sheetView>
  </sheetViews>
  <sheetFormatPr defaultColWidth="9.140625" defaultRowHeight="15" x14ac:dyDescent="0.25"/>
  <cols>
    <col min="3" max="3" width="14" bestFit="1" customWidth="1"/>
    <col min="7" max="7" width="16" customWidth="1"/>
    <col min="8" max="8" width="13" customWidth="1"/>
    <col min="9" max="9" width="16.5703125" bestFit="1" customWidth="1"/>
    <col min="10" max="10" width="10.5703125" customWidth="1"/>
    <col min="15" max="15" width="11" customWidth="1"/>
  </cols>
  <sheetData>
    <row r="1" spans="1:22" x14ac:dyDescent="0.25">
      <c r="J1" s="17"/>
    </row>
    <row r="2" spans="1:22" ht="15.75" thickBot="1" x14ac:dyDescent="0.3">
      <c r="L2" s="514" t="s">
        <v>213</v>
      </c>
      <c r="M2" s="514"/>
      <c r="N2" s="514"/>
      <c r="O2" s="514"/>
      <c r="P2" s="514"/>
      <c r="Q2" s="514"/>
      <c r="R2" s="514"/>
    </row>
    <row r="3" spans="1:22" x14ac:dyDescent="0.25">
      <c r="C3" s="77"/>
      <c r="D3" s="9"/>
      <c r="E3" s="9"/>
      <c r="F3" s="9"/>
      <c r="G3" s="9"/>
      <c r="H3" s="78" t="s">
        <v>212</v>
      </c>
      <c r="I3" s="78"/>
      <c r="J3" s="79"/>
      <c r="L3" s="77"/>
      <c r="M3" s="9"/>
      <c r="N3" s="9"/>
      <c r="O3" s="9"/>
      <c r="P3" s="9"/>
      <c r="Q3" s="78" t="s">
        <v>212</v>
      </c>
      <c r="R3" s="78"/>
      <c r="S3" s="87"/>
    </row>
    <row r="4" spans="1:22" x14ac:dyDescent="0.25">
      <c r="C4" s="80" t="s">
        <v>214</v>
      </c>
      <c r="D4" s="490">
        <f>AVERAGE('J1634 Calcs'!O35,'J1634 Calcs'!O45,'J1634 Calcs'!O55)</f>
        <v>64440</v>
      </c>
      <c r="E4" t="s">
        <v>215</v>
      </c>
      <c r="G4" t="s">
        <v>216</v>
      </c>
      <c r="H4" s="81">
        <v>3990</v>
      </c>
      <c r="I4" s="82" t="s">
        <v>217</v>
      </c>
      <c r="J4" s="83"/>
      <c r="L4" s="80" t="s">
        <v>214</v>
      </c>
      <c r="M4" s="81"/>
      <c r="N4" t="s">
        <v>215</v>
      </c>
      <c r="P4" t="s">
        <v>216</v>
      </c>
      <c r="Q4" s="81"/>
      <c r="R4" s="82" t="s">
        <v>217</v>
      </c>
      <c r="S4" s="83"/>
    </row>
    <row r="5" spans="1:22" x14ac:dyDescent="0.25">
      <c r="A5" s="74"/>
      <c r="C5" s="80" t="s">
        <v>214</v>
      </c>
      <c r="D5" s="206">
        <f>D4*0.95</f>
        <v>61218</v>
      </c>
      <c r="E5" t="s">
        <v>218</v>
      </c>
      <c r="G5" t="s">
        <v>219</v>
      </c>
      <c r="H5" s="81">
        <v>3154</v>
      </c>
      <c r="I5" s="82" t="s">
        <v>217</v>
      </c>
      <c r="J5" s="83"/>
      <c r="L5" s="80" t="s">
        <v>214</v>
      </c>
      <c r="M5" s="206">
        <f>M4*0.95</f>
        <v>0</v>
      </c>
      <c r="N5" t="s">
        <v>218</v>
      </c>
      <c r="P5" t="s">
        <v>221</v>
      </c>
      <c r="Q5" s="81"/>
      <c r="R5" s="82" t="s">
        <v>217</v>
      </c>
      <c r="S5" s="83"/>
    </row>
    <row r="6" spans="1:22" x14ac:dyDescent="0.25">
      <c r="A6" s="74"/>
      <c r="C6" s="10"/>
      <c r="G6" t="s">
        <v>220</v>
      </c>
      <c r="H6" s="81">
        <v>3733</v>
      </c>
      <c r="I6" s="82" t="s">
        <v>217</v>
      </c>
      <c r="J6" s="83"/>
      <c r="L6" s="10"/>
      <c r="P6" t="s">
        <v>224</v>
      </c>
      <c r="Q6" s="81"/>
      <c r="R6" s="82" t="s">
        <v>217</v>
      </c>
      <c r="S6" s="83"/>
    </row>
    <row r="7" spans="1:22" x14ac:dyDescent="0.25">
      <c r="A7" s="74" t="s">
        <v>962</v>
      </c>
      <c r="C7" s="80"/>
      <c r="D7" s="490">
        <f>(D12/D10)*D11</f>
        <v>458.50746268656718</v>
      </c>
      <c r="E7" t="s">
        <v>222</v>
      </c>
      <c r="G7" t="s">
        <v>223</v>
      </c>
      <c r="H7" s="81">
        <v>3322</v>
      </c>
      <c r="I7" s="82" t="s">
        <v>217</v>
      </c>
      <c r="J7" s="83"/>
      <c r="L7" s="80" t="s">
        <v>214</v>
      </c>
      <c r="M7" s="81"/>
      <c r="N7" t="s">
        <v>222</v>
      </c>
      <c r="P7" t="s">
        <v>225</v>
      </c>
      <c r="Q7" s="81"/>
      <c r="R7" s="82" t="s">
        <v>217</v>
      </c>
      <c r="S7" s="83"/>
    </row>
    <row r="8" spans="1:22" x14ac:dyDescent="0.25">
      <c r="C8" s="10"/>
      <c r="I8" s="492"/>
      <c r="J8" s="499" t="s">
        <v>961</v>
      </c>
      <c r="L8" s="80"/>
      <c r="M8" s="81"/>
      <c r="P8" t="s">
        <v>227</v>
      </c>
      <c r="Q8" s="81"/>
      <c r="R8" s="82"/>
      <c r="S8" s="83"/>
    </row>
    <row r="9" spans="1:22" x14ac:dyDescent="0.25">
      <c r="C9" s="495"/>
      <c r="D9" s="494"/>
      <c r="G9" s="84" t="s">
        <v>352</v>
      </c>
      <c r="H9" s="85">
        <f>(H5*2+H6+H7)*2</f>
        <v>26726</v>
      </c>
      <c r="I9" s="493"/>
      <c r="J9" s="498">
        <f>H9/D4</f>
        <v>0.41474239602731222</v>
      </c>
      <c r="L9" s="10"/>
      <c r="S9" s="83"/>
    </row>
    <row r="10" spans="1:22" x14ac:dyDescent="0.25">
      <c r="B10" s="82" t="s">
        <v>214</v>
      </c>
      <c r="C10" s="497" t="s">
        <v>959</v>
      </c>
      <c r="D10" s="496">
        <v>201</v>
      </c>
      <c r="J10" s="83"/>
      <c r="L10" s="10"/>
      <c r="P10" s="84" t="s">
        <v>226</v>
      </c>
      <c r="Q10" s="85">
        <f>SUM(Q4:Q8)*2</f>
        <v>0</v>
      </c>
      <c r="S10" s="83"/>
      <c r="V10" t="s">
        <v>455</v>
      </c>
    </row>
    <row r="11" spans="1:22" x14ac:dyDescent="0.25">
      <c r="B11" s="82" t="s">
        <v>214</v>
      </c>
      <c r="C11" s="348" t="s">
        <v>960</v>
      </c>
      <c r="D11" s="496">
        <v>256</v>
      </c>
      <c r="G11" s="84" t="s">
        <v>228</v>
      </c>
      <c r="H11" s="491">
        <f>D4*0.9-H9</f>
        <v>31270</v>
      </c>
      <c r="I11" t="s">
        <v>229</v>
      </c>
      <c r="J11" s="500">
        <f>SUM(H9,H11)/D4</f>
        <v>0.9</v>
      </c>
      <c r="L11" s="10"/>
      <c r="S11" s="83"/>
    </row>
    <row r="12" spans="1:22" x14ac:dyDescent="0.25">
      <c r="B12" s="82" t="s">
        <v>214</v>
      </c>
      <c r="C12" s="497" t="s">
        <v>958</v>
      </c>
      <c r="D12" s="496">
        <v>360</v>
      </c>
      <c r="J12" s="83"/>
      <c r="L12" s="10"/>
      <c r="P12" s="84" t="s">
        <v>228</v>
      </c>
      <c r="Q12" s="85">
        <f>M5-Q10-M5*0.1</f>
        <v>0</v>
      </c>
      <c r="R12" t="s">
        <v>229</v>
      </c>
      <c r="S12" s="83"/>
    </row>
    <row r="13" spans="1:22" x14ac:dyDescent="0.25">
      <c r="C13" s="10"/>
      <c r="G13" s="84" t="s">
        <v>339</v>
      </c>
      <c r="H13" s="190">
        <f>H11/D7</f>
        <v>68.199544270833329</v>
      </c>
      <c r="I13" t="s">
        <v>248</v>
      </c>
      <c r="J13" s="83"/>
      <c r="L13" s="10"/>
      <c r="S13" s="83"/>
    </row>
    <row r="14" spans="1:22" x14ac:dyDescent="0.25">
      <c r="C14" s="10"/>
      <c r="G14" s="84" t="s">
        <v>335</v>
      </c>
      <c r="H14" s="92">
        <f>H13/65*3600</f>
        <v>3777.2055288461538</v>
      </c>
      <c r="I14" t="s">
        <v>249</v>
      </c>
      <c r="J14" s="498">
        <f>(H11*1.08+H9/2)/D4</f>
        <v>0.731449410304159</v>
      </c>
      <c r="L14" s="10"/>
      <c r="P14" s="84" t="s">
        <v>230</v>
      </c>
      <c r="Q14" s="99" t="e">
        <f>Q12/M7</f>
        <v>#DIV/0!</v>
      </c>
      <c r="S14" s="83"/>
    </row>
    <row r="15" spans="1:22" x14ac:dyDescent="0.25">
      <c r="C15" s="10"/>
      <c r="G15" s="84" t="s">
        <v>336</v>
      </c>
      <c r="H15" s="189">
        <f>H14+25</f>
        <v>3802.2055288461538</v>
      </c>
      <c r="I15" t="s">
        <v>249</v>
      </c>
      <c r="J15" s="83"/>
      <c r="L15" s="10"/>
      <c r="S15" s="83"/>
    </row>
    <row r="16" spans="1:22" ht="15.75" thickBot="1" x14ac:dyDescent="0.3">
      <c r="C16" s="12"/>
      <c r="D16" s="13"/>
      <c r="E16" s="13"/>
      <c r="F16" s="517" t="s">
        <v>348</v>
      </c>
      <c r="G16" s="517"/>
      <c r="H16" s="517"/>
      <c r="I16" s="517"/>
      <c r="J16" s="518"/>
      <c r="L16" s="12"/>
      <c r="M16" s="13"/>
      <c r="N16" s="13"/>
      <c r="O16" s="13"/>
      <c r="P16" s="88"/>
      <c r="Q16" s="88"/>
      <c r="R16" s="13"/>
      <c r="S16" s="86"/>
    </row>
    <row r="17" spans="2:21" x14ac:dyDescent="0.25">
      <c r="P17" s="84"/>
      <c r="Q17" s="84"/>
    </row>
    <row r="18" spans="2:21" x14ac:dyDescent="0.25">
      <c r="D18" s="516" t="s">
        <v>256</v>
      </c>
      <c r="E18" s="516"/>
      <c r="F18" s="516"/>
      <c r="G18" s="516"/>
      <c r="H18" s="516"/>
      <c r="I18" s="516"/>
      <c r="P18" s="84"/>
      <c r="Q18" s="84"/>
    </row>
    <row r="19" spans="2:21" x14ac:dyDescent="0.25">
      <c r="D19" s="94" t="s">
        <v>250</v>
      </c>
      <c r="E19" s="94" t="s">
        <v>252</v>
      </c>
      <c r="F19" s="94" t="s">
        <v>353</v>
      </c>
      <c r="G19" s="94" t="s">
        <v>253</v>
      </c>
      <c r="H19" s="94" t="s">
        <v>254</v>
      </c>
      <c r="I19" s="94" t="s">
        <v>255</v>
      </c>
      <c r="P19" s="84"/>
      <c r="Q19" s="84"/>
      <c r="R19" s="84"/>
    </row>
    <row r="20" spans="2:21" x14ac:dyDescent="0.25">
      <c r="B20" s="515" t="s">
        <v>251</v>
      </c>
      <c r="C20" s="97" t="s">
        <v>337</v>
      </c>
      <c r="D20" s="93">
        <f>ROUND(H15,0)</f>
        <v>3802</v>
      </c>
      <c r="E20">
        <v>65</v>
      </c>
      <c r="F20">
        <v>0</v>
      </c>
      <c r="G20">
        <v>1</v>
      </c>
      <c r="H20">
        <v>0</v>
      </c>
      <c r="J20" s="96"/>
    </row>
    <row r="21" spans="2:21" x14ac:dyDescent="0.25">
      <c r="B21" s="515"/>
      <c r="C21" s="98">
        <v>20</v>
      </c>
      <c r="D21" s="93">
        <f>C21+D20</f>
        <v>3822</v>
      </c>
      <c r="E21">
        <v>0</v>
      </c>
      <c r="F21">
        <v>0</v>
      </c>
      <c r="G21">
        <v>1</v>
      </c>
      <c r="H21">
        <v>0</v>
      </c>
      <c r="J21" s="96"/>
      <c r="L21">
        <v>610</v>
      </c>
      <c r="M21">
        <v>65</v>
      </c>
      <c r="N21">
        <v>0</v>
      </c>
      <c r="O21">
        <v>1</v>
      </c>
      <c r="P21">
        <v>0</v>
      </c>
      <c r="T21" t="s">
        <v>956</v>
      </c>
      <c r="U21" t="s">
        <v>289</v>
      </c>
    </row>
    <row r="22" spans="2:21" x14ac:dyDescent="0.25">
      <c r="B22" s="515"/>
      <c r="C22" s="98">
        <v>4</v>
      </c>
      <c r="D22" s="93">
        <f t="shared" ref="D22:D28" si="0">C22+D21</f>
        <v>3826</v>
      </c>
      <c r="E22">
        <v>0</v>
      </c>
      <c r="F22">
        <v>0</v>
      </c>
      <c r="G22">
        <v>1</v>
      </c>
      <c r="H22">
        <v>0</v>
      </c>
      <c r="J22" s="96"/>
      <c r="L22">
        <v>630</v>
      </c>
      <c r="M22">
        <v>0</v>
      </c>
      <c r="N22">
        <v>0</v>
      </c>
      <c r="O22">
        <v>1</v>
      </c>
      <c r="P22">
        <v>0</v>
      </c>
      <c r="S22">
        <v>1</v>
      </c>
      <c r="T22">
        <v>886</v>
      </c>
      <c r="U22">
        <v>3.5907</v>
      </c>
    </row>
    <row r="23" spans="2:21" x14ac:dyDescent="0.25">
      <c r="B23" s="515"/>
      <c r="C23" s="98">
        <v>1</v>
      </c>
      <c r="D23" s="93">
        <f t="shared" si="0"/>
        <v>3827</v>
      </c>
      <c r="E23">
        <v>0</v>
      </c>
      <c r="F23">
        <v>0</v>
      </c>
      <c r="G23">
        <v>0</v>
      </c>
      <c r="H23">
        <v>0</v>
      </c>
      <c r="J23" s="96"/>
      <c r="L23">
        <v>634</v>
      </c>
      <c r="M23">
        <v>0</v>
      </c>
      <c r="N23">
        <v>0</v>
      </c>
      <c r="O23">
        <v>1</v>
      </c>
      <c r="P23">
        <v>0</v>
      </c>
      <c r="S23">
        <v>2</v>
      </c>
      <c r="T23">
        <v>723</v>
      </c>
      <c r="U23">
        <v>3.8532999999999999</v>
      </c>
    </row>
    <row r="24" spans="2:21" x14ac:dyDescent="0.25">
      <c r="B24" s="515"/>
      <c r="C24" s="98">
        <v>1</v>
      </c>
      <c r="D24" s="93">
        <f t="shared" si="0"/>
        <v>3828</v>
      </c>
      <c r="E24">
        <v>0</v>
      </c>
      <c r="F24">
        <v>0</v>
      </c>
      <c r="G24">
        <v>0</v>
      </c>
      <c r="H24">
        <v>0</v>
      </c>
      <c r="J24" s="96"/>
      <c r="L24">
        <v>635</v>
      </c>
      <c r="M24">
        <v>0</v>
      </c>
      <c r="N24">
        <v>0</v>
      </c>
      <c r="O24">
        <v>0</v>
      </c>
      <c r="P24">
        <v>0</v>
      </c>
      <c r="S24" t="s">
        <v>957</v>
      </c>
      <c r="T24">
        <f>SUM(T22:T23)</f>
        <v>1609</v>
      </c>
      <c r="U24">
        <f>SUM(U22:U23)</f>
        <v>7.444</v>
      </c>
    </row>
    <row r="25" spans="2:21" x14ac:dyDescent="0.25">
      <c r="B25" s="515"/>
      <c r="C25" s="98">
        <v>1</v>
      </c>
      <c r="D25" s="93">
        <f t="shared" si="0"/>
        <v>3829</v>
      </c>
      <c r="E25">
        <v>0</v>
      </c>
      <c r="F25">
        <v>0</v>
      </c>
      <c r="G25">
        <v>0</v>
      </c>
      <c r="H25">
        <v>0</v>
      </c>
      <c r="J25" s="96"/>
      <c r="L25">
        <v>636</v>
      </c>
      <c r="M25">
        <v>0</v>
      </c>
      <c r="N25">
        <v>0</v>
      </c>
      <c r="O25">
        <v>2</v>
      </c>
      <c r="P25">
        <v>0</v>
      </c>
      <c r="Q25" t="s">
        <v>309</v>
      </c>
    </row>
    <row r="26" spans="2:21" x14ac:dyDescent="0.25">
      <c r="B26" s="515"/>
      <c r="C26" s="98">
        <v>3</v>
      </c>
      <c r="D26" s="93">
        <f t="shared" si="0"/>
        <v>3832</v>
      </c>
      <c r="E26">
        <v>0</v>
      </c>
      <c r="F26">
        <v>0</v>
      </c>
      <c r="G26">
        <v>0</v>
      </c>
      <c r="H26">
        <v>0</v>
      </c>
      <c r="J26" s="96"/>
      <c r="L26">
        <v>637</v>
      </c>
      <c r="M26">
        <v>0</v>
      </c>
      <c r="N26">
        <v>0</v>
      </c>
      <c r="O26">
        <v>0</v>
      </c>
      <c r="P26">
        <v>0</v>
      </c>
    </row>
    <row r="27" spans="2:21" x14ac:dyDescent="0.25">
      <c r="B27" s="515"/>
      <c r="C27" s="98">
        <v>89</v>
      </c>
      <c r="D27" s="93">
        <f t="shared" si="0"/>
        <v>3921</v>
      </c>
      <c r="E27">
        <v>0</v>
      </c>
      <c r="F27">
        <v>0</v>
      </c>
      <c r="G27">
        <v>0</v>
      </c>
      <c r="H27">
        <v>0</v>
      </c>
      <c r="J27" s="96"/>
      <c r="L27">
        <v>640</v>
      </c>
      <c r="M27">
        <v>0</v>
      </c>
      <c r="N27">
        <v>0</v>
      </c>
      <c r="O27">
        <v>0</v>
      </c>
      <c r="P27">
        <v>0</v>
      </c>
    </row>
    <row r="28" spans="2:21" x14ac:dyDescent="0.25">
      <c r="B28" s="515"/>
      <c r="C28" s="98">
        <v>1</v>
      </c>
      <c r="D28" s="93">
        <f t="shared" si="0"/>
        <v>3922</v>
      </c>
      <c r="E28">
        <v>0</v>
      </c>
      <c r="F28">
        <v>0</v>
      </c>
      <c r="G28">
        <v>3</v>
      </c>
      <c r="H28">
        <v>0</v>
      </c>
      <c r="J28" s="96"/>
      <c r="L28">
        <v>729</v>
      </c>
      <c r="M28">
        <v>0</v>
      </c>
      <c r="N28">
        <v>0</v>
      </c>
      <c r="O28">
        <v>0</v>
      </c>
      <c r="P28">
        <v>0</v>
      </c>
    </row>
    <row r="29" spans="2:21" x14ac:dyDescent="0.25">
      <c r="D29" s="95"/>
      <c r="E29" s="95"/>
      <c r="F29" s="95"/>
      <c r="G29" s="95"/>
      <c r="H29" s="95"/>
      <c r="I29" s="95"/>
      <c r="L29">
        <v>730</v>
      </c>
      <c r="M29">
        <v>0</v>
      </c>
      <c r="N29">
        <v>0</v>
      </c>
      <c r="O29">
        <v>3</v>
      </c>
      <c r="P29">
        <v>0</v>
      </c>
    </row>
    <row r="30" spans="2:21" x14ac:dyDescent="0.25">
      <c r="L30">
        <v>731</v>
      </c>
      <c r="M30">
        <v>0</v>
      </c>
      <c r="N30">
        <v>0</v>
      </c>
      <c r="O30">
        <v>3</v>
      </c>
      <c r="P30">
        <v>0</v>
      </c>
    </row>
    <row r="31" spans="2:21" x14ac:dyDescent="0.25">
      <c r="L31">
        <v>732</v>
      </c>
      <c r="M31">
        <v>0</v>
      </c>
      <c r="N31">
        <v>0</v>
      </c>
      <c r="O31">
        <v>3</v>
      </c>
      <c r="P31">
        <v>0</v>
      </c>
    </row>
    <row r="32" spans="2:21" x14ac:dyDescent="0.25">
      <c r="L32">
        <v>733</v>
      </c>
      <c r="M32">
        <v>0</v>
      </c>
      <c r="N32">
        <v>0</v>
      </c>
      <c r="O32">
        <v>3</v>
      </c>
      <c r="P32">
        <v>0</v>
      </c>
    </row>
    <row r="33" spans="5:16" ht="14.45" customHeight="1" x14ac:dyDescent="0.25">
      <c r="E33">
        <f>D4*0.14</f>
        <v>9021.6</v>
      </c>
      <c r="F33">
        <f>E33/340</f>
        <v>26.534117647058824</v>
      </c>
      <c r="L33">
        <v>734</v>
      </c>
      <c r="M33">
        <v>0</v>
      </c>
      <c r="N33">
        <v>0</v>
      </c>
      <c r="O33">
        <v>3</v>
      </c>
      <c r="P33">
        <v>0</v>
      </c>
    </row>
  </sheetData>
  <mergeCells count="4">
    <mergeCell ref="L2:R2"/>
    <mergeCell ref="B20:B28"/>
    <mergeCell ref="D18:I18"/>
    <mergeCell ref="F16:J16"/>
  </mergeCells>
  <hyperlinks>
    <hyperlink ref="F16" r:id="rId1" display="Click here for a link to the No-Soak MCT 55mph &amp; US06 test folder" xr:uid="{00000000-0004-0000-0500-000000000000}"/>
    <hyperlink ref="F16:J16" r:id="rId2" display="Click here for a link to the No-Soak MCT 55-65mph &amp; US06 test folder" xr:uid="{00000000-0004-0000-0500-000001000000}"/>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F75"/>
  <sheetViews>
    <sheetView workbookViewId="0">
      <selection activeCell="B101" sqref="B101"/>
    </sheetView>
  </sheetViews>
  <sheetFormatPr defaultColWidth="9.140625" defaultRowHeight="15" x14ac:dyDescent="0.25"/>
  <cols>
    <col min="1" max="1" width="28.85546875" customWidth="1"/>
    <col min="2" max="2" width="20.5703125" customWidth="1"/>
    <col min="3" max="3" width="28.42578125" bestFit="1" customWidth="1"/>
    <col min="4" max="4" width="14.42578125" customWidth="1"/>
    <col min="5" max="5" width="17.5703125" customWidth="1"/>
    <col min="6" max="6" width="14.42578125" customWidth="1"/>
    <col min="7" max="7" width="11.85546875" customWidth="1"/>
    <col min="9" max="9" width="11.85546875" customWidth="1"/>
    <col min="10" max="10" width="11" customWidth="1"/>
    <col min="17" max="17" width="13" customWidth="1"/>
    <col min="18" max="18" width="12.85546875" customWidth="1"/>
    <col min="19" max="19" width="5.42578125" customWidth="1"/>
    <col min="20" max="20" width="24.5703125" customWidth="1"/>
    <col min="21" max="21" width="15.85546875" customWidth="1"/>
    <col min="22" max="22" width="17" customWidth="1"/>
    <col min="23" max="23" width="18.85546875" customWidth="1"/>
    <col min="24" max="25" width="15.5703125" customWidth="1"/>
    <col min="26" max="26" width="24.42578125" customWidth="1"/>
    <col min="27" max="27" width="16.42578125" customWidth="1"/>
    <col min="28" max="28" width="11.42578125" bestFit="1" customWidth="1"/>
    <col min="29" max="30" width="22.5703125" bestFit="1" customWidth="1"/>
    <col min="31" max="31" width="16.42578125" bestFit="1" customWidth="1"/>
    <col min="32" max="32" width="14.5703125" bestFit="1" customWidth="1"/>
    <col min="33" max="33" width="13.42578125" bestFit="1" customWidth="1"/>
  </cols>
  <sheetData>
    <row r="1" spans="1:32" ht="14.45" customHeight="1" x14ac:dyDescent="0.25">
      <c r="A1" s="27"/>
      <c r="O1" s="523" t="s">
        <v>105</v>
      </c>
    </row>
    <row r="2" spans="1:32" ht="18" customHeight="1" thickBot="1" x14ac:dyDescent="0.3">
      <c r="A2" s="524" t="s">
        <v>313</v>
      </c>
      <c r="B2" s="524"/>
      <c r="C2" s="524"/>
      <c r="O2" s="523"/>
      <c r="Q2" s="84" t="s">
        <v>356</v>
      </c>
      <c r="R2">
        <v>62008007</v>
      </c>
      <c r="T2" s="19"/>
    </row>
    <row r="3" spans="1:32" ht="15.75" thickBot="1" x14ac:dyDescent="0.3">
      <c r="A3" s="148" t="s">
        <v>310</v>
      </c>
      <c r="B3" s="525" t="str">
        <f>TestPlan!B1</f>
        <v>2020 Chevrolet Bolt</v>
      </c>
      <c r="C3" s="526"/>
      <c r="O3" s="523"/>
      <c r="Q3" s="65" t="s">
        <v>89</v>
      </c>
      <c r="R3" s="65"/>
      <c r="S3" s="66"/>
      <c r="T3" s="67" t="s">
        <v>81</v>
      </c>
      <c r="U3" s="65" t="s">
        <v>82</v>
      </c>
      <c r="V3" s="65" t="s">
        <v>83</v>
      </c>
      <c r="W3" s="65" t="s">
        <v>84</v>
      </c>
      <c r="X3" s="65" t="s">
        <v>107</v>
      </c>
      <c r="Y3" s="65" t="s">
        <v>205</v>
      </c>
      <c r="Z3" s="65" t="s">
        <v>108</v>
      </c>
      <c r="AA3" s="65" t="s">
        <v>203</v>
      </c>
      <c r="AB3" s="68" t="s">
        <v>112</v>
      </c>
      <c r="AC3" s="68" t="s">
        <v>85</v>
      </c>
      <c r="AD3" s="68" t="s">
        <v>86</v>
      </c>
      <c r="AE3" s="68" t="s">
        <v>111</v>
      </c>
      <c r="AF3" s="68" t="s">
        <v>88</v>
      </c>
    </row>
    <row r="4" spans="1:32" ht="15.75" thickBot="1" x14ac:dyDescent="0.3">
      <c r="A4" s="149" t="s">
        <v>80</v>
      </c>
      <c r="B4" s="527" t="str">
        <f>TestInfoInstru!B5</f>
        <v>1N4BZ1CP5KC318216</v>
      </c>
      <c r="C4" s="528"/>
      <c r="O4" s="523"/>
      <c r="Q4" s="58">
        <v>10</v>
      </c>
      <c r="R4" s="180" t="e">
        <f>(AB4+AB18)/2</f>
        <v>#DIV/0!</v>
      </c>
      <c r="S4" s="24"/>
      <c r="AB4" s="21" t="e">
        <f>(Y4)/W4</f>
        <v>#DIV/0!</v>
      </c>
      <c r="AC4" s="20">
        <f t="shared" ref="AC4:AC18" si="0">W4*0.44704</f>
        <v>0</v>
      </c>
      <c r="AD4" s="21">
        <f t="shared" ref="AD4:AD18" si="1">AC4*Z4/1000</f>
        <v>0</v>
      </c>
      <c r="AE4" s="21">
        <f>Y4/1000</f>
        <v>0</v>
      </c>
      <c r="AF4" s="21" t="e">
        <f t="shared" ref="AF4:AF18" si="2">AD4/AE4*100</f>
        <v>#DIV/0!</v>
      </c>
    </row>
    <row r="5" spans="1:32" x14ac:dyDescent="0.25">
      <c r="A5" s="346" t="s">
        <v>73</v>
      </c>
      <c r="B5" s="347">
        <f>TestInfoInstru!G11</f>
        <v>4250</v>
      </c>
      <c r="C5" s="236" t="s">
        <v>77</v>
      </c>
      <c r="O5" s="523"/>
      <c r="Q5" s="58">
        <v>20</v>
      </c>
      <c r="R5" s="180" t="e">
        <f>(AB5+AB17)/2</f>
        <v>#DIV/0!</v>
      </c>
      <c r="S5" s="24"/>
      <c r="AB5" s="21" t="e">
        <f t="shared" ref="AB5:AB18" si="3">(Y5)/W5</f>
        <v>#DIV/0!</v>
      </c>
      <c r="AC5" s="20">
        <f t="shared" si="0"/>
        <v>0</v>
      </c>
      <c r="AD5" s="21">
        <f t="shared" si="1"/>
        <v>0</v>
      </c>
      <c r="AE5" s="21">
        <f t="shared" ref="AE5:AE18" si="4">Y5/1000</f>
        <v>0</v>
      </c>
      <c r="AF5" s="21" t="e">
        <f t="shared" si="2"/>
        <v>#DIV/0!</v>
      </c>
    </row>
    <row r="6" spans="1:32" ht="15.6" customHeight="1" x14ac:dyDescent="0.25">
      <c r="A6" s="348" t="s">
        <v>76</v>
      </c>
      <c r="B6" s="349">
        <f>TestInfoInstru!G12</f>
        <v>30.36</v>
      </c>
      <c r="C6" s="350" t="s">
        <v>77</v>
      </c>
      <c r="O6" s="523"/>
      <c r="Q6" s="58">
        <v>30</v>
      </c>
      <c r="R6" s="180" t="e">
        <f>(AB6+AB16)/2</f>
        <v>#DIV/0!</v>
      </c>
      <c r="S6" s="24"/>
      <c r="AB6" s="21" t="e">
        <f t="shared" si="3"/>
        <v>#DIV/0!</v>
      </c>
      <c r="AC6" s="20">
        <f t="shared" si="0"/>
        <v>0</v>
      </c>
      <c r="AD6" s="21">
        <f t="shared" si="1"/>
        <v>0</v>
      </c>
      <c r="AE6" s="21">
        <f t="shared" si="4"/>
        <v>0</v>
      </c>
      <c r="AF6" s="21" t="e">
        <f t="shared" si="2"/>
        <v>#DIV/0!</v>
      </c>
    </row>
    <row r="7" spans="1:32" x14ac:dyDescent="0.25">
      <c r="A7" s="348" t="s">
        <v>75</v>
      </c>
      <c r="B7" s="351">
        <f>TestInfoInstru!G13</f>
        <v>0.3201</v>
      </c>
      <c r="C7" s="350" t="s">
        <v>78</v>
      </c>
      <c r="O7" s="523"/>
      <c r="Q7" s="58">
        <v>40</v>
      </c>
      <c r="R7" s="180" t="e">
        <f>(AB7+AB15)/2</f>
        <v>#DIV/0!</v>
      </c>
      <c r="S7" s="24"/>
      <c r="AB7" s="21" t="e">
        <f t="shared" si="3"/>
        <v>#DIV/0!</v>
      </c>
      <c r="AC7" s="20">
        <f t="shared" si="0"/>
        <v>0</v>
      </c>
      <c r="AD7" s="21">
        <f t="shared" si="1"/>
        <v>0</v>
      </c>
      <c r="AE7" s="21">
        <f t="shared" si="4"/>
        <v>0</v>
      </c>
      <c r="AF7" s="21" t="e">
        <f t="shared" si="2"/>
        <v>#DIV/0!</v>
      </c>
    </row>
    <row r="8" spans="1:32" ht="15.75" thickBot="1" x14ac:dyDescent="0.3">
      <c r="A8" s="352" t="s">
        <v>74</v>
      </c>
      <c r="B8" s="353">
        <f>TestInfoInstru!G14</f>
        <v>1.9560000000000001E-2</v>
      </c>
      <c r="C8" s="354" t="s">
        <v>79</v>
      </c>
      <c r="O8" s="523"/>
      <c r="Q8" s="58">
        <v>50</v>
      </c>
      <c r="R8" s="180" t="e">
        <f>(AB8+AB14)/2</f>
        <v>#DIV/0!</v>
      </c>
      <c r="S8" s="24"/>
      <c r="AB8" s="21" t="e">
        <f t="shared" si="3"/>
        <v>#DIV/0!</v>
      </c>
      <c r="AC8" s="20">
        <f t="shared" si="0"/>
        <v>0</v>
      </c>
      <c r="AD8" s="21">
        <f t="shared" si="1"/>
        <v>0</v>
      </c>
      <c r="AE8" s="21">
        <f t="shared" si="4"/>
        <v>0</v>
      </c>
      <c r="AF8" s="21" t="e">
        <f t="shared" si="2"/>
        <v>#DIV/0!</v>
      </c>
    </row>
    <row r="9" spans="1:32" x14ac:dyDescent="0.25">
      <c r="A9" s="234" t="s">
        <v>385</v>
      </c>
      <c r="B9" s="235"/>
      <c r="C9" s="236" t="s">
        <v>312</v>
      </c>
      <c r="O9" s="523"/>
      <c r="Q9" s="58">
        <v>60</v>
      </c>
      <c r="R9" s="180" t="e">
        <f>(AB9+AB13)/2</f>
        <v>#DIV/0!</v>
      </c>
      <c r="S9" s="24"/>
      <c r="AB9" s="21" t="e">
        <f t="shared" si="3"/>
        <v>#DIV/0!</v>
      </c>
      <c r="AC9" s="20">
        <f t="shared" si="0"/>
        <v>0</v>
      </c>
      <c r="AD9" s="21">
        <f t="shared" si="1"/>
        <v>0</v>
      </c>
      <c r="AE9" s="21">
        <f t="shared" si="4"/>
        <v>0</v>
      </c>
      <c r="AF9" s="21" t="e">
        <f t="shared" si="2"/>
        <v>#DIV/0!</v>
      </c>
    </row>
    <row r="10" spans="1:32" x14ac:dyDescent="0.25">
      <c r="A10" s="237" t="s">
        <v>386</v>
      </c>
      <c r="B10" s="238"/>
      <c r="C10" s="239" t="s">
        <v>312</v>
      </c>
      <c r="O10" s="523"/>
      <c r="Q10" s="58">
        <v>70</v>
      </c>
      <c r="R10" s="180" t="e">
        <f>(AB10+AB12)/2</f>
        <v>#DIV/0!</v>
      </c>
      <c r="S10" s="24"/>
      <c r="AB10" s="21" t="e">
        <f t="shared" si="3"/>
        <v>#DIV/0!</v>
      </c>
      <c r="AC10" s="20">
        <f t="shared" si="0"/>
        <v>0</v>
      </c>
      <c r="AD10" s="21">
        <f t="shared" si="1"/>
        <v>0</v>
      </c>
      <c r="AE10" s="21">
        <f t="shared" si="4"/>
        <v>0</v>
      </c>
      <c r="AF10" s="21" t="e">
        <f t="shared" si="2"/>
        <v>#DIV/0!</v>
      </c>
    </row>
    <row r="11" spans="1:32" ht="15.75" thickBot="1" x14ac:dyDescent="0.3">
      <c r="A11" s="242" t="s">
        <v>311</v>
      </c>
      <c r="B11" s="217">
        <f>B10+B9</f>
        <v>0</v>
      </c>
      <c r="C11" s="218" t="s">
        <v>312</v>
      </c>
      <c r="O11" s="523"/>
      <c r="Q11" s="58">
        <v>80</v>
      </c>
      <c r="R11" s="180" t="e">
        <f>AB11</f>
        <v>#DIV/0!</v>
      </c>
      <c r="S11" s="24"/>
      <c r="AB11" s="21" t="e">
        <f t="shared" si="3"/>
        <v>#DIV/0!</v>
      </c>
      <c r="AC11" s="20">
        <f t="shared" si="0"/>
        <v>0</v>
      </c>
      <c r="AD11" s="21">
        <f t="shared" si="1"/>
        <v>0</v>
      </c>
      <c r="AE11" s="21">
        <f t="shared" si="4"/>
        <v>0</v>
      </c>
      <c r="AF11" s="21" t="e">
        <f t="shared" si="2"/>
        <v>#DIV/0!</v>
      </c>
    </row>
    <row r="12" spans="1:32" ht="15.95" customHeight="1" thickBot="1" x14ac:dyDescent="0.3">
      <c r="A12" s="147" t="s">
        <v>379</v>
      </c>
      <c r="B12" s="240"/>
      <c r="C12" s="241" t="s">
        <v>289</v>
      </c>
      <c r="O12" s="523"/>
      <c r="S12" s="24"/>
      <c r="AB12" s="21" t="e">
        <f t="shared" si="3"/>
        <v>#DIV/0!</v>
      </c>
      <c r="AC12" s="20">
        <f t="shared" si="0"/>
        <v>0</v>
      </c>
      <c r="AD12" s="21">
        <f t="shared" si="1"/>
        <v>0</v>
      </c>
      <c r="AE12" s="21">
        <f t="shared" si="4"/>
        <v>0</v>
      </c>
      <c r="AF12" s="21" t="e">
        <f t="shared" si="2"/>
        <v>#DIV/0!</v>
      </c>
    </row>
    <row r="13" spans="1:32" ht="15.75" thickBot="1" x14ac:dyDescent="0.3">
      <c r="O13" s="523"/>
      <c r="S13" s="24"/>
      <c r="AB13" s="21" t="e">
        <f t="shared" si="3"/>
        <v>#DIV/0!</v>
      </c>
      <c r="AC13" s="20">
        <f t="shared" si="0"/>
        <v>0</v>
      </c>
      <c r="AD13" s="21">
        <f t="shared" si="1"/>
        <v>0</v>
      </c>
      <c r="AE13" s="21">
        <f t="shared" si="4"/>
        <v>0</v>
      </c>
      <c r="AF13" s="21" t="e">
        <f t="shared" si="2"/>
        <v>#DIV/0!</v>
      </c>
    </row>
    <row r="14" spans="1:32" ht="15.75" thickBot="1" x14ac:dyDescent="0.3">
      <c r="A14" s="355" t="s">
        <v>344</v>
      </c>
      <c r="B14" s="529" t="s">
        <v>293</v>
      </c>
      <c r="C14" s="530"/>
      <c r="D14" s="529" t="s">
        <v>294</v>
      </c>
      <c r="E14" s="531"/>
      <c r="O14" s="523"/>
      <c r="S14" s="24"/>
      <c r="AB14" s="21" t="e">
        <f t="shared" si="3"/>
        <v>#DIV/0!</v>
      </c>
      <c r="AC14" s="20">
        <f t="shared" si="0"/>
        <v>0</v>
      </c>
      <c r="AD14" s="21">
        <f t="shared" si="1"/>
        <v>0</v>
      </c>
      <c r="AE14" s="21">
        <f t="shared" si="4"/>
        <v>0</v>
      </c>
      <c r="AF14" s="21" t="e">
        <f t="shared" si="2"/>
        <v>#DIV/0!</v>
      </c>
    </row>
    <row r="15" spans="1:32" ht="15.75" thickBot="1" x14ac:dyDescent="0.3">
      <c r="A15" s="356" t="s">
        <v>257</v>
      </c>
      <c r="B15" s="357" t="s">
        <v>58</v>
      </c>
      <c r="C15" s="357" t="s">
        <v>60</v>
      </c>
      <c r="D15" s="357" t="s">
        <v>58</v>
      </c>
      <c r="E15" s="183" t="s">
        <v>60</v>
      </c>
      <c r="G15" s="25"/>
      <c r="O15" s="523"/>
      <c r="S15" s="24"/>
      <c r="AB15" s="21" t="e">
        <f t="shared" si="3"/>
        <v>#DIV/0!</v>
      </c>
      <c r="AC15" s="20">
        <f t="shared" si="0"/>
        <v>0</v>
      </c>
      <c r="AD15" s="21">
        <f t="shared" si="1"/>
        <v>0</v>
      </c>
      <c r="AE15" s="21">
        <f t="shared" si="4"/>
        <v>0</v>
      </c>
      <c r="AF15" s="21" t="e">
        <f t="shared" si="2"/>
        <v>#DIV/0!</v>
      </c>
    </row>
    <row r="16" spans="1:32" x14ac:dyDescent="0.25">
      <c r="A16" s="358">
        <v>10</v>
      </c>
      <c r="B16" s="359" t="e">
        <f>R4</f>
        <v>#DIV/0!</v>
      </c>
      <c r="C16" s="360" t="e">
        <f>R24</f>
        <v>#DIV/0!</v>
      </c>
      <c r="D16" s="359" t="e">
        <f t="shared" ref="D16:E23" si="5">B16/$D$24</f>
        <v>#DIV/0!</v>
      </c>
      <c r="E16" s="184" t="e">
        <f t="shared" si="5"/>
        <v>#DIV/0!</v>
      </c>
      <c r="H16" s="26"/>
      <c r="I16" s="26"/>
      <c r="J16" s="26"/>
      <c r="O16" s="523"/>
      <c r="S16" s="24"/>
      <c r="AB16" s="21" t="e">
        <f t="shared" si="3"/>
        <v>#DIV/0!</v>
      </c>
      <c r="AC16" s="20">
        <f t="shared" si="0"/>
        <v>0</v>
      </c>
      <c r="AD16" s="21">
        <f t="shared" si="1"/>
        <v>0</v>
      </c>
      <c r="AE16" s="21">
        <f t="shared" si="4"/>
        <v>0</v>
      </c>
      <c r="AF16" s="21" t="e">
        <f t="shared" si="2"/>
        <v>#DIV/0!</v>
      </c>
    </row>
    <row r="17" spans="1:32" x14ac:dyDescent="0.25">
      <c r="A17" s="361">
        <v>20</v>
      </c>
      <c r="B17" s="359" t="e">
        <f>R5</f>
        <v>#DIV/0!</v>
      </c>
      <c r="C17" s="362" t="e">
        <f>R25</f>
        <v>#DIV/0!</v>
      </c>
      <c r="D17" s="359" t="e">
        <f t="shared" si="5"/>
        <v>#DIV/0!</v>
      </c>
      <c r="E17" s="184" t="e">
        <f t="shared" si="5"/>
        <v>#DIV/0!</v>
      </c>
      <c r="H17" s="26"/>
      <c r="I17" s="26"/>
      <c r="J17" s="26"/>
      <c r="O17" s="523"/>
      <c r="S17" s="24"/>
      <c r="AB17" s="21" t="e">
        <f t="shared" si="3"/>
        <v>#DIV/0!</v>
      </c>
      <c r="AC17" s="20">
        <f t="shared" si="0"/>
        <v>0</v>
      </c>
      <c r="AD17" s="21">
        <f t="shared" si="1"/>
        <v>0</v>
      </c>
      <c r="AE17" s="21">
        <f t="shared" si="4"/>
        <v>0</v>
      </c>
      <c r="AF17" s="21" t="e">
        <f t="shared" si="2"/>
        <v>#DIV/0!</v>
      </c>
    </row>
    <row r="18" spans="1:32" x14ac:dyDescent="0.25">
      <c r="A18" s="361">
        <v>30</v>
      </c>
      <c r="B18" s="359" t="e">
        <f t="shared" ref="B18:B23" si="6">R6</f>
        <v>#DIV/0!</v>
      </c>
      <c r="C18" s="360" t="e">
        <f t="shared" ref="C18:C23" si="7">R26</f>
        <v>#DIV/0!</v>
      </c>
      <c r="D18" s="359" t="e">
        <f t="shared" si="5"/>
        <v>#DIV/0!</v>
      </c>
      <c r="E18" s="184" t="e">
        <f t="shared" si="5"/>
        <v>#DIV/0!</v>
      </c>
      <c r="H18" s="26"/>
      <c r="I18" s="26"/>
      <c r="J18" s="26"/>
      <c r="O18" s="523"/>
      <c r="S18" s="24"/>
      <c r="AB18" s="21" t="e">
        <f t="shared" si="3"/>
        <v>#DIV/0!</v>
      </c>
      <c r="AC18" s="20">
        <f t="shared" si="0"/>
        <v>0</v>
      </c>
      <c r="AD18" s="21">
        <f t="shared" si="1"/>
        <v>0</v>
      </c>
      <c r="AE18" s="21">
        <f t="shared" si="4"/>
        <v>0</v>
      </c>
      <c r="AF18" s="21" t="e">
        <f t="shared" si="2"/>
        <v>#DIV/0!</v>
      </c>
    </row>
    <row r="19" spans="1:32" x14ac:dyDescent="0.25">
      <c r="A19" s="361">
        <v>40</v>
      </c>
      <c r="B19" s="359" t="e">
        <f t="shared" si="6"/>
        <v>#DIV/0!</v>
      </c>
      <c r="C19" s="362" t="e">
        <f t="shared" si="7"/>
        <v>#DIV/0!</v>
      </c>
      <c r="D19" s="359" t="e">
        <f t="shared" si="5"/>
        <v>#DIV/0!</v>
      </c>
      <c r="E19" s="184" t="e">
        <f t="shared" si="5"/>
        <v>#DIV/0!</v>
      </c>
      <c r="H19" s="26"/>
      <c r="I19" s="26"/>
      <c r="J19" s="26"/>
      <c r="O19" s="523"/>
    </row>
    <row r="20" spans="1:32" x14ac:dyDescent="0.25">
      <c r="A20" s="361">
        <v>50</v>
      </c>
      <c r="B20" s="359" t="e">
        <f t="shared" si="6"/>
        <v>#DIV/0!</v>
      </c>
      <c r="C20" s="360" t="e">
        <f t="shared" si="7"/>
        <v>#DIV/0!</v>
      </c>
      <c r="D20" s="359" t="e">
        <f t="shared" si="5"/>
        <v>#DIV/0!</v>
      </c>
      <c r="E20" s="184" t="e">
        <f t="shared" si="5"/>
        <v>#DIV/0!</v>
      </c>
      <c r="H20" s="26"/>
      <c r="I20" s="26"/>
      <c r="J20" s="26"/>
      <c r="O20" s="523"/>
    </row>
    <row r="21" spans="1:32" x14ac:dyDescent="0.25">
      <c r="A21" s="361">
        <v>60</v>
      </c>
      <c r="B21" s="359" t="e">
        <f t="shared" si="6"/>
        <v>#DIV/0!</v>
      </c>
      <c r="C21" s="362" t="e">
        <f t="shared" si="7"/>
        <v>#DIV/0!</v>
      </c>
      <c r="D21" s="359" t="e">
        <f t="shared" si="5"/>
        <v>#DIV/0!</v>
      </c>
      <c r="E21" s="184" t="e">
        <f t="shared" si="5"/>
        <v>#DIV/0!</v>
      </c>
      <c r="H21" s="26"/>
      <c r="I21" s="26"/>
      <c r="J21" s="26"/>
      <c r="O21" s="523"/>
    </row>
    <row r="22" spans="1:32" x14ac:dyDescent="0.25">
      <c r="A22" s="361">
        <v>70</v>
      </c>
      <c r="B22" s="359" t="e">
        <f t="shared" si="6"/>
        <v>#DIV/0!</v>
      </c>
      <c r="C22" s="360" t="e">
        <f t="shared" si="7"/>
        <v>#DIV/0!</v>
      </c>
      <c r="D22" s="359" t="e">
        <f t="shared" si="5"/>
        <v>#DIV/0!</v>
      </c>
      <c r="E22" s="184" t="e">
        <f t="shared" si="5"/>
        <v>#DIV/0!</v>
      </c>
      <c r="H22" s="26"/>
      <c r="I22" s="26"/>
      <c r="J22" s="26"/>
      <c r="O22" s="523"/>
      <c r="Q22" s="84" t="s">
        <v>356</v>
      </c>
      <c r="R22">
        <v>62008007</v>
      </c>
      <c r="T22" s="19"/>
    </row>
    <row r="23" spans="1:32" ht="15" customHeight="1" thickBot="1" x14ac:dyDescent="0.3">
      <c r="A23" s="361">
        <v>80</v>
      </c>
      <c r="B23" s="359" t="e">
        <f t="shared" si="6"/>
        <v>#DIV/0!</v>
      </c>
      <c r="C23" s="362" t="e">
        <f t="shared" si="7"/>
        <v>#DIV/0!</v>
      </c>
      <c r="D23" s="359" t="e">
        <f t="shared" si="5"/>
        <v>#DIV/0!</v>
      </c>
      <c r="E23" s="184" t="e">
        <f t="shared" si="5"/>
        <v>#DIV/0!</v>
      </c>
      <c r="H23" s="26"/>
      <c r="I23" s="26"/>
      <c r="J23" s="26"/>
      <c r="O23" s="523"/>
      <c r="Q23" s="65" t="s">
        <v>91</v>
      </c>
      <c r="R23" s="65"/>
      <c r="S23" s="65"/>
      <c r="T23" s="70" t="s">
        <v>81</v>
      </c>
      <c r="U23" s="65" t="s">
        <v>82</v>
      </c>
      <c r="V23" s="65" t="s">
        <v>83</v>
      </c>
      <c r="W23" s="65" t="s">
        <v>84</v>
      </c>
      <c r="X23" s="65" t="s">
        <v>107</v>
      </c>
      <c r="Y23" s="65" t="s">
        <v>205</v>
      </c>
      <c r="Z23" s="65" t="s">
        <v>108</v>
      </c>
      <c r="AA23" s="65" t="s">
        <v>203</v>
      </c>
      <c r="AB23" s="69" t="s">
        <v>112</v>
      </c>
      <c r="AC23" s="69" t="s">
        <v>85</v>
      </c>
      <c r="AD23" s="69" t="s">
        <v>86</v>
      </c>
      <c r="AE23" s="69" t="s">
        <v>87</v>
      </c>
      <c r="AF23" s="69" t="s">
        <v>88</v>
      </c>
    </row>
    <row r="24" spans="1:32" ht="15.75" thickBot="1" x14ac:dyDescent="0.3">
      <c r="A24" s="363"/>
      <c r="B24" s="364"/>
      <c r="C24" s="365" t="s">
        <v>357</v>
      </c>
      <c r="D24" s="366" t="e">
        <f>D47</f>
        <v>#REF!</v>
      </c>
      <c r="E24" s="86"/>
      <c r="O24" s="523"/>
      <c r="Q24" s="58">
        <v>10</v>
      </c>
      <c r="R24" s="180" t="e">
        <f>(AB24+AB38)/2</f>
        <v>#DIV/0!</v>
      </c>
      <c r="AB24" s="21" t="e">
        <f>(Y24)/W24</f>
        <v>#DIV/0!</v>
      </c>
      <c r="AC24" s="20">
        <f t="shared" ref="AC24:AC38" si="8">W24*0.44704</f>
        <v>0</v>
      </c>
      <c r="AD24" s="21">
        <f t="shared" ref="AD24:AD38" si="9">AC24*Z24/1000</f>
        <v>0</v>
      </c>
      <c r="AE24" s="21">
        <f>Y24/1000</f>
        <v>0</v>
      </c>
      <c r="AF24" s="21" t="e">
        <f t="shared" ref="AF24:AF38" si="10">AD24/AE24*100</f>
        <v>#DIV/0!</v>
      </c>
    </row>
    <row r="25" spans="1:32" ht="15.75" thickBot="1" x14ac:dyDescent="0.3">
      <c r="O25" s="523"/>
      <c r="Q25" s="58">
        <v>20</v>
      </c>
      <c r="R25" s="180" t="e">
        <f>(AB25+AB37)/2</f>
        <v>#DIV/0!</v>
      </c>
      <c r="AB25" s="21" t="e">
        <f t="shared" ref="AB25:AB38" si="11">(Y25)/W25</f>
        <v>#DIV/0!</v>
      </c>
      <c r="AC25" s="20">
        <f t="shared" si="8"/>
        <v>0</v>
      </c>
      <c r="AD25" s="21">
        <f t="shared" si="9"/>
        <v>0</v>
      </c>
      <c r="AE25" s="21">
        <f t="shared" ref="AE25:AE38" si="12">Y25/1000</f>
        <v>0</v>
      </c>
      <c r="AF25" s="21" t="e">
        <f t="shared" si="10"/>
        <v>#DIV/0!</v>
      </c>
    </row>
    <row r="26" spans="1:32" ht="15.75" thickBot="1" x14ac:dyDescent="0.3">
      <c r="A26" s="367" t="s">
        <v>340</v>
      </c>
      <c r="B26" s="532" t="s">
        <v>67</v>
      </c>
      <c r="C26" s="532"/>
      <c r="D26" s="533"/>
      <c r="E26" s="17"/>
      <c r="F26" s="17"/>
      <c r="O26" s="523"/>
      <c r="Q26" s="58">
        <v>30</v>
      </c>
      <c r="R26" s="180" t="e">
        <f>(AB26+AB36)/2</f>
        <v>#DIV/0!</v>
      </c>
      <c r="AB26" s="21" t="e">
        <f t="shared" si="11"/>
        <v>#DIV/0!</v>
      </c>
      <c r="AC26" s="20">
        <f t="shared" si="8"/>
        <v>0</v>
      </c>
      <c r="AD26" s="21">
        <f t="shared" si="9"/>
        <v>0</v>
      </c>
      <c r="AE26" s="21">
        <f t="shared" si="12"/>
        <v>0</v>
      </c>
      <c r="AF26" s="21" t="e">
        <f t="shared" si="10"/>
        <v>#DIV/0!</v>
      </c>
    </row>
    <row r="27" spans="1:32" x14ac:dyDescent="0.25">
      <c r="A27" s="368"/>
      <c r="B27" s="369" t="s">
        <v>58</v>
      </c>
      <c r="C27" s="369" t="s">
        <v>59</v>
      </c>
      <c r="D27" s="370" t="s">
        <v>60</v>
      </c>
      <c r="O27" s="523"/>
      <c r="Q27" s="58">
        <v>40</v>
      </c>
      <c r="R27" s="180" t="e">
        <f>(AB27+AB35)/2</f>
        <v>#DIV/0!</v>
      </c>
      <c r="AB27" s="21" t="e">
        <f t="shared" si="11"/>
        <v>#DIV/0!</v>
      </c>
      <c r="AC27" s="20">
        <f t="shared" si="8"/>
        <v>0</v>
      </c>
      <c r="AD27" s="21">
        <f t="shared" si="9"/>
        <v>0</v>
      </c>
      <c r="AE27" s="21">
        <f t="shared" si="12"/>
        <v>0</v>
      </c>
      <c r="AF27" s="21" t="e">
        <f t="shared" si="10"/>
        <v>#DIV/0!</v>
      </c>
    </row>
    <row r="28" spans="1:32" x14ac:dyDescent="0.25">
      <c r="A28" s="371" t="s">
        <v>61</v>
      </c>
      <c r="B28" s="372" t="e">
        <f>R42</f>
        <v>#DIV/0!</v>
      </c>
      <c r="C28" s="372" t="e">
        <f>R51</f>
        <v>#DIV/0!</v>
      </c>
      <c r="D28" s="373" t="e">
        <f>R59</f>
        <v>#DIV/0!</v>
      </c>
      <c r="E28" s="90"/>
      <c r="F28" s="90"/>
      <c r="O28" s="523"/>
      <c r="Q28" s="58">
        <v>50</v>
      </c>
      <c r="R28" s="180" t="e">
        <f>(AB28)</f>
        <v>#DIV/0!</v>
      </c>
      <c r="AB28" s="21" t="e">
        <f t="shared" si="11"/>
        <v>#DIV/0!</v>
      </c>
      <c r="AC28" s="20">
        <f t="shared" si="8"/>
        <v>0</v>
      </c>
      <c r="AD28" s="21">
        <f t="shared" si="9"/>
        <v>0</v>
      </c>
      <c r="AE28" s="21">
        <f t="shared" si="12"/>
        <v>0</v>
      </c>
      <c r="AF28" s="21" t="e">
        <f t="shared" si="10"/>
        <v>#DIV/0!</v>
      </c>
    </row>
    <row r="29" spans="1:32" x14ac:dyDescent="0.25">
      <c r="A29" s="371" t="s">
        <v>62</v>
      </c>
      <c r="B29" s="372" t="e">
        <f>R43</f>
        <v>#DIV/0!</v>
      </c>
      <c r="C29" s="372" t="e">
        <f>R52</f>
        <v>#DIV/0!</v>
      </c>
      <c r="D29" s="373" t="e">
        <f>R60</f>
        <v>#DIV/0!</v>
      </c>
      <c r="E29" s="90"/>
      <c r="F29" s="90"/>
      <c r="O29" s="523"/>
      <c r="Q29" s="58">
        <v>60</v>
      </c>
      <c r="R29" s="180" t="e">
        <f>(AB29+AB33)/2</f>
        <v>#DIV/0!</v>
      </c>
      <c r="AB29" s="21" t="e">
        <f t="shared" si="11"/>
        <v>#DIV/0!</v>
      </c>
      <c r="AC29" s="20">
        <f t="shared" si="8"/>
        <v>0</v>
      </c>
      <c r="AD29" s="21">
        <f t="shared" si="9"/>
        <v>0</v>
      </c>
      <c r="AE29" s="21">
        <f t="shared" si="12"/>
        <v>0</v>
      </c>
      <c r="AF29" s="21" t="e">
        <f t="shared" si="10"/>
        <v>#DIV/0!</v>
      </c>
    </row>
    <row r="30" spans="1:32" ht="15.6" customHeight="1" x14ac:dyDescent="0.25">
      <c r="A30" s="371" t="s">
        <v>63</v>
      </c>
      <c r="B30" s="372">
        <f>R44</f>
        <v>0</v>
      </c>
      <c r="C30" s="372">
        <f>R53</f>
        <v>0</v>
      </c>
      <c r="D30" s="373">
        <f>R61</f>
        <v>0</v>
      </c>
      <c r="E30" s="90"/>
      <c r="F30" s="90"/>
      <c r="O30" s="523"/>
      <c r="Q30" s="58">
        <v>70</v>
      </c>
      <c r="R30" s="180" t="e">
        <f>(AB30+AB32)/2</f>
        <v>#DIV/0!</v>
      </c>
      <c r="AB30" s="21" t="e">
        <f t="shared" si="11"/>
        <v>#DIV/0!</v>
      </c>
      <c r="AC30" s="20">
        <f t="shared" si="8"/>
        <v>0</v>
      </c>
      <c r="AD30" s="21">
        <f t="shared" si="9"/>
        <v>0</v>
      </c>
      <c r="AE30" s="21">
        <f t="shared" si="12"/>
        <v>0</v>
      </c>
      <c r="AF30" s="21" t="e">
        <f t="shared" si="10"/>
        <v>#DIV/0!</v>
      </c>
    </row>
    <row r="31" spans="1:32" ht="15.75" thickBot="1" x14ac:dyDescent="0.3">
      <c r="A31" s="374" t="s">
        <v>64</v>
      </c>
      <c r="B31" s="375">
        <f>R45</f>
        <v>0</v>
      </c>
      <c r="C31" s="375">
        <f>R54</f>
        <v>0</v>
      </c>
      <c r="D31" s="376">
        <f>R62</f>
        <v>0</v>
      </c>
      <c r="E31" s="90"/>
      <c r="F31" s="90"/>
      <c r="O31" s="523"/>
      <c r="Q31" s="58">
        <v>80</v>
      </c>
      <c r="R31" s="181" t="e">
        <f>AB31</f>
        <v>#DIV/0!</v>
      </c>
      <c r="AB31" s="21" t="e">
        <f t="shared" si="11"/>
        <v>#DIV/0!</v>
      </c>
      <c r="AC31" s="20">
        <f t="shared" si="8"/>
        <v>0</v>
      </c>
      <c r="AD31" s="21">
        <f t="shared" si="9"/>
        <v>0</v>
      </c>
      <c r="AE31" s="21">
        <f t="shared" si="12"/>
        <v>0</v>
      </c>
      <c r="AF31" s="21" t="e">
        <f t="shared" si="10"/>
        <v>#DIV/0!</v>
      </c>
    </row>
    <row r="32" spans="1:32" ht="15.6" customHeight="1" thickBot="1" x14ac:dyDescent="0.3">
      <c r="C32" s="17"/>
      <c r="D32" s="17"/>
      <c r="E32" s="17"/>
      <c r="F32" s="17"/>
      <c r="O32" s="523"/>
      <c r="AB32" s="21" t="e">
        <f t="shared" si="11"/>
        <v>#DIV/0!</v>
      </c>
      <c r="AC32" s="20">
        <f t="shared" si="8"/>
        <v>0</v>
      </c>
      <c r="AD32" s="21">
        <f t="shared" si="9"/>
        <v>0</v>
      </c>
      <c r="AE32" s="21">
        <f t="shared" si="12"/>
        <v>0</v>
      </c>
      <c r="AF32" s="21" t="e">
        <f t="shared" si="10"/>
        <v>#DIV/0!</v>
      </c>
    </row>
    <row r="33" spans="1:32" x14ac:dyDescent="0.25">
      <c r="A33" s="534" t="s">
        <v>68</v>
      </c>
      <c r="B33" s="535"/>
      <c r="C33" s="535"/>
      <c r="D33" s="536"/>
      <c r="E33" s="146"/>
      <c r="F33" s="146"/>
      <c r="O33" s="523"/>
      <c r="AB33" s="21" t="e">
        <f t="shared" si="11"/>
        <v>#DIV/0!</v>
      </c>
      <c r="AC33" s="20">
        <f t="shared" si="8"/>
        <v>0</v>
      </c>
      <c r="AD33" s="21">
        <f t="shared" si="9"/>
        <v>0</v>
      </c>
      <c r="AE33" s="21">
        <f t="shared" si="12"/>
        <v>0</v>
      </c>
      <c r="AF33" s="21" t="e">
        <f t="shared" si="10"/>
        <v>#DIV/0!</v>
      </c>
    </row>
    <row r="34" spans="1:32" x14ac:dyDescent="0.25">
      <c r="A34" s="537" t="s">
        <v>333</v>
      </c>
      <c r="B34" s="538"/>
      <c r="C34" s="377" t="s">
        <v>65</v>
      </c>
      <c r="D34" s="378"/>
      <c r="O34" s="523"/>
      <c r="AB34" s="21" t="e">
        <f t="shared" si="11"/>
        <v>#DIV/0!</v>
      </c>
      <c r="AC34" s="20">
        <f t="shared" si="8"/>
        <v>0</v>
      </c>
      <c r="AD34" s="21">
        <f t="shared" si="9"/>
        <v>0</v>
      </c>
      <c r="AE34" s="21">
        <f t="shared" si="12"/>
        <v>0</v>
      </c>
      <c r="AF34" s="21" t="e">
        <f t="shared" si="10"/>
        <v>#DIV/0!</v>
      </c>
    </row>
    <row r="35" spans="1:32" ht="15.6" customHeight="1" thickBot="1" x14ac:dyDescent="0.3">
      <c r="A35" s="539">
        <v>61511007</v>
      </c>
      <c r="B35" s="540"/>
      <c r="C35" s="379"/>
      <c r="D35" s="380" t="s">
        <v>66</v>
      </c>
      <c r="E35" s="17"/>
      <c r="F35" s="17"/>
      <c r="O35" s="523"/>
      <c r="AB35" s="21" t="e">
        <f t="shared" si="11"/>
        <v>#DIV/0!</v>
      </c>
      <c r="AC35" s="20">
        <f t="shared" si="8"/>
        <v>0</v>
      </c>
      <c r="AD35" s="21">
        <f t="shared" si="9"/>
        <v>0</v>
      </c>
      <c r="AE35" s="21">
        <f t="shared" si="12"/>
        <v>0</v>
      </c>
      <c r="AF35" s="21" t="e">
        <f t="shared" si="10"/>
        <v>#DIV/0!</v>
      </c>
    </row>
    <row r="36" spans="1:32" ht="15.95" customHeight="1" x14ac:dyDescent="0.25">
      <c r="O36" s="523"/>
      <c r="AB36" s="21" t="e">
        <f t="shared" si="11"/>
        <v>#DIV/0!</v>
      </c>
      <c r="AC36" s="20">
        <f t="shared" si="8"/>
        <v>0</v>
      </c>
      <c r="AD36" s="21">
        <f t="shared" si="9"/>
        <v>0</v>
      </c>
      <c r="AE36" s="21">
        <f t="shared" si="12"/>
        <v>0</v>
      </c>
      <c r="AF36" s="21" t="e">
        <f t="shared" si="10"/>
        <v>#DIV/0!</v>
      </c>
    </row>
    <row r="37" spans="1:32" ht="15.6" customHeight="1" thickBot="1" x14ac:dyDescent="0.3">
      <c r="O37" s="523"/>
      <c r="AB37" s="21" t="e">
        <f t="shared" si="11"/>
        <v>#DIV/0!</v>
      </c>
      <c r="AC37" s="20">
        <f t="shared" si="8"/>
        <v>0</v>
      </c>
      <c r="AD37" s="21">
        <f t="shared" si="9"/>
        <v>0</v>
      </c>
      <c r="AE37" s="21">
        <f t="shared" si="12"/>
        <v>0</v>
      </c>
      <c r="AF37" s="21" t="e">
        <f t="shared" si="10"/>
        <v>#DIV/0!</v>
      </c>
    </row>
    <row r="38" spans="1:32" ht="30" x14ac:dyDescent="0.25">
      <c r="A38" s="381" t="s">
        <v>637</v>
      </c>
      <c r="B38" s="382"/>
      <c r="C38" s="382"/>
      <c r="D38" s="383"/>
      <c r="O38" s="523"/>
      <c r="AB38" s="21" t="e">
        <f t="shared" si="11"/>
        <v>#DIV/0!</v>
      </c>
      <c r="AC38" s="20">
        <f t="shared" si="8"/>
        <v>0</v>
      </c>
      <c r="AD38" s="21">
        <f t="shared" si="9"/>
        <v>0</v>
      </c>
      <c r="AE38" s="21">
        <f t="shared" si="12"/>
        <v>0</v>
      </c>
      <c r="AF38" s="21" t="e">
        <f t="shared" si="10"/>
        <v>#DIV/0!</v>
      </c>
    </row>
    <row r="39" spans="1:32" x14ac:dyDescent="0.25">
      <c r="A39" s="384" t="s">
        <v>636</v>
      </c>
      <c r="B39" s="385"/>
      <c r="C39" s="385"/>
      <c r="D39" s="386"/>
      <c r="O39" s="523"/>
    </row>
    <row r="40" spans="1:32" ht="15.95" customHeight="1" x14ac:dyDescent="0.25">
      <c r="A40" s="387" t="s">
        <v>204</v>
      </c>
      <c r="B40" s="369" t="s">
        <v>0</v>
      </c>
      <c r="C40" s="369" t="s">
        <v>295</v>
      </c>
      <c r="D40" s="370" t="s">
        <v>296</v>
      </c>
      <c r="F40" s="17"/>
      <c r="O40" s="523"/>
      <c r="Q40" s="84" t="s">
        <v>356</v>
      </c>
      <c r="R40">
        <v>62008007</v>
      </c>
      <c r="T40" s="19"/>
    </row>
    <row r="41" spans="1:32" ht="15.75" thickBot="1" x14ac:dyDescent="0.3">
      <c r="A41" s="371" t="s">
        <v>69</v>
      </c>
      <c r="B41" s="388" t="e">
        <f>TestSummary!#REF!</f>
        <v>#REF!</v>
      </c>
      <c r="C41" s="372" t="e">
        <f>TestSummary!#REF!</f>
        <v>#REF!</v>
      </c>
      <c r="D41" s="373" t="e">
        <f t="shared" ref="D41:D46" si="13">C41/$D$47</f>
        <v>#REF!</v>
      </c>
      <c r="E41" s="74"/>
      <c r="F41" s="89"/>
      <c r="O41" s="523"/>
      <c r="Q41" s="65" t="s">
        <v>94</v>
      </c>
      <c r="R41" s="65"/>
      <c r="S41" s="65"/>
      <c r="T41" s="70" t="s">
        <v>81</v>
      </c>
      <c r="U41" s="65" t="s">
        <v>82</v>
      </c>
      <c r="V41" s="65" t="s">
        <v>83</v>
      </c>
      <c r="W41" s="65" t="s">
        <v>95</v>
      </c>
      <c r="X41" s="65" t="s">
        <v>109</v>
      </c>
      <c r="Y41" s="65" t="s">
        <v>110</v>
      </c>
      <c r="Z41" s="65" t="s">
        <v>92</v>
      </c>
      <c r="AA41" s="65" t="s">
        <v>93</v>
      </c>
      <c r="AB41" s="65" t="s">
        <v>231</v>
      </c>
      <c r="AC41" s="65" t="s">
        <v>232</v>
      </c>
    </row>
    <row r="42" spans="1:32" ht="15.6" customHeight="1" x14ac:dyDescent="0.25">
      <c r="A42" s="371" t="s">
        <v>57</v>
      </c>
      <c r="B42" s="388" t="e">
        <f>TestSummary!#REF!</f>
        <v>#REF!</v>
      </c>
      <c r="C42" s="372" t="e">
        <f>TestSummary!#REF!</f>
        <v>#REF!</v>
      </c>
      <c r="D42" s="373" t="e">
        <f t="shared" si="13"/>
        <v>#REF!</v>
      </c>
      <c r="E42" s="74"/>
      <c r="F42" s="89"/>
      <c r="I42" s="22"/>
      <c r="O42" s="523"/>
      <c r="Q42" s="36" t="s">
        <v>61</v>
      </c>
      <c r="R42" s="71" t="e">
        <f>AVERAGE(W42,W44)</f>
        <v>#DIV/0!</v>
      </c>
      <c r="W42" s="33"/>
    </row>
    <row r="43" spans="1:32" x14ac:dyDescent="0.25">
      <c r="A43" s="371" t="s">
        <v>54</v>
      </c>
      <c r="B43" s="388" t="e">
        <f>TestSummary!#REF!</f>
        <v>#REF!</v>
      </c>
      <c r="C43" s="372" t="e">
        <f>TestSummary!#REF!</f>
        <v>#REF!</v>
      </c>
      <c r="D43" s="373" t="e">
        <f t="shared" si="13"/>
        <v>#REF!</v>
      </c>
      <c r="E43" s="74"/>
      <c r="F43" s="89"/>
      <c r="O43" s="523"/>
      <c r="Q43" s="36" t="s">
        <v>62</v>
      </c>
      <c r="R43" s="71" t="e">
        <f>AVERAGE(W43,W46)</f>
        <v>#DIV/0!</v>
      </c>
      <c r="W43" s="33"/>
    </row>
    <row r="44" spans="1:32" x14ac:dyDescent="0.25">
      <c r="A44" s="371" t="s">
        <v>70</v>
      </c>
      <c r="B44" s="388" t="e">
        <f>TestSummary!#REF!</f>
        <v>#REF!</v>
      </c>
      <c r="C44" s="372" t="e">
        <f>TestSummary!#REF!</f>
        <v>#REF!</v>
      </c>
      <c r="D44" s="373" t="e">
        <f t="shared" si="13"/>
        <v>#REF!</v>
      </c>
      <c r="E44" s="74"/>
      <c r="F44" s="90"/>
      <c r="H44" s="17"/>
      <c r="O44" s="523"/>
      <c r="Q44" s="36" t="s">
        <v>63</v>
      </c>
      <c r="R44" s="71">
        <f>W45</f>
        <v>0</v>
      </c>
      <c r="W44" s="33"/>
    </row>
    <row r="45" spans="1:32" x14ac:dyDescent="0.25">
      <c r="A45" s="371" t="s">
        <v>71</v>
      </c>
      <c r="B45" s="388" t="e">
        <f>TestSummary!#REF!</f>
        <v>#REF!</v>
      </c>
      <c r="C45" s="372" t="e">
        <f>TestSummary!#REF!</f>
        <v>#REF!</v>
      </c>
      <c r="D45" s="373" t="e">
        <f t="shared" si="13"/>
        <v>#REF!</v>
      </c>
      <c r="E45" s="74"/>
      <c r="F45" s="90"/>
      <c r="O45" s="523"/>
      <c r="Q45" s="36" t="s">
        <v>64</v>
      </c>
      <c r="R45" s="71">
        <f>W47</f>
        <v>0</v>
      </c>
      <c r="W45" s="33"/>
    </row>
    <row r="46" spans="1:32" ht="15" customHeight="1" x14ac:dyDescent="0.25">
      <c r="A46" s="371" t="s">
        <v>72</v>
      </c>
      <c r="B46" s="388" t="e">
        <f>TestSummary!#REF!</f>
        <v>#REF!</v>
      </c>
      <c r="C46" s="372" t="e">
        <f>TestSummary!#REF!</f>
        <v>#REF!</v>
      </c>
      <c r="D46" s="373" t="e">
        <f t="shared" si="13"/>
        <v>#REF!</v>
      </c>
      <c r="E46" s="74"/>
      <c r="F46" s="90"/>
      <c r="O46" s="523"/>
      <c r="Q46" s="36"/>
      <c r="R46" s="71"/>
      <c r="W46" s="33"/>
    </row>
    <row r="47" spans="1:32" x14ac:dyDescent="0.25">
      <c r="A47" s="389"/>
      <c r="B47" s="390"/>
      <c r="C47" s="391" t="s">
        <v>358</v>
      </c>
      <c r="D47" s="182" t="e">
        <f>TestSummary!#REF!</f>
        <v>#REF!</v>
      </c>
      <c r="E47" s="74"/>
      <c r="O47" s="523"/>
      <c r="Q47" s="36"/>
      <c r="R47" s="71"/>
      <c r="W47" s="33"/>
    </row>
    <row r="48" spans="1:32" x14ac:dyDescent="0.25">
      <c r="A48" s="392" t="s">
        <v>275</v>
      </c>
      <c r="B48" s="393"/>
      <c r="C48" s="393"/>
      <c r="D48" s="394"/>
      <c r="E48" s="74"/>
      <c r="F48" s="17"/>
      <c r="O48" s="523"/>
      <c r="Q48" s="36"/>
      <c r="R48" s="71"/>
    </row>
    <row r="49" spans="1:29" x14ac:dyDescent="0.25">
      <c r="A49" s="387" t="s">
        <v>204</v>
      </c>
      <c r="B49" s="369" t="s">
        <v>0</v>
      </c>
      <c r="C49" s="369" t="s">
        <v>295</v>
      </c>
      <c r="D49" s="370" t="s">
        <v>296</v>
      </c>
      <c r="E49" s="74"/>
      <c r="F49" s="90"/>
      <c r="O49" s="523"/>
      <c r="Q49" s="84" t="s">
        <v>356</v>
      </c>
      <c r="R49">
        <v>61511006</v>
      </c>
      <c r="T49" s="19"/>
    </row>
    <row r="50" spans="1:29" ht="15.75" thickBot="1" x14ac:dyDescent="0.3">
      <c r="A50" s="371" t="s">
        <v>350</v>
      </c>
      <c r="B50" s="388" t="e">
        <f>TestSummary!#REF!</f>
        <v>#REF!</v>
      </c>
      <c r="C50" s="372" t="e">
        <f>TestSummary!#REF!</f>
        <v>#REF!</v>
      </c>
      <c r="D50" s="373" t="e">
        <f>C50/$D$57</f>
        <v>#REF!</v>
      </c>
      <c r="F50" s="90"/>
      <c r="O50" s="523"/>
      <c r="Q50" s="65" t="s">
        <v>96</v>
      </c>
      <c r="R50" s="65"/>
      <c r="S50" s="65"/>
      <c r="T50" s="70" t="s">
        <v>81</v>
      </c>
      <c r="U50" s="65" t="s">
        <v>82</v>
      </c>
      <c r="V50" s="65" t="s">
        <v>83</v>
      </c>
      <c r="W50" s="65" t="s">
        <v>95</v>
      </c>
      <c r="X50" s="65" t="s">
        <v>109</v>
      </c>
      <c r="Y50" s="65" t="s">
        <v>110</v>
      </c>
      <c r="Z50" s="65" t="s">
        <v>92</v>
      </c>
      <c r="AA50" s="65" t="s">
        <v>93</v>
      </c>
      <c r="AB50" s="65" t="s">
        <v>231</v>
      </c>
      <c r="AC50" s="65" t="s">
        <v>232</v>
      </c>
    </row>
    <row r="51" spans="1:29" x14ac:dyDescent="0.25">
      <c r="A51" s="371" t="s">
        <v>57</v>
      </c>
      <c r="B51" s="388" t="e">
        <f>TestSummary!#REF!</f>
        <v>#REF!</v>
      </c>
      <c r="C51" s="372" t="e">
        <f>TestSummary!#REF!</f>
        <v>#REF!</v>
      </c>
      <c r="D51" s="373" t="e">
        <f t="shared" ref="D51:D56" si="14">C51/$D$57</f>
        <v>#REF!</v>
      </c>
      <c r="F51" s="89"/>
      <c r="O51" s="523"/>
      <c r="Q51" s="36" t="s">
        <v>61</v>
      </c>
      <c r="R51" s="71" t="e">
        <f>AVERAGE(W51,W53)</f>
        <v>#DIV/0!</v>
      </c>
      <c r="W51" s="33"/>
    </row>
    <row r="52" spans="1:29" ht="15.6" customHeight="1" x14ac:dyDescent="0.25">
      <c r="A52" s="371" t="s">
        <v>54</v>
      </c>
      <c r="B52" s="388" t="e">
        <f>TestSummary!#REF!</f>
        <v>#REF!</v>
      </c>
      <c r="C52" s="372" t="e">
        <f>TestSummary!#REF!</f>
        <v>#REF!</v>
      </c>
      <c r="D52" s="373" t="e">
        <f t="shared" si="14"/>
        <v>#REF!</v>
      </c>
      <c r="F52" s="89"/>
      <c r="O52" s="523"/>
      <c r="Q52" s="36" t="s">
        <v>62</v>
      </c>
      <c r="R52" s="71" t="e">
        <f>AVERAGE(W52,W55)</f>
        <v>#DIV/0!</v>
      </c>
      <c r="W52" s="33"/>
    </row>
    <row r="53" spans="1:29" x14ac:dyDescent="0.25">
      <c r="A53" s="371" t="s">
        <v>70</v>
      </c>
      <c r="B53" s="388" t="e">
        <f>TestSummary!#REF!</f>
        <v>#REF!</v>
      </c>
      <c r="C53" s="372" t="e">
        <f>TestSummary!#REF!</f>
        <v>#REF!</v>
      </c>
      <c r="D53" s="373" t="e">
        <f t="shared" si="14"/>
        <v>#REF!</v>
      </c>
      <c r="F53" s="90"/>
      <c r="O53" s="523"/>
      <c r="Q53" s="36" t="s">
        <v>63</v>
      </c>
      <c r="R53" s="71">
        <f>W54</f>
        <v>0</v>
      </c>
      <c r="W53" s="33"/>
    </row>
    <row r="54" spans="1:29" x14ac:dyDescent="0.25">
      <c r="A54" s="371" t="s">
        <v>71</v>
      </c>
      <c r="B54" s="388" t="e">
        <f>TestSummary!#REF!</f>
        <v>#REF!</v>
      </c>
      <c r="C54" s="372" t="e">
        <f>TestSummary!#REF!</f>
        <v>#REF!</v>
      </c>
      <c r="D54" s="373" t="e">
        <f t="shared" si="14"/>
        <v>#REF!</v>
      </c>
      <c r="F54" s="90"/>
      <c r="I54" s="17"/>
      <c r="J54" s="17"/>
      <c r="O54" s="523"/>
      <c r="Q54" s="36" t="s">
        <v>64</v>
      </c>
      <c r="R54" s="71">
        <f>W56</f>
        <v>0</v>
      </c>
      <c r="W54" s="33"/>
    </row>
    <row r="55" spans="1:29" x14ac:dyDescent="0.25">
      <c r="A55" s="371" t="s">
        <v>72</v>
      </c>
      <c r="B55" s="388" t="e">
        <f>TestSummary!#REF!</f>
        <v>#REF!</v>
      </c>
      <c r="C55" s="372" t="e">
        <f>TestSummary!#REF!</f>
        <v>#REF!</v>
      </c>
      <c r="D55" s="373" t="e">
        <f t="shared" si="14"/>
        <v>#REF!</v>
      </c>
      <c r="F55" s="90"/>
      <c r="O55" s="523"/>
      <c r="Q55" s="36"/>
      <c r="R55" s="71"/>
      <c r="W55" s="33"/>
    </row>
    <row r="56" spans="1:29" x14ac:dyDescent="0.25">
      <c r="A56" s="371" t="s">
        <v>56</v>
      </c>
      <c r="B56" s="388" t="e">
        <f>TestSummary!#REF!</f>
        <v>#REF!</v>
      </c>
      <c r="C56" s="372" t="e">
        <f>TestSummary!#REF!</f>
        <v>#REF!</v>
      </c>
      <c r="D56" s="373" t="e">
        <f t="shared" si="14"/>
        <v>#REF!</v>
      </c>
      <c r="E56" s="134"/>
      <c r="O56" s="523"/>
      <c r="Q56" s="36"/>
      <c r="R56" s="71"/>
      <c r="W56" s="33"/>
    </row>
    <row r="57" spans="1:29" x14ac:dyDescent="0.25">
      <c r="A57" s="395"/>
      <c r="B57" s="390"/>
      <c r="C57" s="391" t="s">
        <v>358</v>
      </c>
      <c r="D57" s="182" t="e">
        <f>TestSummary!#REF!</f>
        <v>#REF!</v>
      </c>
      <c r="E57" s="74"/>
      <c r="F57" s="17"/>
      <c r="O57" s="523"/>
      <c r="Q57" s="84" t="s">
        <v>356</v>
      </c>
      <c r="R57">
        <v>61511006</v>
      </c>
      <c r="T57" s="19"/>
    </row>
    <row r="58" spans="1:29" ht="15.75" thickBot="1" x14ac:dyDescent="0.3">
      <c r="A58" s="396" t="s">
        <v>274</v>
      </c>
      <c r="B58" s="397"/>
      <c r="C58" s="397"/>
      <c r="D58" s="398"/>
      <c r="E58" s="74"/>
      <c r="F58" s="90"/>
      <c r="O58" s="523"/>
      <c r="Q58" s="65" t="s">
        <v>97</v>
      </c>
      <c r="R58" s="65"/>
      <c r="S58" s="65"/>
      <c r="T58" s="70" t="s">
        <v>81</v>
      </c>
      <c r="U58" s="65" t="s">
        <v>82</v>
      </c>
      <c r="V58" s="65" t="s">
        <v>83</v>
      </c>
      <c r="W58" s="65" t="s">
        <v>95</v>
      </c>
      <c r="X58" s="65" t="s">
        <v>109</v>
      </c>
      <c r="Y58" s="65" t="s">
        <v>110</v>
      </c>
      <c r="Z58" s="65" t="s">
        <v>92</v>
      </c>
      <c r="AA58" s="65" t="s">
        <v>93</v>
      </c>
      <c r="AB58" s="65" t="s">
        <v>231</v>
      </c>
      <c r="AC58" s="65" t="s">
        <v>232</v>
      </c>
    </row>
    <row r="59" spans="1:29" ht="15.6" customHeight="1" x14ac:dyDescent="0.25">
      <c r="A59" s="387" t="s">
        <v>204</v>
      </c>
      <c r="B59" s="369" t="s">
        <v>0</v>
      </c>
      <c r="C59" s="369" t="s">
        <v>295</v>
      </c>
      <c r="D59" s="370" t="s">
        <v>296</v>
      </c>
      <c r="E59" s="74"/>
      <c r="F59" s="89"/>
      <c r="O59" s="523"/>
      <c r="Q59" s="36" t="s">
        <v>61</v>
      </c>
      <c r="R59" s="71" t="e">
        <f>AVERAGE(W59,W61)</f>
        <v>#DIV/0!</v>
      </c>
      <c r="W59" s="33"/>
    </row>
    <row r="60" spans="1:29" ht="15.6" customHeight="1" x14ac:dyDescent="0.25">
      <c r="A60" s="371" t="s">
        <v>69</v>
      </c>
      <c r="B60" s="388" t="e">
        <f>TestSummary!#REF!</f>
        <v>#REF!</v>
      </c>
      <c r="C60" s="372" t="e">
        <f>TestSummary!#REF!</f>
        <v>#REF!</v>
      </c>
      <c r="D60" s="373" t="e">
        <f t="shared" ref="D60:D65" si="15">C60/$D$66</f>
        <v>#REF!</v>
      </c>
      <c r="F60" s="89"/>
      <c r="I60" s="17"/>
      <c r="J60" s="17"/>
      <c r="O60" s="523"/>
      <c r="Q60" s="36" t="s">
        <v>62</v>
      </c>
      <c r="R60" s="71" t="e">
        <f>AVERAGE(W60,W63)</f>
        <v>#DIV/0!</v>
      </c>
      <c r="W60" s="33"/>
    </row>
    <row r="61" spans="1:29" x14ac:dyDescent="0.25">
      <c r="A61" s="371" t="s">
        <v>57</v>
      </c>
      <c r="B61" s="388" t="e">
        <f>TestSummary!#REF!</f>
        <v>#REF!</v>
      </c>
      <c r="C61" s="372" t="e">
        <f>TestSummary!#REF!</f>
        <v>#REF!</v>
      </c>
      <c r="D61" s="373" t="e">
        <f t="shared" si="15"/>
        <v>#REF!</v>
      </c>
      <c r="F61" s="90"/>
      <c r="O61" s="523"/>
      <c r="Q61" s="36" t="s">
        <v>63</v>
      </c>
      <c r="R61" s="71">
        <f>W62</f>
        <v>0</v>
      </c>
      <c r="W61" s="33"/>
    </row>
    <row r="62" spans="1:29" x14ac:dyDescent="0.25">
      <c r="A62" s="371" t="s">
        <v>54</v>
      </c>
      <c r="B62" s="388" t="e">
        <f>TestSummary!#REF!</f>
        <v>#REF!</v>
      </c>
      <c r="C62" s="372" t="e">
        <f>TestSummary!#REF!</f>
        <v>#REF!</v>
      </c>
      <c r="D62" s="373" t="e">
        <f t="shared" si="15"/>
        <v>#REF!</v>
      </c>
      <c r="F62" s="90"/>
      <c r="O62" s="523"/>
      <c r="Q62" s="36" t="s">
        <v>64</v>
      </c>
      <c r="R62" s="71">
        <f>W64</f>
        <v>0</v>
      </c>
      <c r="W62" s="33"/>
    </row>
    <row r="63" spans="1:29" x14ac:dyDescent="0.25">
      <c r="A63" s="371" t="s">
        <v>70</v>
      </c>
      <c r="B63" s="388" t="e">
        <f>TestSummary!#REF!</f>
        <v>#REF!</v>
      </c>
      <c r="C63" s="372" t="e">
        <f>TestSummary!#REF!</f>
        <v>#REF!</v>
      </c>
      <c r="D63" s="373" t="e">
        <f t="shared" si="15"/>
        <v>#REF!</v>
      </c>
      <c r="F63" s="90"/>
      <c r="O63" s="523"/>
      <c r="W63" s="33"/>
    </row>
    <row r="64" spans="1:29" x14ac:dyDescent="0.25">
      <c r="A64" s="371" t="s">
        <v>71</v>
      </c>
      <c r="B64" s="388" t="e">
        <f>TestSummary!#REF!</f>
        <v>#REF!</v>
      </c>
      <c r="C64" s="372" t="e">
        <f>TestSummary!#REF!</f>
        <v>#REF!</v>
      </c>
      <c r="D64" s="373" t="e">
        <f t="shared" si="15"/>
        <v>#REF!</v>
      </c>
      <c r="O64" s="523"/>
      <c r="W64" s="33"/>
    </row>
    <row r="65" spans="1:15" x14ac:dyDescent="0.25">
      <c r="A65" s="371" t="s">
        <v>72</v>
      </c>
      <c r="B65" s="388" t="e">
        <f>TestSummary!#REF!</f>
        <v>#REF!</v>
      </c>
      <c r="C65" s="372" t="e">
        <f>TestSummary!#REF!</f>
        <v>#REF!</v>
      </c>
      <c r="D65" s="373" t="e">
        <f t="shared" si="15"/>
        <v>#REF!</v>
      </c>
      <c r="O65" s="523"/>
    </row>
    <row r="66" spans="1:15" ht="15.75" thickBot="1" x14ac:dyDescent="0.3">
      <c r="A66" s="399"/>
      <c r="B66" s="519" t="s">
        <v>358</v>
      </c>
      <c r="C66" s="519"/>
      <c r="D66" s="400" t="e">
        <f>TestSummary!#REF!</f>
        <v>#REF!</v>
      </c>
      <c r="O66" s="523"/>
    </row>
    <row r="67" spans="1:15" x14ac:dyDescent="0.25">
      <c r="A67" s="401" t="s">
        <v>273</v>
      </c>
      <c r="B67" s="402"/>
      <c r="C67" s="402"/>
      <c r="D67" s="403"/>
      <c r="I67" s="520" t="s">
        <v>377</v>
      </c>
      <c r="J67" s="521"/>
      <c r="K67" s="522"/>
      <c r="O67" s="523"/>
    </row>
    <row r="68" spans="1:15" x14ac:dyDescent="0.25">
      <c r="A68" s="387" t="s">
        <v>204</v>
      </c>
      <c r="B68" s="369" t="s">
        <v>0</v>
      </c>
      <c r="C68" s="369" t="s">
        <v>295</v>
      </c>
      <c r="D68" s="370" t="s">
        <v>296</v>
      </c>
      <c r="I68" s="215" t="s">
        <v>378</v>
      </c>
      <c r="J68" s="94" t="s">
        <v>49</v>
      </c>
      <c r="K68" s="216" t="s">
        <v>376</v>
      </c>
    </row>
    <row r="69" spans="1:15" x14ac:dyDescent="0.25">
      <c r="A69" s="371" t="s">
        <v>69</v>
      </c>
      <c r="B69" s="388" t="e">
        <f>TestSummary!#REF!</f>
        <v>#REF!</v>
      </c>
      <c r="C69" s="372" t="e">
        <f>TestSummary!#REF!</f>
        <v>#REF!</v>
      </c>
      <c r="D69" s="373" t="e">
        <f t="shared" ref="D69:D74" si="16">C69/$D$66</f>
        <v>#REF!</v>
      </c>
      <c r="I69" s="209" t="e">
        <f t="shared" ref="I69:I74" si="17">(D50-D41)/D41</f>
        <v>#REF!</v>
      </c>
      <c r="J69" s="210" t="e">
        <f t="shared" ref="J69:J74" si="18">(D60-D41)/D41</f>
        <v>#REF!</v>
      </c>
      <c r="K69" s="211" t="e">
        <f t="shared" ref="K69:K74" si="19">(D69-D41)/D41</f>
        <v>#REF!</v>
      </c>
    </row>
    <row r="70" spans="1:15" x14ac:dyDescent="0.25">
      <c r="A70" s="371" t="s">
        <v>57</v>
      </c>
      <c r="B70" s="388" t="e">
        <f>TestSummary!#REF!</f>
        <v>#REF!</v>
      </c>
      <c r="C70" s="372" t="e">
        <f>TestSummary!#REF!</f>
        <v>#REF!</v>
      </c>
      <c r="D70" s="373" t="e">
        <f t="shared" si="16"/>
        <v>#REF!</v>
      </c>
      <c r="I70" s="209" t="e">
        <f t="shared" si="17"/>
        <v>#REF!</v>
      </c>
      <c r="J70" s="210" t="e">
        <f t="shared" si="18"/>
        <v>#REF!</v>
      </c>
      <c r="K70" s="211" t="e">
        <f t="shared" si="19"/>
        <v>#REF!</v>
      </c>
    </row>
    <row r="71" spans="1:15" x14ac:dyDescent="0.25">
      <c r="A71" s="371" t="s">
        <v>54</v>
      </c>
      <c r="B71" s="388" t="e">
        <f>TestSummary!#REF!</f>
        <v>#REF!</v>
      </c>
      <c r="C71" s="372" t="e">
        <f>TestSummary!#REF!</f>
        <v>#REF!</v>
      </c>
      <c r="D71" s="373" t="e">
        <f t="shared" si="16"/>
        <v>#REF!</v>
      </c>
      <c r="I71" s="209" t="e">
        <f t="shared" si="17"/>
        <v>#REF!</v>
      </c>
      <c r="J71" s="210" t="e">
        <f t="shared" si="18"/>
        <v>#REF!</v>
      </c>
      <c r="K71" s="211" t="e">
        <f t="shared" si="19"/>
        <v>#REF!</v>
      </c>
    </row>
    <row r="72" spans="1:15" x14ac:dyDescent="0.25">
      <c r="A72" s="371" t="s">
        <v>70</v>
      </c>
      <c r="B72" s="388" t="e">
        <f>TestSummary!#REF!</f>
        <v>#REF!</v>
      </c>
      <c r="C72" s="372" t="e">
        <f>TestSummary!#REF!</f>
        <v>#REF!</v>
      </c>
      <c r="D72" s="373" t="e">
        <f t="shared" si="16"/>
        <v>#REF!</v>
      </c>
      <c r="I72" s="209" t="e">
        <f t="shared" si="17"/>
        <v>#REF!</v>
      </c>
      <c r="J72" s="210" t="e">
        <f t="shared" si="18"/>
        <v>#REF!</v>
      </c>
      <c r="K72" s="211" t="e">
        <f t="shared" si="19"/>
        <v>#REF!</v>
      </c>
    </row>
    <row r="73" spans="1:15" x14ac:dyDescent="0.25">
      <c r="A73" s="371" t="s">
        <v>71</v>
      </c>
      <c r="B73" s="388" t="e">
        <f>TestSummary!#REF!</f>
        <v>#REF!</v>
      </c>
      <c r="C73" s="372" t="e">
        <f>TestSummary!#REF!</f>
        <v>#REF!</v>
      </c>
      <c r="D73" s="373" t="e">
        <f t="shared" si="16"/>
        <v>#REF!</v>
      </c>
      <c r="I73" s="209" t="e">
        <f t="shared" si="17"/>
        <v>#REF!</v>
      </c>
      <c r="J73" s="210" t="e">
        <f t="shared" si="18"/>
        <v>#REF!</v>
      </c>
      <c r="K73" s="211" t="e">
        <f t="shared" si="19"/>
        <v>#REF!</v>
      </c>
    </row>
    <row r="74" spans="1:15" ht="15.75" thickBot="1" x14ac:dyDescent="0.3">
      <c r="A74" s="371" t="s">
        <v>72</v>
      </c>
      <c r="B74" s="388" t="e">
        <f>TestSummary!#REF!</f>
        <v>#REF!</v>
      </c>
      <c r="C74" s="372" t="e">
        <f>TestSummary!#REF!</f>
        <v>#REF!</v>
      </c>
      <c r="D74" s="373" t="e">
        <f t="shared" si="16"/>
        <v>#REF!</v>
      </c>
      <c r="I74" s="212" t="e">
        <f t="shared" si="17"/>
        <v>#REF!</v>
      </c>
      <c r="J74" s="213" t="e">
        <f t="shared" si="18"/>
        <v>#REF!</v>
      </c>
      <c r="K74" s="214" t="e">
        <f t="shared" si="19"/>
        <v>#REF!</v>
      </c>
    </row>
    <row r="75" spans="1:15" ht="15.75" thickBot="1" x14ac:dyDescent="0.3">
      <c r="A75" s="399"/>
      <c r="B75" s="519" t="s">
        <v>358</v>
      </c>
      <c r="C75" s="519"/>
      <c r="D75" s="400" t="e">
        <f>TestSummary!#REF!</f>
        <v>#REF!</v>
      </c>
    </row>
  </sheetData>
  <mergeCells count="13">
    <mergeCell ref="B75:C75"/>
    <mergeCell ref="I67:K67"/>
    <mergeCell ref="O1:O67"/>
    <mergeCell ref="A2:C2"/>
    <mergeCell ref="B3:C3"/>
    <mergeCell ref="B4:C4"/>
    <mergeCell ref="B14:C14"/>
    <mergeCell ref="D14:E14"/>
    <mergeCell ref="B26:D26"/>
    <mergeCell ref="A33:D33"/>
    <mergeCell ref="A34:B34"/>
    <mergeCell ref="A35:B35"/>
    <mergeCell ref="B66:C66"/>
  </mergeCells>
  <conditionalFormatting sqref="AN36">
    <cfRule type="colorScale" priority="10">
      <colorScale>
        <cfvo type="min"/>
        <cfvo type="percentile" val="50"/>
        <cfvo type="max"/>
        <color rgb="FFF8696B"/>
        <color rgb="FFFFEB84"/>
        <color rgb="FF63BE7B"/>
      </colorScale>
    </cfRule>
  </conditionalFormatting>
  <conditionalFormatting sqref="AB6">
    <cfRule type="colorScale" priority="9">
      <colorScale>
        <cfvo type="min"/>
        <cfvo type="percentile" val="50"/>
        <cfvo type="max"/>
        <color rgb="FF63BE7B"/>
        <color rgb="FFFFEB84"/>
        <color rgb="FFF8696B"/>
      </colorScale>
    </cfRule>
  </conditionalFormatting>
  <conditionalFormatting sqref="AB6">
    <cfRule type="colorScale" priority="8">
      <colorScale>
        <cfvo type="min"/>
        <cfvo type="percentile" val="50"/>
        <cfvo type="max"/>
        <color rgb="FFF8696B"/>
        <color rgb="FFFFEB84"/>
        <color rgb="FF63BE7B"/>
      </colorScale>
    </cfRule>
  </conditionalFormatting>
  <conditionalFormatting sqref="AB24:AB38">
    <cfRule type="colorScale" priority="6">
      <colorScale>
        <cfvo type="min"/>
        <cfvo type="percentile" val="50"/>
        <cfvo type="max"/>
        <color rgb="FF63BE7B"/>
        <color rgb="FFFFEB84"/>
        <color rgb="FFF8696B"/>
      </colorScale>
    </cfRule>
  </conditionalFormatting>
  <conditionalFormatting sqref="AB26">
    <cfRule type="colorScale" priority="5">
      <colorScale>
        <cfvo type="min"/>
        <cfvo type="percentile" val="50"/>
        <cfvo type="max"/>
        <color rgb="FF63BE7B"/>
        <color rgb="FFFFEB84"/>
        <color rgb="FFF8696B"/>
      </colorScale>
    </cfRule>
  </conditionalFormatting>
  <conditionalFormatting sqref="AB26">
    <cfRule type="colorScale" priority="4">
      <colorScale>
        <cfvo type="min"/>
        <cfvo type="percentile" val="50"/>
        <cfvo type="max"/>
        <color rgb="FFF8696B"/>
        <color rgb="FFFFEB84"/>
        <color rgb="FF63BE7B"/>
      </colorScale>
    </cfRule>
  </conditionalFormatting>
  <conditionalFormatting sqref="AB29">
    <cfRule type="colorScale" priority="3">
      <colorScale>
        <cfvo type="min"/>
        <cfvo type="percentile" val="50"/>
        <cfvo type="max"/>
        <color rgb="FF63BE7B"/>
        <color rgb="FFFFEB84"/>
        <color rgb="FFF8696B"/>
      </colorScale>
    </cfRule>
  </conditionalFormatting>
  <conditionalFormatting sqref="AB29">
    <cfRule type="colorScale" priority="2">
      <colorScale>
        <cfvo type="min"/>
        <cfvo type="percentile" val="50"/>
        <cfvo type="max"/>
        <color rgb="FFF8696B"/>
        <color rgb="FFFFEB84"/>
        <color rgb="FF63BE7B"/>
      </colorScale>
    </cfRule>
  </conditionalFormatting>
  <conditionalFormatting sqref="AB24:AB38">
    <cfRule type="colorScale" priority="1">
      <colorScale>
        <cfvo type="min"/>
        <cfvo type="percentile" val="50"/>
        <cfvo type="max"/>
        <color rgb="FF63BE7B"/>
        <color rgb="FFFFEB84"/>
        <color rgb="FFF8696B"/>
      </colorScale>
    </cfRule>
  </conditionalFormatting>
  <conditionalFormatting sqref="AB24:AB38">
    <cfRule type="colorScale" priority="7">
      <colorScale>
        <cfvo type="min"/>
        <cfvo type="percentile" val="50"/>
        <cfvo type="max"/>
        <color rgb="FFF8696B"/>
        <color rgb="FFFFEB84"/>
        <color rgb="FF63BE7B"/>
      </colorScale>
    </cfRule>
  </conditionalFormatting>
  <conditionalFormatting sqref="AB4:AB18">
    <cfRule type="colorScale" priority="11">
      <colorScale>
        <cfvo type="min"/>
        <cfvo type="percentile" val="50"/>
        <cfvo type="max"/>
        <color rgb="FF63BE7B"/>
        <color rgb="FFFFEB84"/>
        <color rgb="FFF8696B"/>
      </colorScale>
    </cfRule>
  </conditionalFormatting>
  <conditionalFormatting sqref="AB9">
    <cfRule type="colorScale" priority="12">
      <colorScale>
        <cfvo type="min"/>
        <cfvo type="percentile" val="50"/>
        <cfvo type="max"/>
        <color rgb="FF63BE7B"/>
        <color rgb="FFFFEB84"/>
        <color rgb="FFF8696B"/>
      </colorScale>
    </cfRule>
  </conditionalFormatting>
  <conditionalFormatting sqref="AB9">
    <cfRule type="colorScale" priority="13">
      <colorScale>
        <cfvo type="min"/>
        <cfvo type="percentile" val="50"/>
        <cfvo type="max"/>
        <color rgb="FFF8696B"/>
        <color rgb="FFFFEB84"/>
        <color rgb="FF63BE7B"/>
      </colorScale>
    </cfRule>
  </conditionalFormatting>
  <conditionalFormatting sqref="AB4:AB18">
    <cfRule type="colorScale" priority="14">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CB87"/>
  <sheetViews>
    <sheetView topLeftCell="D1" zoomScale="75" zoomScaleNormal="75" workbookViewId="0">
      <selection activeCell="O17" sqref="O17"/>
    </sheetView>
  </sheetViews>
  <sheetFormatPr defaultColWidth="9.140625" defaultRowHeight="15" x14ac:dyDescent="0.25"/>
  <cols>
    <col min="1" max="1" width="25.85546875" customWidth="1"/>
    <col min="2" max="2" width="45.85546875" bestFit="1" customWidth="1"/>
    <col min="3" max="3" width="13.28515625" bestFit="1" customWidth="1"/>
    <col min="4" max="4" width="24.140625" customWidth="1"/>
    <col min="5" max="5" width="28.28515625" customWidth="1"/>
    <col min="6" max="6" width="15" customWidth="1"/>
    <col min="7" max="7" width="16.5703125" customWidth="1"/>
    <col min="8" max="8" width="10.5703125" customWidth="1"/>
    <col min="9" max="10" width="12.5703125" customWidth="1"/>
    <col min="11" max="11" width="11.5703125" bestFit="1" customWidth="1"/>
    <col min="12" max="12" width="2.42578125" customWidth="1"/>
    <col min="13" max="13" width="3.42578125" customWidth="1"/>
    <col min="14" max="14" width="13.5703125" customWidth="1"/>
    <col min="15" max="15" width="16.7109375" customWidth="1"/>
    <col min="16" max="16" width="17" customWidth="1"/>
    <col min="17" max="17" width="13.85546875" customWidth="1"/>
    <col min="18" max="18" width="42" customWidth="1"/>
    <col min="19" max="19" width="15.5703125" customWidth="1"/>
    <col min="20" max="20" width="21.140625" customWidth="1"/>
    <col min="22" max="22" width="13.85546875" customWidth="1"/>
    <col min="24" max="24" width="13.85546875" customWidth="1"/>
    <col min="25" max="25" width="11.140625" customWidth="1"/>
    <col min="26" max="26" width="13.5703125" customWidth="1"/>
    <col min="27" max="27" width="24.42578125" bestFit="1" customWidth="1"/>
    <col min="28" max="28" width="22.5703125" bestFit="1" customWidth="1"/>
    <col min="30" max="30" width="24.42578125" customWidth="1"/>
    <col min="32" max="32" width="25.85546875" bestFit="1" customWidth="1"/>
    <col min="34" max="34" width="24.140625" bestFit="1" customWidth="1"/>
    <col min="35" max="35" width="21" customWidth="1"/>
    <col min="37" max="37" width="20.42578125" customWidth="1"/>
    <col min="39" max="39" width="26.42578125" bestFit="1" customWidth="1"/>
    <col min="40" max="40" width="14" bestFit="1" customWidth="1"/>
    <col min="44" max="44" width="25.5703125" customWidth="1"/>
    <col min="45" max="45" width="27" bestFit="1" customWidth="1"/>
    <col min="46" max="46" width="14.140625" bestFit="1" customWidth="1"/>
    <col min="59" max="59" width="12" customWidth="1"/>
    <col min="61" max="61" width="15.85546875" customWidth="1"/>
    <col min="62" max="62" width="17.5703125" customWidth="1"/>
    <col min="63" max="63" width="13.42578125" customWidth="1"/>
    <col min="64" max="64" width="13.85546875" customWidth="1"/>
    <col min="65" max="65" width="12.42578125" customWidth="1"/>
    <col min="66" max="66" width="13.5703125" customWidth="1"/>
    <col min="70" max="70" width="17.42578125" customWidth="1"/>
  </cols>
  <sheetData>
    <row r="1" spans="1:80" x14ac:dyDescent="0.25">
      <c r="A1" s="27"/>
      <c r="B1" s="27"/>
      <c r="C1" s="27"/>
      <c r="D1" s="541" t="s">
        <v>314</v>
      </c>
      <c r="E1" s="542"/>
      <c r="F1" s="27"/>
      <c r="G1" s="27" t="s">
        <v>6</v>
      </c>
      <c r="H1" s="27"/>
      <c r="I1" s="27"/>
      <c r="J1" s="27"/>
      <c r="K1" s="150"/>
      <c r="L1" s="151"/>
      <c r="N1" t="s">
        <v>315</v>
      </c>
      <c r="P1" s="258" t="s">
        <v>401</v>
      </c>
    </row>
    <row r="2" spans="1:80" ht="14.45" customHeight="1" x14ac:dyDescent="0.25">
      <c r="A2" s="27" t="str">
        <f>TestPlan!A1</f>
        <v>Vehicle</v>
      </c>
      <c r="B2" s="27" t="str">
        <f>TestPlan!B1</f>
        <v>2020 Chevrolet Bolt</v>
      </c>
      <c r="C2" s="27"/>
      <c r="D2" s="152"/>
      <c r="E2" s="153"/>
      <c r="F2" s="27"/>
      <c r="G2" s="27"/>
      <c r="H2" s="27"/>
      <c r="I2" s="27"/>
      <c r="J2" s="27"/>
      <c r="K2" s="154"/>
      <c r="L2" s="151"/>
      <c r="N2" t="s">
        <v>316</v>
      </c>
    </row>
    <row r="3" spans="1:80" x14ac:dyDescent="0.25">
      <c r="A3" s="27" t="str">
        <f>TestPlan!A2</f>
        <v>Test purpose</v>
      </c>
      <c r="B3" s="27" t="str">
        <f>TestPlan!B2</f>
        <v>NHTSA 2020 Vehicle Technology Assessment</v>
      </c>
      <c r="D3" s="155"/>
      <c r="E3" s="153"/>
      <c r="F3" s="27"/>
      <c r="G3" s="27" t="s">
        <v>317</v>
      </c>
      <c r="H3" s="27"/>
      <c r="I3" s="16"/>
      <c r="J3" s="16"/>
      <c r="K3" s="154"/>
      <c r="L3" s="151"/>
      <c r="N3" s="463" t="s">
        <v>233</v>
      </c>
      <c r="O3" s="463" t="s">
        <v>114</v>
      </c>
      <c r="P3" s="463" t="s">
        <v>115</v>
      </c>
      <c r="Q3" s="463" t="s">
        <v>99</v>
      </c>
      <c r="R3" s="463" t="s">
        <v>100</v>
      </c>
      <c r="S3" s="463" t="s">
        <v>101</v>
      </c>
      <c r="T3" s="463" t="s">
        <v>116</v>
      </c>
      <c r="U3" s="463" t="s">
        <v>117</v>
      </c>
      <c r="V3" s="463" t="s">
        <v>118</v>
      </c>
      <c r="W3" s="463" t="s">
        <v>102</v>
      </c>
      <c r="X3" s="463" t="s">
        <v>119</v>
      </c>
      <c r="Y3" s="463" t="s">
        <v>120</v>
      </c>
      <c r="Z3" s="463" t="s">
        <v>121</v>
      </c>
      <c r="AA3" s="463" t="s">
        <v>122</v>
      </c>
      <c r="AB3" s="463" t="s">
        <v>123</v>
      </c>
      <c r="AC3" s="463" t="s">
        <v>103</v>
      </c>
      <c r="AD3" s="463" t="s">
        <v>124</v>
      </c>
      <c r="AE3" s="463" t="s">
        <v>125</v>
      </c>
      <c r="AF3" s="463" t="s">
        <v>126</v>
      </c>
      <c r="AG3" s="463" t="s">
        <v>127</v>
      </c>
      <c r="AH3" s="463" t="s">
        <v>128</v>
      </c>
      <c r="AI3" s="463" t="s">
        <v>129</v>
      </c>
      <c r="AJ3" s="463" t="s">
        <v>130</v>
      </c>
      <c r="AK3" s="463" t="s">
        <v>131</v>
      </c>
      <c r="AL3" s="463" t="s">
        <v>132</v>
      </c>
      <c r="AM3" s="463" t="s">
        <v>133</v>
      </c>
      <c r="AN3" s="463" t="s">
        <v>134</v>
      </c>
      <c r="AO3" s="463" t="s">
        <v>135</v>
      </c>
      <c r="AP3" s="463" t="s">
        <v>136</v>
      </c>
      <c r="AQ3" s="463" t="s">
        <v>365</v>
      </c>
      <c r="AR3" s="463" t="s">
        <v>366</v>
      </c>
      <c r="AS3" s="463" t="s">
        <v>367</v>
      </c>
      <c r="AT3" s="463" t="s">
        <v>368</v>
      </c>
      <c r="AU3" s="463" t="s">
        <v>137</v>
      </c>
      <c r="AV3" s="463" t="s">
        <v>138</v>
      </c>
      <c r="AW3" s="463" t="s">
        <v>139</v>
      </c>
      <c r="AX3" s="463" t="s">
        <v>140</v>
      </c>
      <c r="AY3" s="463" t="s">
        <v>141</v>
      </c>
      <c r="AZ3" s="463" t="s">
        <v>142</v>
      </c>
      <c r="BA3" s="463" t="s">
        <v>143</v>
      </c>
      <c r="BB3" s="463" t="s">
        <v>144</v>
      </c>
      <c r="BC3" s="463" t="s">
        <v>145</v>
      </c>
      <c r="BD3" s="463" t="s">
        <v>146</v>
      </c>
      <c r="BE3" s="463" t="s">
        <v>147</v>
      </c>
      <c r="BF3" s="463" t="s">
        <v>148</v>
      </c>
      <c r="BG3" s="463" t="s">
        <v>149</v>
      </c>
      <c r="BH3" s="463" t="s">
        <v>150</v>
      </c>
      <c r="BI3" s="463" t="s">
        <v>151</v>
      </c>
      <c r="BJ3" s="463" t="s">
        <v>152</v>
      </c>
      <c r="BK3" s="463" t="s">
        <v>153</v>
      </c>
      <c r="BL3" s="463" t="s">
        <v>154</v>
      </c>
      <c r="BM3" s="463" t="s">
        <v>398</v>
      </c>
      <c r="BN3" s="463" t="s">
        <v>399</v>
      </c>
      <c r="BO3" s="463" t="s">
        <v>400</v>
      </c>
      <c r="BP3" s="463" t="s">
        <v>155</v>
      </c>
      <c r="BQ3" s="463" t="s">
        <v>156</v>
      </c>
      <c r="BR3" s="463" t="s">
        <v>157</v>
      </c>
      <c r="BS3" s="463" t="s">
        <v>158</v>
      </c>
      <c r="BT3" s="463" t="s">
        <v>159</v>
      </c>
      <c r="BU3" s="463" t="s">
        <v>160</v>
      </c>
      <c r="BV3" s="463" t="s">
        <v>161</v>
      </c>
      <c r="BW3" s="463" t="s">
        <v>162</v>
      </c>
      <c r="BX3" s="463" t="s">
        <v>163</v>
      </c>
      <c r="BY3" s="463" t="s">
        <v>164</v>
      </c>
      <c r="BZ3" s="463" t="s">
        <v>165</v>
      </c>
      <c r="CA3" s="463" t="s">
        <v>166</v>
      </c>
      <c r="CB3" s="463" t="s">
        <v>167</v>
      </c>
    </row>
    <row r="4" spans="1:80" x14ac:dyDescent="0.25">
      <c r="A4" t="str">
        <f>TestPlan!A3</f>
        <v>Principal Investigator</v>
      </c>
      <c r="B4" t="str">
        <f>TestPlan!B3</f>
        <v>Forrest Jehlik</v>
      </c>
      <c r="D4" s="156"/>
      <c r="E4" s="153"/>
      <c r="F4" s="27"/>
      <c r="G4" s="27"/>
      <c r="H4" s="27"/>
      <c r="I4" s="27"/>
      <c r="J4" s="27"/>
      <c r="K4" s="27"/>
      <c r="L4" s="157"/>
      <c r="N4" s="93">
        <v>2020</v>
      </c>
      <c r="O4" s="91" t="s">
        <v>691</v>
      </c>
      <c r="P4" s="91" t="s">
        <v>692</v>
      </c>
      <c r="Q4" s="91" t="s">
        <v>693</v>
      </c>
      <c r="R4" s="91" t="s">
        <v>697</v>
      </c>
      <c r="S4" s="91" t="s">
        <v>698</v>
      </c>
      <c r="T4" s="93">
        <v>0</v>
      </c>
      <c r="U4" s="252">
        <v>99.99</v>
      </c>
      <c r="V4" s="91" t="s">
        <v>699</v>
      </c>
      <c r="W4" s="91" t="s">
        <v>550</v>
      </c>
      <c r="X4" s="93">
        <v>200</v>
      </c>
      <c r="Y4" s="93"/>
      <c r="Z4" s="91" t="s">
        <v>557</v>
      </c>
      <c r="AA4" s="91" t="s">
        <v>700</v>
      </c>
      <c r="AB4" s="91" t="s">
        <v>701</v>
      </c>
      <c r="AC4" s="93">
        <v>1</v>
      </c>
      <c r="AD4" s="91" t="s">
        <v>554</v>
      </c>
      <c r="AE4" s="91" t="s">
        <v>555</v>
      </c>
      <c r="AF4" s="91" t="s">
        <v>556</v>
      </c>
      <c r="AG4" s="91" t="s">
        <v>557</v>
      </c>
      <c r="AH4" s="91" t="s">
        <v>558</v>
      </c>
      <c r="AI4" s="93">
        <v>3875</v>
      </c>
      <c r="AJ4" s="253">
        <v>7.05</v>
      </c>
      <c r="AK4" s="254">
        <v>96</v>
      </c>
      <c r="AL4" s="91" t="s">
        <v>557</v>
      </c>
      <c r="AM4" s="91" t="s">
        <v>559</v>
      </c>
      <c r="AN4" s="91" t="s">
        <v>702</v>
      </c>
      <c r="AO4" s="91" t="s">
        <v>561</v>
      </c>
      <c r="AP4" s="91" t="s">
        <v>24</v>
      </c>
      <c r="AQ4" s="91" t="s">
        <v>562</v>
      </c>
      <c r="AR4" s="254"/>
      <c r="AS4" s="93"/>
      <c r="AT4" s="254"/>
      <c r="AU4" s="91" t="s">
        <v>573</v>
      </c>
      <c r="AV4" s="91" t="s">
        <v>574</v>
      </c>
      <c r="AW4" s="91" t="s">
        <v>565</v>
      </c>
      <c r="AX4" s="91" t="s">
        <v>566</v>
      </c>
      <c r="AY4" s="91" t="s">
        <v>567</v>
      </c>
      <c r="AZ4" s="255"/>
      <c r="BA4" s="255"/>
      <c r="BB4" s="255"/>
      <c r="BC4" s="255"/>
      <c r="BD4" s="255"/>
      <c r="BE4" s="255"/>
      <c r="BF4" s="255"/>
      <c r="BG4" s="254">
        <v>181.7</v>
      </c>
      <c r="BH4" s="91" t="s">
        <v>568</v>
      </c>
      <c r="BI4" s="255"/>
      <c r="BJ4" s="255"/>
      <c r="BK4" s="255"/>
      <c r="BL4" s="255"/>
      <c r="BM4" s="255"/>
      <c r="BN4" s="255"/>
      <c r="BO4" s="255"/>
      <c r="BP4" s="252">
        <v>28.39</v>
      </c>
      <c r="BQ4" s="462">
        <v>0.20169999999999999</v>
      </c>
      <c r="BR4" s="256">
        <v>1.932E-2</v>
      </c>
      <c r="BS4" s="252">
        <v>9.82</v>
      </c>
      <c r="BT4" s="256">
        <v>0.1615</v>
      </c>
      <c r="BU4" s="256">
        <v>1.789E-2</v>
      </c>
      <c r="BV4" s="91" t="s">
        <v>562</v>
      </c>
      <c r="BW4" s="91" t="s">
        <v>562</v>
      </c>
      <c r="BX4" s="91" t="s">
        <v>569</v>
      </c>
      <c r="BY4" s="91" t="s">
        <v>562</v>
      </c>
      <c r="BZ4" s="254"/>
      <c r="CA4" s="91" t="s">
        <v>569</v>
      </c>
      <c r="CB4" s="91" t="s">
        <v>690</v>
      </c>
    </row>
    <row r="5" spans="1:80" ht="15.75" thickBot="1" x14ac:dyDescent="0.3">
      <c r="A5" t="s">
        <v>318</v>
      </c>
      <c r="B5" s="27" t="s">
        <v>543</v>
      </c>
      <c r="C5" s="27"/>
      <c r="D5" s="158" t="s">
        <v>319</v>
      </c>
      <c r="E5" s="159"/>
      <c r="F5" s="27"/>
      <c r="G5" s="27"/>
      <c r="H5" s="27"/>
      <c r="I5" s="27"/>
      <c r="J5" s="27"/>
      <c r="K5" s="27"/>
      <c r="L5" s="157"/>
      <c r="N5" s="93">
        <v>2020</v>
      </c>
      <c r="O5" s="91" t="s">
        <v>691</v>
      </c>
      <c r="P5" s="91" t="s">
        <v>692</v>
      </c>
      <c r="Q5" s="91" t="s">
        <v>693</v>
      </c>
      <c r="R5" s="91" t="s">
        <v>697</v>
      </c>
      <c r="S5" s="91" t="s">
        <v>698</v>
      </c>
      <c r="T5" s="93">
        <v>0</v>
      </c>
      <c r="U5" s="252">
        <v>99.99</v>
      </c>
      <c r="V5" s="91" t="s">
        <v>699</v>
      </c>
      <c r="W5" s="91" t="s">
        <v>550</v>
      </c>
      <c r="X5" s="93">
        <v>200</v>
      </c>
      <c r="Y5" s="93"/>
      <c r="Z5" s="91" t="s">
        <v>557</v>
      </c>
      <c r="AA5" s="91" t="s">
        <v>700</v>
      </c>
      <c r="AB5" s="91" t="s">
        <v>701</v>
      </c>
      <c r="AC5" s="93">
        <v>1</v>
      </c>
      <c r="AD5" s="91" t="s">
        <v>554</v>
      </c>
      <c r="AE5" s="91" t="s">
        <v>555</v>
      </c>
      <c r="AF5" s="91" t="s">
        <v>556</v>
      </c>
      <c r="AG5" s="91" t="s">
        <v>557</v>
      </c>
      <c r="AH5" s="91" t="s">
        <v>558</v>
      </c>
      <c r="AI5" s="93">
        <v>3875</v>
      </c>
      <c r="AJ5" s="253">
        <v>7.05</v>
      </c>
      <c r="AK5" s="254">
        <v>96</v>
      </c>
      <c r="AL5" s="91" t="s">
        <v>557</v>
      </c>
      <c r="AM5" s="91" t="s">
        <v>559</v>
      </c>
      <c r="AN5" s="91" t="s">
        <v>703</v>
      </c>
      <c r="AO5" s="91" t="s">
        <v>561</v>
      </c>
      <c r="AP5" s="91" t="s">
        <v>24</v>
      </c>
      <c r="AQ5" s="91" t="s">
        <v>562</v>
      </c>
      <c r="AR5" s="254"/>
      <c r="AS5" s="93"/>
      <c r="AT5" s="254"/>
      <c r="AU5" s="91" t="s">
        <v>563</v>
      </c>
      <c r="AV5" s="91" t="s">
        <v>564</v>
      </c>
      <c r="AW5" s="91" t="s">
        <v>565</v>
      </c>
      <c r="AX5" s="91" t="s">
        <v>566</v>
      </c>
      <c r="AY5" s="91" t="s">
        <v>567</v>
      </c>
      <c r="AZ5" s="255"/>
      <c r="BA5" s="255"/>
      <c r="BB5" s="255"/>
      <c r="BC5" s="255"/>
      <c r="BD5" s="255"/>
      <c r="BE5" s="255"/>
      <c r="BF5" s="255"/>
      <c r="BG5" s="254">
        <v>153.80000000000001</v>
      </c>
      <c r="BH5" s="91" t="s">
        <v>568</v>
      </c>
      <c r="BI5" s="255"/>
      <c r="BJ5" s="255"/>
      <c r="BK5" s="255"/>
      <c r="BL5" s="255"/>
      <c r="BM5" s="255"/>
      <c r="BN5" s="255"/>
      <c r="BO5" s="255"/>
      <c r="BP5" s="252">
        <v>28.39</v>
      </c>
      <c r="BQ5" s="462">
        <v>0.20169999999999999</v>
      </c>
      <c r="BR5" s="256">
        <v>1.932E-2</v>
      </c>
      <c r="BS5" s="252">
        <v>9.82</v>
      </c>
      <c r="BT5" s="256">
        <v>0.1615</v>
      </c>
      <c r="BU5" s="256">
        <v>1.789E-2</v>
      </c>
      <c r="BV5" s="91" t="s">
        <v>562</v>
      </c>
      <c r="BW5" s="91" t="s">
        <v>562</v>
      </c>
      <c r="BX5" s="91" t="s">
        <v>569</v>
      </c>
      <c r="BY5" s="91" t="s">
        <v>562</v>
      </c>
      <c r="BZ5" s="254"/>
      <c r="CA5" s="91" t="s">
        <v>569</v>
      </c>
      <c r="CB5" s="91" t="s">
        <v>690</v>
      </c>
    </row>
    <row r="6" spans="1:80" x14ac:dyDescent="0.25">
      <c r="A6" s="6" t="s">
        <v>320</v>
      </c>
      <c r="B6" s="7"/>
      <c r="C6" s="7"/>
      <c r="D6" s="7"/>
      <c r="E6" s="7"/>
      <c r="F6" s="7"/>
      <c r="G6" s="7"/>
      <c r="H6" s="7"/>
      <c r="I6" s="7"/>
      <c r="J6" s="7"/>
      <c r="K6" s="7"/>
      <c r="L6" s="151"/>
      <c r="N6" s="93"/>
      <c r="O6" s="91"/>
      <c r="P6" s="91"/>
      <c r="Q6" s="91"/>
      <c r="R6" s="91"/>
      <c r="S6" s="91"/>
      <c r="T6" s="93"/>
      <c r="U6" s="252"/>
      <c r="V6" s="91"/>
      <c r="W6" s="91"/>
      <c r="X6" s="93"/>
      <c r="Y6" s="93"/>
      <c r="Z6" s="91"/>
      <c r="AA6" s="91"/>
      <c r="AB6" s="91"/>
      <c r="AC6" s="93"/>
      <c r="AD6" s="91"/>
      <c r="AE6" s="91"/>
      <c r="AF6" s="91"/>
      <c r="AG6" s="91"/>
      <c r="AH6" s="91"/>
      <c r="AI6" s="93"/>
      <c r="AJ6" s="253"/>
      <c r="AK6" s="254"/>
      <c r="AL6" s="91"/>
      <c r="AM6" s="91"/>
      <c r="AN6" s="91"/>
      <c r="AO6" s="91"/>
      <c r="AP6" s="91"/>
      <c r="AQ6" s="91"/>
      <c r="AR6" s="254"/>
      <c r="AS6" s="93"/>
      <c r="AT6" s="254"/>
      <c r="AU6" s="91"/>
      <c r="AV6" s="91"/>
      <c r="AW6" s="91"/>
      <c r="AX6" s="91"/>
      <c r="AY6" s="91"/>
      <c r="AZ6" s="255"/>
      <c r="BA6" s="255"/>
      <c r="BB6" s="255"/>
      <c r="BC6" s="255"/>
      <c r="BD6" s="255"/>
      <c r="BE6" s="255"/>
      <c r="BF6" s="255"/>
      <c r="BG6" s="255"/>
      <c r="BH6" s="91"/>
      <c r="BI6" s="255"/>
      <c r="BJ6" s="255"/>
      <c r="BK6" s="255"/>
      <c r="BL6" s="255"/>
      <c r="BM6" s="255"/>
      <c r="BN6" s="255"/>
      <c r="BO6" s="255"/>
      <c r="BP6" s="252"/>
      <c r="BQ6" s="256"/>
      <c r="BR6" s="257"/>
      <c r="BS6" s="252"/>
      <c r="BT6" s="256"/>
      <c r="BU6" s="257"/>
      <c r="BV6" s="91"/>
      <c r="BW6" s="91"/>
      <c r="BX6" s="91"/>
      <c r="BY6" s="91"/>
      <c r="BZ6" s="253"/>
      <c r="CA6" s="91"/>
      <c r="CB6" s="91"/>
    </row>
    <row r="7" spans="1:80" x14ac:dyDescent="0.25">
      <c r="B7" t="s">
        <v>321</v>
      </c>
      <c r="C7" t="s">
        <v>322</v>
      </c>
      <c r="L7" s="151"/>
      <c r="N7" s="93"/>
      <c r="O7" s="91"/>
      <c r="P7" s="91"/>
      <c r="Q7" s="91"/>
      <c r="R7" s="91"/>
      <c r="S7" s="91"/>
      <c r="T7" s="93"/>
      <c r="U7" s="252"/>
      <c r="V7" s="91"/>
      <c r="W7" s="91"/>
      <c r="X7" s="93"/>
      <c r="Y7" s="93"/>
      <c r="Z7" s="91"/>
      <c r="AA7" s="91"/>
      <c r="AB7" s="91"/>
      <c r="AC7" s="93"/>
      <c r="AD7" s="91"/>
      <c r="AE7" s="91"/>
      <c r="AF7" s="91"/>
      <c r="AG7" s="91"/>
      <c r="AH7" s="91"/>
      <c r="AI7" s="93"/>
      <c r="AJ7" s="253"/>
      <c r="AK7" s="254"/>
      <c r="AL7" s="91"/>
      <c r="AM7" s="91"/>
      <c r="AN7" s="91"/>
      <c r="AO7" s="91"/>
      <c r="AP7" s="91"/>
      <c r="AQ7" s="91"/>
      <c r="AR7" s="254"/>
      <c r="AS7" s="93"/>
      <c r="AT7" s="254"/>
      <c r="AU7" s="91"/>
      <c r="AV7" s="91"/>
      <c r="AW7" s="91"/>
      <c r="AX7" s="91"/>
      <c r="AY7" s="91"/>
      <c r="AZ7" s="255"/>
      <c r="BA7" s="255"/>
      <c r="BB7" s="255"/>
      <c r="BC7" s="255"/>
      <c r="BD7" s="255"/>
      <c r="BE7" s="255"/>
      <c r="BF7" s="255"/>
      <c r="BG7" s="255"/>
      <c r="BH7" s="91"/>
      <c r="BI7" s="255"/>
      <c r="BJ7" s="255"/>
      <c r="BK7" s="255"/>
      <c r="BL7" s="255"/>
      <c r="BM7" s="255"/>
      <c r="BN7" s="255"/>
      <c r="BO7" s="255"/>
      <c r="BP7" s="252"/>
      <c r="BQ7" s="256"/>
      <c r="BR7" s="257"/>
      <c r="BS7" s="252"/>
      <c r="BT7" s="256"/>
      <c r="BU7" s="257"/>
      <c r="BV7" s="91"/>
      <c r="BW7" s="91"/>
      <c r="BX7" s="91"/>
      <c r="BY7" s="91"/>
      <c r="BZ7" s="253"/>
      <c r="CA7" s="91"/>
      <c r="CB7" s="91"/>
    </row>
    <row r="8" spans="1:80" ht="15.75" thickBot="1" x14ac:dyDescent="0.3">
      <c r="L8" s="151"/>
      <c r="N8" s="93"/>
      <c r="O8" s="91"/>
      <c r="P8" s="91"/>
      <c r="Q8" s="91"/>
      <c r="R8" s="91"/>
      <c r="S8" s="91"/>
      <c r="T8" s="93"/>
      <c r="U8" s="252"/>
      <c r="V8" s="91"/>
      <c r="W8" s="91"/>
      <c r="X8" s="93"/>
      <c r="Y8" s="93"/>
      <c r="Z8" s="91"/>
      <c r="AA8" s="91"/>
      <c r="AB8" s="91"/>
      <c r="AC8" s="93"/>
      <c r="AD8" s="91"/>
      <c r="AE8" s="91"/>
      <c r="AF8" s="91"/>
      <c r="AG8" s="91"/>
      <c r="AH8" s="91"/>
      <c r="AI8" s="93"/>
      <c r="AJ8" s="253"/>
      <c r="AK8" s="254"/>
      <c r="AL8" s="91"/>
      <c r="AM8" s="91"/>
      <c r="AN8" s="91"/>
      <c r="AO8" s="91"/>
      <c r="AP8" s="91"/>
      <c r="AQ8" s="91"/>
      <c r="AR8" s="254"/>
      <c r="AS8" s="93"/>
      <c r="AT8" s="254"/>
      <c r="AU8" s="91"/>
      <c r="AV8" s="91"/>
      <c r="AW8" s="91"/>
      <c r="AX8" s="91"/>
      <c r="AY8" s="91"/>
      <c r="AZ8" s="255"/>
      <c r="BA8" s="255"/>
      <c r="BB8" s="255"/>
      <c r="BC8" s="255"/>
      <c r="BD8" s="255"/>
      <c r="BE8" s="255"/>
      <c r="BF8" s="255"/>
      <c r="BG8" s="255"/>
      <c r="BH8" s="91"/>
      <c r="BI8" s="255"/>
      <c r="BJ8" s="255"/>
      <c r="BK8" s="255"/>
      <c r="BL8" s="255"/>
      <c r="BM8" s="255"/>
      <c r="BN8" s="255"/>
      <c r="BO8" s="255"/>
      <c r="BP8" s="252"/>
      <c r="BQ8" s="256"/>
      <c r="BR8" s="257"/>
      <c r="BS8" s="252"/>
      <c r="BT8" s="256"/>
      <c r="BU8" s="257"/>
      <c r="BV8" s="91"/>
      <c r="BW8" s="91"/>
      <c r="BX8" s="91"/>
      <c r="BY8" s="91"/>
      <c r="BZ8" s="253"/>
      <c r="CA8" s="91"/>
      <c r="CB8" s="91"/>
    </row>
    <row r="9" spans="1:80" ht="15.75" thickBot="1" x14ac:dyDescent="0.3">
      <c r="A9" s="14"/>
      <c r="B9" s="188" t="s">
        <v>694</v>
      </c>
      <c r="C9" s="185"/>
      <c r="D9" s="160"/>
      <c r="E9" s="543" t="s">
        <v>323</v>
      </c>
      <c r="F9" s="544"/>
      <c r="G9" s="544"/>
      <c r="H9" s="544"/>
      <c r="I9" s="545"/>
      <c r="K9" s="161"/>
      <c r="L9" s="151"/>
      <c r="N9" s="93"/>
      <c r="O9" s="91"/>
      <c r="P9" s="91"/>
      <c r="Q9" s="91"/>
      <c r="R9" s="91"/>
      <c r="S9" s="91"/>
      <c r="T9" s="93"/>
      <c r="U9" s="252"/>
      <c r="V9" s="91"/>
      <c r="W9" s="91"/>
      <c r="X9" s="93"/>
      <c r="Y9" s="93"/>
      <c r="Z9" s="91"/>
      <c r="AA9" s="91"/>
      <c r="AB9" s="91"/>
      <c r="AC9" s="93"/>
      <c r="AD9" s="91"/>
      <c r="AE9" s="91"/>
      <c r="AF9" s="91"/>
      <c r="AG9" s="91"/>
      <c r="AH9" s="91"/>
      <c r="AI9" s="93"/>
      <c r="AJ9" s="253"/>
      <c r="AK9" s="254"/>
      <c r="AL9" s="91"/>
      <c r="AM9" s="91"/>
      <c r="AN9" s="91"/>
      <c r="AO9" s="91"/>
      <c r="AP9" s="91"/>
      <c r="AQ9" s="91"/>
      <c r="AR9" s="254"/>
      <c r="AS9" s="93"/>
      <c r="AT9" s="254"/>
      <c r="AU9" s="91"/>
      <c r="AV9" s="91"/>
      <c r="AW9" s="91"/>
      <c r="AX9" s="91"/>
      <c r="AY9" s="91"/>
      <c r="AZ9" s="255"/>
      <c r="BA9" s="255"/>
      <c r="BB9" s="255"/>
      <c r="BC9" s="255"/>
      <c r="BD9" s="255"/>
      <c r="BE9" s="255"/>
      <c r="BF9" s="255"/>
      <c r="BG9" s="255"/>
      <c r="BH9" s="91"/>
      <c r="BI9" s="255"/>
      <c r="BJ9" s="255"/>
      <c r="BK9" s="255"/>
      <c r="BL9" s="255"/>
      <c r="BM9" s="255"/>
      <c r="BN9" s="255"/>
      <c r="BO9" s="255"/>
      <c r="BP9" s="252"/>
      <c r="BQ9" s="256"/>
      <c r="BR9" s="257"/>
      <c r="BS9" s="252"/>
      <c r="BT9" s="256"/>
      <c r="BU9" s="257"/>
      <c r="BV9" s="91"/>
      <c r="BW9" s="91"/>
      <c r="BX9" s="91"/>
      <c r="BY9" s="91"/>
      <c r="BZ9" s="253"/>
      <c r="CA9" s="91"/>
      <c r="CB9" s="91"/>
    </row>
    <row r="10" spans="1:80" ht="15.6" customHeight="1" thickBot="1" x14ac:dyDescent="0.3">
      <c r="A10" s="162" t="s">
        <v>53</v>
      </c>
      <c r="B10" s="186"/>
      <c r="C10" s="187"/>
      <c r="D10" s="160"/>
      <c r="E10" s="198"/>
      <c r="F10" s="199" t="s">
        <v>696</v>
      </c>
      <c r="G10" s="199" t="s">
        <v>594</v>
      </c>
      <c r="H10" s="199" t="s">
        <v>595</v>
      </c>
      <c r="I10" s="200"/>
      <c r="K10" s="163"/>
      <c r="L10" s="151"/>
      <c r="N10" s="93"/>
      <c r="O10" s="91"/>
      <c r="P10" s="91"/>
      <c r="Q10" s="91"/>
      <c r="R10" s="91"/>
      <c r="S10" s="91"/>
      <c r="T10" s="93"/>
      <c r="U10" s="252"/>
      <c r="V10" s="91"/>
      <c r="W10" s="91"/>
      <c r="X10" s="93"/>
      <c r="Y10" s="93"/>
      <c r="Z10" s="91"/>
      <c r="AA10" s="91"/>
      <c r="AB10" s="91"/>
      <c r="AC10" s="93"/>
      <c r="AD10" s="91"/>
      <c r="AE10" s="91"/>
      <c r="AF10" s="91"/>
      <c r="AG10" s="91"/>
      <c r="AH10" s="91"/>
      <c r="AI10" s="93"/>
      <c r="AJ10" s="253"/>
      <c r="AK10" s="254"/>
      <c r="AL10" s="91"/>
      <c r="AM10" s="91"/>
      <c r="AN10" s="91"/>
      <c r="AO10" s="91"/>
      <c r="AP10" s="91"/>
      <c r="AQ10" s="91"/>
      <c r="AR10" s="254"/>
      <c r="AS10" s="93"/>
      <c r="AT10" s="254"/>
      <c r="AU10" s="91"/>
      <c r="AV10" s="91"/>
      <c r="AW10" s="91"/>
      <c r="AX10" s="91"/>
      <c r="AY10" s="91"/>
      <c r="AZ10" s="255"/>
      <c r="BA10" s="255"/>
      <c r="BB10" s="255"/>
      <c r="BC10" s="255"/>
      <c r="BD10" s="255"/>
      <c r="BE10" s="255"/>
      <c r="BF10" s="255"/>
      <c r="BG10" s="255"/>
      <c r="BH10" s="91"/>
      <c r="BI10" s="255"/>
      <c r="BJ10" s="255"/>
      <c r="BK10" s="255"/>
      <c r="BL10" s="255"/>
      <c r="BM10" s="255"/>
      <c r="BN10" s="255"/>
      <c r="BO10" s="255"/>
      <c r="BP10" s="252"/>
      <c r="BQ10" s="256"/>
      <c r="BR10" s="257"/>
      <c r="BS10" s="252"/>
      <c r="BT10" s="256"/>
      <c r="BU10" s="257"/>
      <c r="BV10" s="91"/>
      <c r="BW10" s="91"/>
      <c r="BX10" s="91"/>
      <c r="BY10" s="91"/>
      <c r="BZ10" s="253"/>
      <c r="CA10" s="91"/>
      <c r="CB10" s="91"/>
    </row>
    <row r="11" spans="1:80" ht="15.6" customHeight="1" x14ac:dyDescent="0.25">
      <c r="A11" s="162" t="s">
        <v>34</v>
      </c>
      <c r="B11" s="464">
        <v>3875</v>
      </c>
      <c r="C11" s="201" t="s">
        <v>35</v>
      </c>
      <c r="D11" s="160"/>
      <c r="E11" s="194" t="s">
        <v>34</v>
      </c>
      <c r="F11" s="464">
        <v>3875</v>
      </c>
      <c r="G11" s="195">
        <v>4250</v>
      </c>
      <c r="H11" s="196">
        <v>4250</v>
      </c>
      <c r="I11" s="197" t="s">
        <v>35</v>
      </c>
      <c r="L11" s="151"/>
      <c r="N11" s="93"/>
      <c r="O11" s="91"/>
      <c r="P11" s="91"/>
      <c r="Q11" s="91"/>
      <c r="R11" s="91"/>
      <c r="S11" s="91"/>
      <c r="T11" s="93"/>
      <c r="U11" s="252"/>
      <c r="V11" s="91"/>
      <c r="W11" s="91"/>
      <c r="X11" s="93"/>
      <c r="Y11" s="93"/>
      <c r="Z11" s="91"/>
      <c r="AA11" s="91"/>
      <c r="AB11" s="91"/>
      <c r="AC11" s="93"/>
      <c r="AD11" s="91"/>
      <c r="AE11" s="91"/>
      <c r="AF11" s="91"/>
      <c r="AG11" s="91"/>
      <c r="AH11" s="91"/>
      <c r="AI11" s="93"/>
      <c r="AJ11" s="253"/>
      <c r="AK11" s="254"/>
      <c r="AL11" s="91"/>
      <c r="AM11" s="91"/>
      <c r="AN11" s="91"/>
      <c r="AO11" s="91"/>
      <c r="AP11" s="91"/>
      <c r="AQ11" s="91"/>
      <c r="AR11" s="254"/>
      <c r="AS11" s="93"/>
      <c r="AT11" s="254"/>
      <c r="AU11" s="91"/>
      <c r="AV11" s="91"/>
      <c r="AW11" s="91"/>
      <c r="AX11" s="91"/>
      <c r="AY11" s="91"/>
      <c r="AZ11" s="255"/>
      <c r="BA11" s="255"/>
      <c r="BB11" s="255"/>
      <c r="BC11" s="255"/>
      <c r="BD11" s="255"/>
      <c r="BE11" s="255"/>
      <c r="BF11" s="255"/>
      <c r="BG11" s="255"/>
      <c r="BH11" s="91"/>
      <c r="BI11" s="255"/>
      <c r="BJ11" s="255"/>
      <c r="BK11" s="255"/>
      <c r="BL11" s="255"/>
      <c r="BM11" s="255"/>
      <c r="BN11" s="255"/>
      <c r="BO11" s="255"/>
      <c r="BP11" s="252"/>
      <c r="BQ11" s="256"/>
      <c r="BR11" s="257"/>
      <c r="BS11" s="252"/>
      <c r="BT11" s="256"/>
      <c r="BU11" s="257"/>
      <c r="BV11" s="91"/>
      <c r="BW11" s="91"/>
      <c r="BX11" s="91"/>
      <c r="BY11" s="91"/>
      <c r="BZ11" s="253"/>
      <c r="CA11" s="91"/>
      <c r="CB11" s="91"/>
    </row>
    <row r="12" spans="1:80" ht="15.6" customHeight="1" x14ac:dyDescent="0.25">
      <c r="A12" s="162" t="s">
        <v>31</v>
      </c>
      <c r="B12" s="465">
        <v>28.39</v>
      </c>
      <c r="C12" s="202" t="s">
        <v>4</v>
      </c>
      <c r="D12" s="160"/>
      <c r="E12" s="164" t="s">
        <v>31</v>
      </c>
      <c r="F12" s="465">
        <v>28.39</v>
      </c>
      <c r="G12" s="165">
        <v>30.36</v>
      </c>
      <c r="H12" s="175">
        <v>38.71</v>
      </c>
      <c r="I12" s="191" t="s">
        <v>4</v>
      </c>
      <c r="J12" s="252"/>
      <c r="L12" s="151"/>
      <c r="N12" s="93"/>
      <c r="O12" s="91"/>
      <c r="P12" s="91"/>
      <c r="Q12" s="91"/>
      <c r="R12" s="91"/>
      <c r="S12" s="91"/>
      <c r="T12" s="93"/>
      <c r="U12" s="252"/>
      <c r="V12" s="91"/>
      <c r="W12" s="91"/>
      <c r="X12" s="93"/>
      <c r="Y12" s="93"/>
      <c r="Z12" s="91"/>
      <c r="AA12" s="91"/>
      <c r="AB12" s="91"/>
      <c r="AC12" s="93"/>
      <c r="AD12" s="91"/>
      <c r="AE12" s="91"/>
      <c r="AF12" s="91"/>
      <c r="AG12" s="91"/>
      <c r="AH12" s="91"/>
      <c r="AI12" s="93"/>
      <c r="AJ12" s="253"/>
      <c r="AK12" s="254"/>
      <c r="AL12" s="91"/>
      <c r="AM12" s="91"/>
      <c r="AN12" s="91"/>
      <c r="AO12" s="91"/>
      <c r="AP12" s="91"/>
      <c r="AQ12" s="91"/>
      <c r="AR12" s="254"/>
      <c r="AS12" s="93"/>
      <c r="AT12" s="254"/>
      <c r="AU12" s="91"/>
      <c r="AV12" s="91"/>
      <c r="AW12" s="91"/>
      <c r="AX12" s="91"/>
      <c r="AY12" s="91"/>
      <c r="AZ12" s="255"/>
      <c r="BA12" s="255"/>
      <c r="BB12" s="255"/>
      <c r="BC12" s="255"/>
      <c r="BD12" s="255"/>
      <c r="BE12" s="255"/>
      <c r="BF12" s="255"/>
      <c r="BG12" s="255"/>
      <c r="BH12" s="91"/>
      <c r="BI12" s="255"/>
      <c r="BJ12" s="255"/>
      <c r="BK12" s="255"/>
      <c r="BL12" s="255"/>
      <c r="BM12" s="255"/>
      <c r="BN12" s="255"/>
      <c r="BO12" s="255"/>
      <c r="BP12" s="252"/>
      <c r="BQ12" s="256"/>
      <c r="BR12" s="257"/>
      <c r="BS12" s="252"/>
      <c r="BT12" s="256"/>
      <c r="BU12" s="257"/>
      <c r="BV12" s="91"/>
      <c r="BW12" s="91"/>
      <c r="BX12" s="91"/>
      <c r="BY12" s="91"/>
      <c r="BZ12" s="253"/>
      <c r="CA12" s="91"/>
      <c r="CB12" s="91"/>
    </row>
    <row r="13" spans="1:80" x14ac:dyDescent="0.25">
      <c r="A13" s="162" t="s">
        <v>32</v>
      </c>
      <c r="B13" s="466">
        <v>0.20169999999999999</v>
      </c>
      <c r="C13" s="202" t="s">
        <v>36</v>
      </c>
      <c r="D13" s="160"/>
      <c r="E13" s="164" t="s">
        <v>32</v>
      </c>
      <c r="F13" s="466">
        <v>0.20169999999999999</v>
      </c>
      <c r="G13" s="205">
        <v>0.3201</v>
      </c>
      <c r="H13" s="175">
        <v>3.0499999999999999E-2</v>
      </c>
      <c r="I13" s="192" t="s">
        <v>36</v>
      </c>
      <c r="J13" s="256"/>
      <c r="L13" s="151"/>
      <c r="N13" s="93"/>
      <c r="O13" s="91"/>
      <c r="P13" s="91"/>
      <c r="Q13" s="91"/>
      <c r="R13" s="91"/>
      <c r="S13" s="91"/>
      <c r="T13" s="93"/>
      <c r="U13" s="252"/>
      <c r="V13" s="91"/>
      <c r="W13" s="91"/>
      <c r="X13" s="93"/>
      <c r="Y13" s="93"/>
      <c r="Z13" s="91"/>
      <c r="AA13" s="91"/>
      <c r="AB13" s="91"/>
      <c r="AC13" s="93"/>
      <c r="AD13" s="91"/>
      <c r="AE13" s="91"/>
      <c r="AF13" s="91"/>
      <c r="AG13" s="91"/>
      <c r="AH13" s="91"/>
      <c r="AI13" s="93"/>
      <c r="AJ13" s="253"/>
      <c r="AK13" s="254"/>
      <c r="AL13" s="91"/>
      <c r="AM13" s="91"/>
      <c r="AN13" s="91"/>
      <c r="AO13" s="91"/>
      <c r="AP13" s="91"/>
      <c r="AQ13" s="91"/>
      <c r="AR13" s="254"/>
      <c r="AS13" s="93"/>
      <c r="AT13" s="254"/>
      <c r="AU13" s="91"/>
      <c r="AV13" s="91"/>
      <c r="AW13" s="91"/>
      <c r="AX13" s="91"/>
      <c r="AY13" s="91"/>
      <c r="AZ13" s="255"/>
      <c r="BA13" s="255"/>
      <c r="BB13" s="255"/>
      <c r="BC13" s="255"/>
      <c r="BD13" s="255"/>
      <c r="BE13" s="255"/>
      <c r="BF13" s="255"/>
      <c r="BG13" s="255"/>
      <c r="BH13" s="91"/>
      <c r="BI13" s="255"/>
      <c r="BJ13" s="255"/>
      <c r="BK13" s="255"/>
      <c r="BL13" s="255"/>
      <c r="BM13" s="255"/>
      <c r="BN13" s="255"/>
      <c r="BO13" s="255"/>
      <c r="BP13" s="252"/>
      <c r="BQ13" s="256"/>
      <c r="BR13" s="257"/>
      <c r="BS13" s="252"/>
      <c r="BT13" s="256"/>
      <c r="BU13" s="257"/>
      <c r="BV13" s="91"/>
      <c r="BW13" s="91"/>
      <c r="BX13" s="91"/>
      <c r="BY13" s="91"/>
      <c r="BZ13" s="253"/>
      <c r="CA13" s="91"/>
      <c r="CB13" s="91"/>
    </row>
    <row r="14" spans="1:80" ht="15.75" thickBot="1" x14ac:dyDescent="0.3">
      <c r="A14" s="166" t="s">
        <v>33</v>
      </c>
      <c r="B14" s="467">
        <v>1.932E-2</v>
      </c>
      <c r="C14" s="203" t="s">
        <v>52</v>
      </c>
      <c r="D14" s="160"/>
      <c r="E14" s="167" t="s">
        <v>33</v>
      </c>
      <c r="F14" s="467">
        <v>1.932E-2</v>
      </c>
      <c r="G14" s="204">
        <v>1.9560000000000001E-2</v>
      </c>
      <c r="H14" s="176">
        <v>1.4999999999999999E-2</v>
      </c>
      <c r="I14" s="193" t="s">
        <v>52</v>
      </c>
      <c r="J14" s="257"/>
      <c r="K14" s="168"/>
      <c r="L14" s="151"/>
      <c r="N14" s="93"/>
      <c r="O14" s="91"/>
      <c r="P14" s="91"/>
      <c r="Q14" s="91"/>
      <c r="R14" s="91"/>
      <c r="S14" s="91"/>
      <c r="T14" s="93"/>
      <c r="U14" s="252"/>
      <c r="V14" s="91"/>
      <c r="W14" s="91"/>
      <c r="X14" s="93"/>
      <c r="Y14" s="93"/>
      <c r="Z14" s="91"/>
      <c r="AA14" s="91"/>
      <c r="AB14" s="91"/>
      <c r="AC14" s="93"/>
      <c r="AD14" s="91"/>
      <c r="AE14" s="91"/>
      <c r="AF14" s="91"/>
      <c r="AG14" s="91"/>
      <c r="AH14" s="91"/>
      <c r="AI14" s="93"/>
      <c r="AJ14" s="253"/>
      <c r="AK14" s="254"/>
      <c r="AL14" s="91"/>
      <c r="AM14" s="91"/>
      <c r="AN14" s="91"/>
      <c r="AO14" s="91"/>
      <c r="AP14" s="91"/>
      <c r="AQ14" s="91"/>
      <c r="AR14" s="254"/>
      <c r="AS14" s="93"/>
      <c r="AT14" s="254"/>
      <c r="AU14" s="91"/>
      <c r="AV14" s="91"/>
      <c r="AW14" s="91"/>
      <c r="AX14" s="91"/>
      <c r="AY14" s="91"/>
      <c r="AZ14" s="255"/>
      <c r="BA14" s="255"/>
      <c r="BB14" s="255"/>
      <c r="BC14" s="255"/>
      <c r="BD14" s="255"/>
      <c r="BE14" s="255"/>
      <c r="BF14" s="255"/>
      <c r="BG14" s="255"/>
      <c r="BH14" s="91"/>
      <c r="BI14" s="255"/>
      <c r="BJ14" s="255"/>
      <c r="BK14" s="255"/>
      <c r="BL14" s="255"/>
      <c r="BM14" s="255"/>
      <c r="BN14" s="255"/>
      <c r="BO14" s="255"/>
      <c r="BP14" s="252"/>
      <c r="BQ14" s="256"/>
      <c r="BR14" s="257"/>
      <c r="BS14" s="252"/>
      <c r="BT14" s="256"/>
      <c r="BU14" s="257"/>
      <c r="BV14" s="91"/>
      <c r="BW14" s="91"/>
      <c r="BX14" s="91"/>
      <c r="BY14" s="91"/>
      <c r="BZ14" s="253"/>
      <c r="CA14" s="91"/>
      <c r="CB14" s="91"/>
    </row>
    <row r="15" spans="1:80" x14ac:dyDescent="0.25">
      <c r="L15" s="151"/>
      <c r="N15" s="93"/>
      <c r="O15" s="91"/>
      <c r="P15" s="91"/>
      <c r="Q15" s="91"/>
      <c r="R15" s="91"/>
      <c r="S15" s="91"/>
      <c r="T15" s="93"/>
      <c r="U15" s="252"/>
      <c r="V15" s="91"/>
      <c r="W15" s="91"/>
      <c r="X15" s="93"/>
      <c r="Y15" s="93"/>
      <c r="Z15" s="91"/>
      <c r="AA15" s="91"/>
      <c r="AB15" s="91"/>
      <c r="AC15" s="93"/>
      <c r="AD15" s="91"/>
      <c r="AE15" s="91"/>
      <c r="AF15" s="91"/>
      <c r="AG15" s="91"/>
      <c r="AH15" s="91"/>
      <c r="AI15" s="93"/>
      <c r="AJ15" s="253"/>
      <c r="AK15" s="254"/>
      <c r="AL15" s="91"/>
      <c r="AM15" s="91"/>
      <c r="AN15" s="91"/>
      <c r="AO15" s="91"/>
      <c r="AP15" s="91"/>
      <c r="AQ15" s="91"/>
      <c r="AR15" s="254"/>
      <c r="AS15" s="93"/>
      <c r="AT15" s="254"/>
      <c r="AU15" s="91"/>
      <c r="AV15" s="91"/>
      <c r="AW15" s="91"/>
      <c r="AX15" s="91"/>
      <c r="AY15" s="91"/>
      <c r="AZ15" s="255"/>
      <c r="BA15" s="255"/>
      <c r="BB15" s="255"/>
      <c r="BC15" s="255"/>
      <c r="BD15" s="255"/>
      <c r="BE15" s="255"/>
      <c r="BF15" s="255"/>
      <c r="BG15" s="255"/>
      <c r="BH15" s="91"/>
      <c r="BI15" s="255"/>
      <c r="BJ15" s="255"/>
      <c r="BK15" s="255"/>
      <c r="BL15" s="255"/>
      <c r="BM15" s="255"/>
      <c r="BN15" s="255"/>
      <c r="BO15" s="255"/>
      <c r="BP15" s="252"/>
      <c r="BQ15" s="256"/>
      <c r="BR15" s="257"/>
      <c r="BS15" s="252"/>
      <c r="BT15" s="256"/>
      <c r="BU15" s="257"/>
      <c r="BV15" s="91"/>
      <c r="BW15" s="91"/>
      <c r="BX15" s="91"/>
      <c r="BY15" s="91"/>
      <c r="BZ15" s="253"/>
      <c r="CA15" s="91"/>
      <c r="CB15" s="91"/>
    </row>
    <row r="16" spans="1:80" x14ac:dyDescent="0.25">
      <c r="L16" s="151"/>
      <c r="N16" s="93"/>
      <c r="O16" s="91"/>
      <c r="P16" s="91"/>
      <c r="Q16" s="91"/>
      <c r="R16" s="91"/>
      <c r="S16" s="91"/>
      <c r="T16" s="93"/>
      <c r="U16" s="252"/>
      <c r="V16" s="91"/>
      <c r="W16" s="91"/>
      <c r="X16" s="93"/>
      <c r="Y16" s="93"/>
      <c r="Z16" s="91"/>
      <c r="AA16" s="91"/>
      <c r="AB16" s="91"/>
      <c r="AC16" s="93"/>
      <c r="AD16" s="91"/>
      <c r="AE16" s="91"/>
      <c r="AF16" s="91"/>
      <c r="AG16" s="91"/>
      <c r="AH16" s="91"/>
      <c r="AI16" s="93"/>
      <c r="AJ16" s="253"/>
      <c r="AK16" s="254"/>
      <c r="AL16" s="91"/>
      <c r="AM16" s="91"/>
      <c r="AN16" s="91"/>
      <c r="AO16" s="91"/>
      <c r="AP16" s="91"/>
      <c r="AQ16" s="91"/>
      <c r="AR16" s="254"/>
      <c r="AS16" s="93"/>
      <c r="AT16" s="254"/>
      <c r="AU16" s="91"/>
      <c r="AV16" s="91"/>
      <c r="AW16" s="91"/>
      <c r="AX16" s="91"/>
      <c r="AY16" s="91"/>
      <c r="AZ16" s="255"/>
      <c r="BA16" s="255"/>
      <c r="BB16" s="255"/>
      <c r="BC16" s="255"/>
      <c r="BD16" s="255"/>
      <c r="BE16" s="255"/>
      <c r="BF16" s="255"/>
      <c r="BG16" s="255"/>
      <c r="BH16" s="91"/>
      <c r="BI16" s="255"/>
      <c r="BJ16" s="255"/>
      <c r="BK16" s="255"/>
      <c r="BL16" s="255"/>
      <c r="BM16" s="255"/>
      <c r="BN16" s="255"/>
      <c r="BO16" s="255"/>
      <c r="BP16" s="252"/>
      <c r="BQ16" s="256"/>
      <c r="BR16" s="257"/>
      <c r="BS16" s="252"/>
      <c r="BT16" s="256"/>
      <c r="BU16" s="257"/>
      <c r="BV16" s="91"/>
      <c r="BW16" s="91"/>
      <c r="BX16" s="91"/>
      <c r="BY16" s="91"/>
      <c r="BZ16" s="253"/>
      <c r="CA16" s="91"/>
      <c r="CB16" s="91"/>
    </row>
    <row r="17" spans="1:80" ht="15.75" thickBot="1" x14ac:dyDescent="0.3">
      <c r="A17" s="6" t="s">
        <v>37</v>
      </c>
      <c r="B17" s="7"/>
      <c r="C17" s="7"/>
      <c r="D17" s="7"/>
      <c r="E17" s="7"/>
      <c r="F17" s="7"/>
      <c r="G17" s="7"/>
      <c r="H17" s="7"/>
      <c r="I17" s="7"/>
      <c r="J17" s="7"/>
      <c r="K17" s="7"/>
      <c r="L17" s="151"/>
      <c r="N17" s="93"/>
      <c r="O17" s="91"/>
      <c r="P17" s="91"/>
      <c r="Q17" s="91"/>
      <c r="R17" s="91"/>
      <c r="S17" s="91"/>
      <c r="T17" s="93"/>
      <c r="U17" s="252"/>
      <c r="V17" s="91"/>
      <c r="W17" s="91"/>
      <c r="X17" s="93"/>
      <c r="Y17" s="93"/>
      <c r="Z17" s="91"/>
      <c r="AA17" s="91"/>
      <c r="AB17" s="91"/>
      <c r="AC17" s="93"/>
      <c r="AD17" s="91"/>
      <c r="AE17" s="91"/>
      <c r="AF17" s="91"/>
      <c r="AG17" s="91"/>
      <c r="AH17" s="91"/>
      <c r="AI17" s="93"/>
      <c r="AJ17" s="253"/>
      <c r="AK17" s="254"/>
      <c r="AL17" s="91"/>
      <c r="AM17" s="91"/>
      <c r="AN17" s="91"/>
      <c r="AO17" s="91"/>
      <c r="AP17" s="91"/>
      <c r="AQ17" s="91"/>
      <c r="AR17" s="254"/>
      <c r="AS17" s="93"/>
      <c r="AT17" s="254"/>
      <c r="AU17" s="91"/>
      <c r="AV17" s="91"/>
      <c r="AW17" s="91"/>
      <c r="AX17" s="91"/>
      <c r="AY17" s="91"/>
      <c r="AZ17" s="255"/>
      <c r="BA17" s="255"/>
      <c r="BB17" s="255"/>
      <c r="BC17" s="255"/>
      <c r="BD17" s="255"/>
      <c r="BE17" s="255"/>
      <c r="BF17" s="255"/>
      <c r="BG17" s="255"/>
      <c r="BH17" s="91"/>
      <c r="BI17" s="255"/>
      <c r="BJ17" s="255"/>
      <c r="BK17" s="255"/>
      <c r="BL17" s="255"/>
      <c r="BM17" s="255"/>
      <c r="BN17" s="255"/>
      <c r="BO17" s="255"/>
      <c r="BP17" s="252"/>
      <c r="BQ17" s="256"/>
      <c r="BR17" s="257"/>
      <c r="BS17" s="252"/>
      <c r="BT17" s="256"/>
      <c r="BU17" s="257"/>
      <c r="BV17" s="91"/>
      <c r="BW17" s="91"/>
      <c r="BX17" s="91"/>
      <c r="BY17" s="91"/>
      <c r="BZ17" s="253"/>
      <c r="CA17" s="91"/>
      <c r="CB17" s="91"/>
    </row>
    <row r="18" spans="1:80" x14ac:dyDescent="0.25">
      <c r="A18" s="8" t="s">
        <v>38</v>
      </c>
      <c r="B18" s="9"/>
      <c r="C18" s="9"/>
      <c r="D18" s="9"/>
      <c r="E18" s="9"/>
      <c r="F18" s="9"/>
      <c r="G18" s="9"/>
      <c r="H18" s="9"/>
      <c r="I18" s="9"/>
      <c r="J18" s="9"/>
      <c r="K18" s="9"/>
      <c r="L18" s="151"/>
      <c r="N18" s="93"/>
      <c r="O18" s="91"/>
      <c r="P18" s="91"/>
      <c r="Q18" s="91"/>
      <c r="R18" s="91"/>
      <c r="S18" s="91"/>
      <c r="T18" s="93"/>
      <c r="U18" s="252"/>
      <c r="V18" s="91"/>
      <c r="W18" s="91"/>
      <c r="X18" s="93"/>
      <c r="Y18" s="93"/>
      <c r="Z18" s="91"/>
      <c r="AA18" s="91"/>
      <c r="AB18" s="91"/>
      <c r="AC18" s="93"/>
      <c r="AD18" s="91"/>
      <c r="AE18" s="91"/>
      <c r="AF18" s="91"/>
      <c r="AG18" s="91"/>
      <c r="AH18" s="91"/>
      <c r="AI18" s="93"/>
      <c r="AJ18" s="253"/>
      <c r="AK18" s="254"/>
      <c r="AL18" s="91"/>
      <c r="AM18" s="91"/>
      <c r="AN18" s="91"/>
      <c r="AO18" s="91"/>
      <c r="AP18" s="91"/>
      <c r="AQ18" s="91"/>
      <c r="AR18" s="254"/>
      <c r="AS18" s="93"/>
      <c r="AT18" s="254"/>
      <c r="AU18" s="91"/>
      <c r="AV18" s="91"/>
      <c r="AW18" s="91"/>
      <c r="AX18" s="91"/>
      <c r="AY18" s="91"/>
      <c r="AZ18" s="255"/>
      <c r="BA18" s="255"/>
      <c r="BB18" s="255"/>
      <c r="BC18" s="255"/>
      <c r="BD18" s="255"/>
      <c r="BE18" s="255"/>
      <c r="BF18" s="255"/>
      <c r="BG18" s="255"/>
      <c r="BH18" s="91"/>
      <c r="BI18" s="255"/>
      <c r="BJ18" s="255"/>
      <c r="BK18" s="255"/>
      <c r="BL18" s="255"/>
      <c r="BM18" s="255"/>
      <c r="BN18" s="255"/>
      <c r="BO18" s="255"/>
      <c r="BP18" s="252"/>
      <c r="BQ18" s="256"/>
      <c r="BR18" s="257"/>
      <c r="BS18" s="252"/>
      <c r="BT18" s="256"/>
      <c r="BU18" s="257"/>
      <c r="BV18" s="91"/>
      <c r="BW18" s="91"/>
      <c r="BX18" s="91"/>
      <c r="BY18" s="91"/>
      <c r="BZ18" s="253"/>
      <c r="CA18" s="91"/>
      <c r="CB18" s="91"/>
    </row>
    <row r="19" spans="1:80" x14ac:dyDescent="0.25">
      <c r="A19" s="10"/>
      <c r="B19" s="11" t="s">
        <v>39</v>
      </c>
      <c r="L19" s="151"/>
      <c r="N19" s="93"/>
      <c r="O19" s="91"/>
      <c r="P19" s="91"/>
      <c r="Q19" s="91"/>
      <c r="R19" s="91"/>
      <c r="S19" s="91"/>
      <c r="T19" s="93"/>
      <c r="U19" s="252"/>
      <c r="V19" s="91"/>
      <c r="W19" s="91"/>
      <c r="X19" s="93"/>
      <c r="Y19" s="93"/>
      <c r="Z19" s="91"/>
      <c r="AA19" s="91"/>
      <c r="AB19" s="91"/>
      <c r="AC19" s="93"/>
      <c r="AD19" s="91"/>
      <c r="AE19" s="91"/>
      <c r="AF19" s="91"/>
      <c r="AG19" s="91"/>
      <c r="AH19" s="91"/>
      <c r="AI19" s="93"/>
      <c r="AJ19" s="253"/>
      <c r="AK19" s="254"/>
      <c r="AL19" s="91"/>
      <c r="AM19" s="91"/>
      <c r="AN19" s="91"/>
      <c r="AO19" s="91"/>
      <c r="AP19" s="91"/>
      <c r="AQ19" s="91"/>
      <c r="AR19" s="254"/>
      <c r="AS19" s="93"/>
      <c r="AT19" s="254"/>
      <c r="AU19" s="91"/>
      <c r="AV19" s="91"/>
      <c r="AW19" s="91"/>
      <c r="AX19" s="91"/>
      <c r="AY19" s="91"/>
      <c r="AZ19" s="255"/>
      <c r="BA19" s="255"/>
      <c r="BB19" s="255"/>
      <c r="BC19" s="255"/>
      <c r="BD19" s="255"/>
      <c r="BE19" s="255"/>
      <c r="BF19" s="255"/>
      <c r="BG19" s="255"/>
      <c r="BH19" s="91"/>
      <c r="BI19" s="255"/>
      <c r="BJ19" s="255"/>
      <c r="BK19" s="255"/>
      <c r="BL19" s="255"/>
      <c r="BM19" s="255"/>
      <c r="BN19" s="255"/>
      <c r="BO19" s="255"/>
      <c r="BP19" s="252"/>
      <c r="BQ19" s="256"/>
      <c r="BR19" s="257"/>
      <c r="BS19" s="252"/>
      <c r="BT19" s="256"/>
      <c r="BU19" s="257"/>
      <c r="BV19" s="91"/>
      <c r="BW19" s="91"/>
      <c r="BX19" s="91"/>
      <c r="BY19" s="91"/>
      <c r="BZ19" s="253"/>
      <c r="CA19" s="91"/>
      <c r="CB19" s="91"/>
    </row>
    <row r="20" spans="1:80" x14ac:dyDescent="0.25">
      <c r="A20" s="10"/>
      <c r="B20" t="s">
        <v>324</v>
      </c>
      <c r="L20" s="151"/>
      <c r="N20" s="169"/>
      <c r="O20" s="169"/>
      <c r="P20" s="169"/>
      <c r="Q20" s="169"/>
    </row>
    <row r="21" spans="1:80" ht="15.75" thickBot="1" x14ac:dyDescent="0.3">
      <c r="A21" s="12"/>
      <c r="B21" s="13" t="s">
        <v>324</v>
      </c>
      <c r="C21" s="13"/>
      <c r="D21" s="13"/>
      <c r="E21" s="13"/>
      <c r="F21" s="13"/>
      <c r="G21" s="13"/>
      <c r="H21" s="13"/>
      <c r="I21" s="13"/>
      <c r="J21" s="13"/>
      <c r="K21" s="13"/>
      <c r="L21" s="151"/>
      <c r="N21" s="169"/>
      <c r="P21" s="169"/>
      <c r="Q21" s="169"/>
    </row>
    <row r="22" spans="1:80" ht="15.75" thickBot="1" x14ac:dyDescent="0.3">
      <c r="L22" s="151"/>
      <c r="N22" s="169"/>
      <c r="P22" s="169"/>
      <c r="Q22" s="169"/>
      <c r="W22" s="17"/>
    </row>
    <row r="23" spans="1:80" x14ac:dyDescent="0.25">
      <c r="A23" s="8" t="s">
        <v>16</v>
      </c>
      <c r="B23" s="272" t="s">
        <v>6</v>
      </c>
      <c r="C23" s="272" t="s">
        <v>424</v>
      </c>
      <c r="D23" s="273" t="s">
        <v>454</v>
      </c>
      <c r="E23" s="9" t="s">
        <v>428</v>
      </c>
      <c r="F23" s="9" t="s">
        <v>429</v>
      </c>
      <c r="G23" s="9"/>
      <c r="H23" s="9"/>
      <c r="I23" s="9"/>
      <c r="J23" s="9"/>
      <c r="K23" s="9"/>
      <c r="L23" s="151"/>
      <c r="N23" s="169"/>
      <c r="P23" s="169"/>
      <c r="Q23" s="169"/>
      <c r="W23" s="17"/>
      <c r="X23" s="17"/>
      <c r="Y23" s="17"/>
    </row>
    <row r="24" spans="1:80" x14ac:dyDescent="0.25">
      <c r="A24" s="10" t="s">
        <v>40</v>
      </c>
      <c r="B24" t="s">
        <v>540</v>
      </c>
      <c r="C24" s="17">
        <v>500</v>
      </c>
      <c r="D24" s="17"/>
      <c r="L24" s="151"/>
      <c r="N24" s="169"/>
      <c r="O24" s="169"/>
      <c r="P24" s="169"/>
      <c r="Q24" s="169"/>
      <c r="W24" s="17"/>
      <c r="X24" s="17"/>
      <c r="Y24" s="17"/>
    </row>
    <row r="25" spans="1:80" x14ac:dyDescent="0.25">
      <c r="A25" s="10" t="s">
        <v>41</v>
      </c>
      <c r="B25" t="s">
        <v>541</v>
      </c>
      <c r="C25" s="17">
        <v>200</v>
      </c>
      <c r="D25" s="17"/>
      <c r="L25" s="151"/>
      <c r="N25" s="169"/>
      <c r="O25" s="169"/>
      <c r="P25" s="169"/>
      <c r="Q25" s="169"/>
      <c r="W25" s="17"/>
      <c r="X25" s="17"/>
      <c r="Y25" s="17"/>
    </row>
    <row r="26" spans="1:80" x14ac:dyDescent="0.25">
      <c r="A26" s="10" t="s">
        <v>42</v>
      </c>
      <c r="B26" t="s">
        <v>602</v>
      </c>
      <c r="C26" s="17">
        <v>40</v>
      </c>
      <c r="D26" s="17"/>
      <c r="L26" s="151"/>
      <c r="P26" s="169"/>
      <c r="Q26" s="169"/>
      <c r="W26" s="17"/>
      <c r="X26" s="17"/>
    </row>
    <row r="27" spans="1:80" x14ac:dyDescent="0.25">
      <c r="A27" s="10" t="s">
        <v>43</v>
      </c>
      <c r="B27" t="s">
        <v>542</v>
      </c>
      <c r="C27" s="17">
        <v>80</v>
      </c>
      <c r="D27" s="17"/>
      <c r="L27" s="151"/>
      <c r="M27" s="17"/>
      <c r="N27" s="170"/>
      <c r="S27" s="171"/>
    </row>
    <row r="28" spans="1:80" ht="14.25" customHeight="1" x14ac:dyDescent="0.25">
      <c r="A28" s="10" t="s">
        <v>44</v>
      </c>
      <c r="B28" t="s">
        <v>603</v>
      </c>
      <c r="C28" s="17">
        <v>20</v>
      </c>
      <c r="D28" s="17"/>
      <c r="L28" s="151"/>
      <c r="M28" s="17"/>
      <c r="N28" s="174" t="s">
        <v>325</v>
      </c>
      <c r="O28" s="468" t="s">
        <v>695</v>
      </c>
      <c r="P28" s="468" t="str">
        <f>G10</f>
        <v>EPA-Leaf</v>
      </c>
      <c r="Q28" s="468" t="str">
        <f>H10</f>
        <v>EPA-Tesla M3</v>
      </c>
      <c r="S28" s="171"/>
    </row>
    <row r="29" spans="1:80" x14ac:dyDescent="0.25">
      <c r="A29" s="10" t="s">
        <v>45</v>
      </c>
      <c r="B29" t="s">
        <v>604</v>
      </c>
      <c r="C29" s="17">
        <v>20</v>
      </c>
      <c r="D29" s="17"/>
      <c r="L29" s="151"/>
      <c r="N29" s="317">
        <v>0</v>
      </c>
      <c r="O29" s="469">
        <f>N29*0.44704*($F$12+$F$13*N29+$F$14*N29*N29)*4.44822162/1000</f>
        <v>0</v>
      </c>
      <c r="P29" s="469">
        <f t="shared" ref="P29:P37" si="0">N29*0.44704*($G$12+$G$13*N29+$G$14*N29*N29)*4.44822162/1000</f>
        <v>0</v>
      </c>
      <c r="Q29" s="469">
        <f t="shared" ref="Q29:Q37" si="1">N29*0.44704*($H$12+$H$13*N29+$H$14*N29*N29)*4.44822162/1000</f>
        <v>0</v>
      </c>
      <c r="S29" s="171"/>
    </row>
    <row r="30" spans="1:80" x14ac:dyDescent="0.25">
      <c r="A30" s="10" t="s">
        <v>326</v>
      </c>
      <c r="B30" t="s">
        <v>605</v>
      </c>
      <c r="C30" s="17">
        <v>20</v>
      </c>
      <c r="D30" s="17"/>
      <c r="L30" s="151"/>
      <c r="N30" s="317">
        <v>10</v>
      </c>
      <c r="O30" s="469">
        <f t="shared" ref="O30:O37" si="2">N30*0.44704*($F$12+$F$13*N30+$F$14*N30*N30)*4.44822162/1000</f>
        <v>0.64307168460782227</v>
      </c>
      <c r="P30" s="469">
        <f t="shared" si="0"/>
        <v>0.7062672631255148</v>
      </c>
      <c r="Q30" s="469">
        <f t="shared" si="1"/>
        <v>0.8056541421158947</v>
      </c>
      <c r="S30" s="171"/>
    </row>
    <row r="31" spans="1:80" x14ac:dyDescent="0.25">
      <c r="A31" s="10" t="s">
        <v>327</v>
      </c>
      <c r="B31" t="s">
        <v>606</v>
      </c>
      <c r="C31" s="17">
        <v>20</v>
      </c>
      <c r="D31" s="17"/>
      <c r="L31" s="151"/>
      <c r="N31" s="317">
        <v>20</v>
      </c>
      <c r="O31" s="469">
        <f t="shared" si="2"/>
        <v>1.5968715347025746</v>
      </c>
      <c r="P31" s="469">
        <f t="shared" si="0"/>
        <v>1.77321464052224</v>
      </c>
      <c r="Q31" s="469">
        <f t="shared" si="1"/>
        <v>1.8024063048595507</v>
      </c>
    </row>
    <row r="32" spans="1:80" x14ac:dyDescent="0.25">
      <c r="A32" s="10"/>
      <c r="D32" s="17"/>
      <c r="L32" s="151"/>
      <c r="N32" s="317">
        <v>30</v>
      </c>
      <c r="O32" s="469">
        <f t="shared" si="2"/>
        <v>3.0919102948333732</v>
      </c>
      <c r="P32" s="469">
        <f t="shared" si="0"/>
        <v>3.4342163642492198</v>
      </c>
      <c r="Q32" s="469">
        <f t="shared" si="1"/>
        <v>3.1692244576013997</v>
      </c>
    </row>
    <row r="33" spans="1:17" x14ac:dyDescent="0.25">
      <c r="A33" s="10"/>
      <c r="D33" s="17"/>
      <c r="L33" s="151"/>
      <c r="N33" s="317">
        <v>40</v>
      </c>
      <c r="O33" s="469">
        <f t="shared" si="2"/>
        <v>5.3586987095493352</v>
      </c>
      <c r="P33" s="469">
        <f t="shared" si="0"/>
        <v>5.9226466663654964</v>
      </c>
      <c r="Q33" s="469">
        <f t="shared" si="1"/>
        <v>5.0850765697118741</v>
      </c>
    </row>
    <row r="34" spans="1:17" x14ac:dyDescent="0.25">
      <c r="A34" s="10"/>
      <c r="D34" s="17"/>
      <c r="L34" s="151"/>
      <c r="N34" s="317">
        <v>55</v>
      </c>
      <c r="O34" s="469">
        <f t="shared" si="2"/>
        <v>10.710154187671652</v>
      </c>
      <c r="P34" s="469">
        <f t="shared" si="0"/>
        <v>11.717226836649003</v>
      </c>
      <c r="Q34" s="469">
        <f t="shared" si="1"/>
        <v>9.3797858446915789</v>
      </c>
    </row>
    <row r="35" spans="1:17" ht="15.75" thickBot="1" x14ac:dyDescent="0.3">
      <c r="A35" s="12"/>
      <c r="B35" s="13"/>
      <c r="C35" s="13"/>
      <c r="D35" s="13"/>
      <c r="E35" s="13"/>
      <c r="F35" s="13"/>
      <c r="G35" s="13"/>
      <c r="H35" s="13"/>
      <c r="I35" s="13"/>
      <c r="J35" s="13"/>
      <c r="K35" s="13"/>
      <c r="L35" s="151"/>
      <c r="N35" s="317">
        <v>65</v>
      </c>
      <c r="O35" s="469">
        <f t="shared" si="2"/>
        <v>15.914801246252903</v>
      </c>
      <c r="P35" s="469">
        <f t="shared" si="0"/>
        <v>17.295240849996837</v>
      </c>
      <c r="Q35" s="469">
        <f t="shared" si="1"/>
        <v>13.451207721219257</v>
      </c>
    </row>
    <row r="36" spans="1:17" ht="14.45" customHeight="1" x14ac:dyDescent="0.25">
      <c r="A36" s="14" t="s">
        <v>425</v>
      </c>
      <c r="B36" s="9"/>
      <c r="C36" s="9"/>
      <c r="D36" s="9"/>
      <c r="E36" s="9"/>
      <c r="F36" s="9"/>
      <c r="G36" s="9"/>
      <c r="H36" s="9"/>
      <c r="I36" s="9"/>
      <c r="J36" s="9"/>
      <c r="K36" s="9"/>
      <c r="L36" s="151"/>
      <c r="N36" s="317">
        <v>70</v>
      </c>
      <c r="O36" s="469">
        <f t="shared" si="2"/>
        <v>19.094669326699361</v>
      </c>
      <c r="P36" s="469">
        <f t="shared" si="0"/>
        <v>20.68625136364054</v>
      </c>
      <c r="Q36" s="469">
        <f t="shared" si="1"/>
        <v>15.916516355959372</v>
      </c>
    </row>
    <row r="37" spans="1:17" ht="18" customHeight="1" x14ac:dyDescent="0.25">
      <c r="A37" s="173"/>
      <c r="L37" s="151"/>
      <c r="N37" s="317">
        <v>80</v>
      </c>
      <c r="O37" s="469">
        <f t="shared" si="2"/>
        <v>26.753563805247136</v>
      </c>
      <c r="P37" s="469">
        <f t="shared" si="0"/>
        <v>28.818138299904437</v>
      </c>
      <c r="Q37" s="469">
        <f t="shared" si="1"/>
        <v>21.818183999248667</v>
      </c>
    </row>
    <row r="38" spans="1:17" ht="14.45" customHeight="1" thickBot="1" x14ac:dyDescent="0.35">
      <c r="A38" s="10"/>
      <c r="B38" s="271" t="s">
        <v>328</v>
      </c>
      <c r="D38" s="271" t="s">
        <v>430</v>
      </c>
      <c r="E38" t="s">
        <v>446</v>
      </c>
      <c r="F38" t="s">
        <v>452</v>
      </c>
      <c r="G38" s="271" t="s">
        <v>332</v>
      </c>
      <c r="H38" t="s">
        <v>447</v>
      </c>
      <c r="L38" s="151"/>
    </row>
    <row r="39" spans="1:17" x14ac:dyDescent="0.25">
      <c r="A39" s="10"/>
      <c r="B39" s="264" t="s">
        <v>411</v>
      </c>
      <c r="C39">
        <v>1</v>
      </c>
      <c r="D39" s="275"/>
      <c r="E39" s="9"/>
      <c r="F39" s="87"/>
      <c r="G39" s="267"/>
      <c r="L39" s="151"/>
    </row>
    <row r="40" spans="1:17" x14ac:dyDescent="0.25">
      <c r="A40" s="10"/>
      <c r="B40" s="265" t="s">
        <v>412</v>
      </c>
      <c r="C40">
        <v>2</v>
      </c>
      <c r="D40" s="276"/>
      <c r="F40" s="83"/>
      <c r="G40" s="268"/>
      <c r="L40" s="151"/>
    </row>
    <row r="41" spans="1:17" x14ac:dyDescent="0.25">
      <c r="A41" s="10"/>
      <c r="B41" s="265" t="s">
        <v>413</v>
      </c>
      <c r="C41">
        <v>3</v>
      </c>
      <c r="D41" s="276"/>
      <c r="F41" s="83"/>
      <c r="G41" s="268"/>
      <c r="L41" s="151"/>
    </row>
    <row r="42" spans="1:17" x14ac:dyDescent="0.25">
      <c r="A42" s="10"/>
      <c r="B42" s="265" t="s">
        <v>414</v>
      </c>
      <c r="C42">
        <v>4</v>
      </c>
      <c r="D42" s="276"/>
      <c r="F42" s="83"/>
      <c r="G42" s="268"/>
      <c r="L42" s="151"/>
    </row>
    <row r="43" spans="1:17" x14ac:dyDescent="0.25">
      <c r="A43" s="10"/>
      <c r="B43" s="265" t="s">
        <v>415</v>
      </c>
      <c r="C43">
        <v>5</v>
      </c>
      <c r="D43" s="276"/>
      <c r="F43" s="83"/>
      <c r="G43" s="268"/>
      <c r="L43" s="151"/>
      <c r="N43" t="s">
        <v>329</v>
      </c>
    </row>
    <row r="44" spans="1:17" x14ac:dyDescent="0.25">
      <c r="A44" s="10"/>
      <c r="B44" s="265" t="s">
        <v>416</v>
      </c>
      <c r="C44">
        <v>6</v>
      </c>
      <c r="D44" s="276"/>
      <c r="F44" s="83"/>
      <c r="G44" s="268"/>
      <c r="L44" s="151"/>
      <c r="N44" t="s">
        <v>371</v>
      </c>
    </row>
    <row r="45" spans="1:17" ht="15.75" customHeight="1" x14ac:dyDescent="0.25">
      <c r="A45" s="10"/>
      <c r="B45" s="265" t="s">
        <v>417</v>
      </c>
      <c r="C45">
        <v>7</v>
      </c>
      <c r="D45" s="276"/>
      <c r="F45" s="83"/>
      <c r="G45" s="268"/>
      <c r="L45" s="151"/>
      <c r="N45" s="170">
        <f>B1</f>
        <v>0</v>
      </c>
      <c r="O45" s="170"/>
    </row>
    <row r="46" spans="1:17" ht="18.600000000000001" customHeight="1" thickBot="1" x14ac:dyDescent="0.3">
      <c r="A46" s="10"/>
      <c r="B46" s="265" t="s">
        <v>418</v>
      </c>
      <c r="C46">
        <v>8</v>
      </c>
      <c r="D46" s="278"/>
      <c r="E46" s="13"/>
      <c r="F46" s="86"/>
      <c r="G46" s="268"/>
      <c r="L46" s="151"/>
      <c r="N46" s="174" t="s">
        <v>330</v>
      </c>
      <c r="O46" s="174" t="s">
        <v>331</v>
      </c>
      <c r="P46" s="17" t="s">
        <v>375</v>
      </c>
    </row>
    <row r="47" spans="1:17" x14ac:dyDescent="0.25">
      <c r="A47" s="10"/>
      <c r="B47" s="265" t="s">
        <v>419</v>
      </c>
      <c r="C47">
        <v>9</v>
      </c>
      <c r="D47" s="275"/>
      <c r="E47" s="9"/>
      <c r="F47" s="87"/>
      <c r="G47" s="270"/>
      <c r="L47" s="151"/>
      <c r="N47" s="172">
        <v>10</v>
      </c>
      <c r="O47" s="172">
        <v>138.9</v>
      </c>
      <c r="P47" s="17">
        <v>1360</v>
      </c>
    </row>
    <row r="48" spans="1:17" x14ac:dyDescent="0.25">
      <c r="A48" s="10"/>
      <c r="B48" s="265" t="s">
        <v>420</v>
      </c>
      <c r="C48">
        <v>10</v>
      </c>
      <c r="D48" s="276"/>
      <c r="F48" s="83"/>
      <c r="G48" s="268"/>
      <c r="L48" s="151"/>
      <c r="N48" s="172">
        <v>20</v>
      </c>
      <c r="O48" s="172">
        <v>278</v>
      </c>
      <c r="P48" s="17">
        <v>2720</v>
      </c>
    </row>
    <row r="49" spans="1:16" x14ac:dyDescent="0.25">
      <c r="A49" s="10"/>
      <c r="B49" s="265" t="s">
        <v>421</v>
      </c>
      <c r="C49">
        <v>11</v>
      </c>
      <c r="D49" s="276"/>
      <c r="F49" s="83"/>
      <c r="G49" s="268"/>
      <c r="L49" s="151"/>
      <c r="N49" s="172">
        <v>30</v>
      </c>
      <c r="O49" s="172">
        <v>416.9</v>
      </c>
      <c r="P49" s="17">
        <v>4080</v>
      </c>
    </row>
    <row r="50" spans="1:16" x14ac:dyDescent="0.25">
      <c r="A50" s="10"/>
      <c r="B50" s="265" t="s">
        <v>422</v>
      </c>
      <c r="C50">
        <v>12</v>
      </c>
      <c r="D50" s="276"/>
      <c r="F50" s="83"/>
      <c r="G50" s="268"/>
      <c r="L50" s="151"/>
      <c r="N50" s="172">
        <v>40</v>
      </c>
      <c r="O50" s="172">
        <v>555.5</v>
      </c>
      <c r="P50" s="17">
        <v>5440</v>
      </c>
    </row>
    <row r="51" spans="1:16" x14ac:dyDescent="0.25">
      <c r="A51" s="10"/>
      <c r="B51" s="265" t="s">
        <v>423</v>
      </c>
      <c r="C51">
        <v>13</v>
      </c>
      <c r="D51" s="276"/>
      <c r="F51" s="83"/>
      <c r="G51" s="268"/>
      <c r="L51" s="151"/>
      <c r="N51" s="172">
        <v>50</v>
      </c>
      <c r="O51" s="172">
        <v>697.3</v>
      </c>
      <c r="P51" s="17">
        <v>6800</v>
      </c>
    </row>
    <row r="52" spans="1:16" x14ac:dyDescent="0.25">
      <c r="A52" s="10"/>
      <c r="B52" s="265" t="s">
        <v>449</v>
      </c>
      <c r="C52">
        <v>14</v>
      </c>
      <c r="D52" s="276"/>
      <c r="F52" s="83"/>
      <c r="G52" s="268"/>
      <c r="L52" s="151"/>
      <c r="N52" s="172">
        <v>60</v>
      </c>
      <c r="O52" s="172">
        <v>832.7</v>
      </c>
      <c r="P52" s="17">
        <v>8160</v>
      </c>
    </row>
    <row r="53" spans="1:16" x14ac:dyDescent="0.25">
      <c r="A53" s="10"/>
      <c r="B53" s="265" t="s">
        <v>450</v>
      </c>
      <c r="C53">
        <v>15</v>
      </c>
      <c r="D53" s="276"/>
      <c r="F53" s="83"/>
      <c r="G53" s="268"/>
      <c r="L53" s="151"/>
      <c r="N53" s="172">
        <v>70</v>
      </c>
      <c r="O53" s="172">
        <v>970.6</v>
      </c>
      <c r="P53" s="17">
        <v>9520</v>
      </c>
    </row>
    <row r="54" spans="1:16" ht="15.75" thickBot="1" x14ac:dyDescent="0.3">
      <c r="A54" s="10"/>
      <c r="B54" s="265" t="s">
        <v>451</v>
      </c>
      <c r="C54">
        <v>16</v>
      </c>
      <c r="D54" s="279"/>
      <c r="E54" s="13"/>
      <c r="F54" s="86"/>
      <c r="G54" s="268"/>
      <c r="L54" s="151"/>
      <c r="N54" s="172">
        <v>80</v>
      </c>
      <c r="O54" s="172">
        <v>1108</v>
      </c>
      <c r="P54" s="17">
        <v>10880</v>
      </c>
    </row>
    <row r="55" spans="1:16" x14ac:dyDescent="0.25">
      <c r="A55" s="10"/>
      <c r="B55" s="265"/>
      <c r="D55" s="274"/>
      <c r="G55" s="268"/>
      <c r="L55" s="151"/>
    </row>
    <row r="56" spans="1:16" ht="15.75" thickBot="1" x14ac:dyDescent="0.3">
      <c r="A56" s="10"/>
      <c r="B56" s="266" t="s">
        <v>448</v>
      </c>
      <c r="D56" s="274"/>
      <c r="G56" s="268"/>
      <c r="L56" s="151"/>
    </row>
    <row r="57" spans="1:16" x14ac:dyDescent="0.25">
      <c r="A57" s="10"/>
      <c r="B57" s="91"/>
      <c r="D57" s="274"/>
      <c r="G57" s="268"/>
      <c r="L57" s="151"/>
    </row>
    <row r="58" spans="1:16" x14ac:dyDescent="0.25">
      <c r="A58" s="10"/>
      <c r="D58" s="274"/>
      <c r="G58" s="268"/>
      <c r="L58" s="151"/>
    </row>
    <row r="59" spans="1:16" x14ac:dyDescent="0.25">
      <c r="A59" s="10"/>
      <c r="D59" s="274"/>
      <c r="G59" s="268"/>
      <c r="L59" s="151"/>
    </row>
    <row r="60" spans="1:16" x14ac:dyDescent="0.25">
      <c r="A60" s="10"/>
      <c r="D60" s="274"/>
      <c r="G60" s="268"/>
      <c r="L60" s="151"/>
    </row>
    <row r="61" spans="1:16" x14ac:dyDescent="0.25">
      <c r="A61" s="10"/>
      <c r="D61" s="274"/>
      <c r="G61" s="268"/>
      <c r="L61" s="151"/>
    </row>
    <row r="62" spans="1:16" ht="15.75" thickBot="1" x14ac:dyDescent="0.3">
      <c r="A62" s="10"/>
      <c r="D62" s="274"/>
      <c r="G62" s="269"/>
      <c r="L62" s="151"/>
    </row>
    <row r="63" spans="1:16" x14ac:dyDescent="0.25">
      <c r="A63" s="10"/>
      <c r="L63" s="151"/>
    </row>
    <row r="64" spans="1:16" x14ac:dyDescent="0.25">
      <c r="A64" s="10"/>
      <c r="L64" s="151"/>
    </row>
    <row r="65" spans="1:12" ht="15.75" customHeight="1" x14ac:dyDescent="0.25">
      <c r="L65" s="151"/>
    </row>
    <row r="66" spans="1:12" x14ac:dyDescent="0.25">
      <c r="A66" s="151"/>
      <c r="B66" s="151"/>
      <c r="C66" s="151"/>
      <c r="D66" s="151"/>
      <c r="E66" s="151"/>
      <c r="F66" s="151"/>
      <c r="G66" s="151"/>
      <c r="H66" s="151"/>
      <c r="I66" s="151"/>
      <c r="J66" s="151"/>
      <c r="K66" s="151"/>
      <c r="L66" s="151"/>
    </row>
    <row r="80" spans="1:12" x14ac:dyDescent="0.25">
      <c r="A80">
        <v>1</v>
      </c>
      <c r="B80" s="276" t="s">
        <v>432</v>
      </c>
      <c r="D80" s="276" t="s">
        <v>440</v>
      </c>
    </row>
    <row r="81" spans="1:4" x14ac:dyDescent="0.25">
      <c r="A81">
        <v>2</v>
      </c>
      <c r="B81" s="276" t="s">
        <v>433</v>
      </c>
      <c r="D81" s="276" t="s">
        <v>443</v>
      </c>
    </row>
    <row r="82" spans="1:4" x14ac:dyDescent="0.25">
      <c r="A82">
        <v>3</v>
      </c>
      <c r="B82" s="276" t="s">
        <v>438</v>
      </c>
      <c r="D82" s="276" t="s">
        <v>444</v>
      </c>
    </row>
    <row r="83" spans="1:4" ht="15.75" thickBot="1" x14ac:dyDescent="0.3">
      <c r="A83">
        <v>4</v>
      </c>
      <c r="B83" s="276" t="s">
        <v>439</v>
      </c>
      <c r="D83" s="276" t="s">
        <v>441</v>
      </c>
    </row>
    <row r="84" spans="1:4" x14ac:dyDescent="0.25">
      <c r="B84" s="276" t="s">
        <v>434</v>
      </c>
      <c r="D84" s="275" t="s">
        <v>431</v>
      </c>
    </row>
    <row r="85" spans="1:4" x14ac:dyDescent="0.25">
      <c r="B85" s="276" t="s">
        <v>435</v>
      </c>
      <c r="D85" s="276" t="s">
        <v>453</v>
      </c>
    </row>
    <row r="86" spans="1:4" x14ac:dyDescent="0.25">
      <c r="B86" s="276" t="s">
        <v>436</v>
      </c>
      <c r="D86" s="276" t="s">
        <v>445</v>
      </c>
    </row>
    <row r="87" spans="1:4" x14ac:dyDescent="0.25">
      <c r="B87" s="277" t="s">
        <v>437</v>
      </c>
      <c r="D87" s="276" t="s">
        <v>442</v>
      </c>
    </row>
  </sheetData>
  <mergeCells count="2">
    <mergeCell ref="D1:E1"/>
    <mergeCell ref="E9:I9"/>
  </mergeCells>
  <hyperlinks>
    <hyperlink ref="P1" r:id="rId1" xr:uid="{00000000-0004-0000-0700-000000000000}"/>
  </hyperlinks>
  <pageMargins left="0.7" right="0.7" top="0.75" bottom="0.75" header="0.3" footer="0.3"/>
  <pageSetup scale="10" fitToHeight="0" orientation="portrait" verticalDpi="30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P17"/>
  <sheetViews>
    <sheetView topLeftCell="AR1" workbookViewId="0">
      <selection activeCell="BF25" sqref="BF25"/>
    </sheetView>
  </sheetViews>
  <sheetFormatPr defaultRowHeight="15" x14ac:dyDescent="0.25"/>
  <cols>
    <col min="58" max="58" width="14.5703125" bestFit="1" customWidth="1"/>
    <col min="59" max="59" width="19.42578125" bestFit="1" customWidth="1"/>
    <col min="60" max="60" width="22.5703125" bestFit="1" customWidth="1"/>
  </cols>
  <sheetData>
    <row r="1" spans="1:68" x14ac:dyDescent="0.25">
      <c r="A1" s="327" t="s">
        <v>233</v>
      </c>
      <c r="B1" s="327" t="s">
        <v>114</v>
      </c>
      <c r="C1" s="327" t="s">
        <v>115</v>
      </c>
      <c r="D1" s="327" t="s">
        <v>99</v>
      </c>
      <c r="E1" s="327" t="s">
        <v>100</v>
      </c>
      <c r="F1" s="327" t="s">
        <v>101</v>
      </c>
      <c r="G1" s="327" t="s">
        <v>116</v>
      </c>
      <c r="H1" s="327" t="s">
        <v>117</v>
      </c>
      <c r="I1" s="327" t="s">
        <v>118</v>
      </c>
      <c r="J1" s="327" t="s">
        <v>102</v>
      </c>
      <c r="K1" s="327" t="s">
        <v>119</v>
      </c>
      <c r="L1" s="327" t="s">
        <v>120</v>
      </c>
      <c r="M1" s="327" t="s">
        <v>121</v>
      </c>
      <c r="N1" s="327" t="s">
        <v>122</v>
      </c>
      <c r="O1" s="327" t="s">
        <v>123</v>
      </c>
      <c r="P1" s="327" t="s">
        <v>103</v>
      </c>
      <c r="Q1" s="327" t="s">
        <v>124</v>
      </c>
      <c r="R1" s="327" t="s">
        <v>125</v>
      </c>
      <c r="S1" s="327" t="s">
        <v>126</v>
      </c>
      <c r="T1" s="327" t="s">
        <v>127</v>
      </c>
      <c r="U1" s="327" t="s">
        <v>128</v>
      </c>
      <c r="V1" s="327" t="s">
        <v>129</v>
      </c>
      <c r="W1" s="327" t="s">
        <v>130</v>
      </c>
      <c r="X1" s="327" t="s">
        <v>131</v>
      </c>
      <c r="Y1" s="327" t="s">
        <v>132</v>
      </c>
      <c r="Z1" s="327" t="s">
        <v>133</v>
      </c>
      <c r="AA1" s="327" t="s">
        <v>134</v>
      </c>
      <c r="AB1" s="327" t="s">
        <v>135</v>
      </c>
      <c r="AC1" s="327" t="s">
        <v>136</v>
      </c>
      <c r="AD1" s="327" t="s">
        <v>365</v>
      </c>
      <c r="AE1" s="327" t="s">
        <v>366</v>
      </c>
      <c r="AF1" s="327" t="s">
        <v>367</v>
      </c>
      <c r="AG1" s="327" t="s">
        <v>368</v>
      </c>
      <c r="AH1" s="327" t="s">
        <v>137</v>
      </c>
      <c r="AI1" s="327" t="s">
        <v>138</v>
      </c>
      <c r="AJ1" s="327" t="s">
        <v>139</v>
      </c>
      <c r="AK1" s="327" t="s">
        <v>140</v>
      </c>
      <c r="AL1" s="327" t="s">
        <v>141</v>
      </c>
      <c r="AM1" s="327" t="s">
        <v>142</v>
      </c>
      <c r="AN1" s="327" t="s">
        <v>143</v>
      </c>
      <c r="AO1" s="327" t="s">
        <v>144</v>
      </c>
      <c r="AP1" s="327" t="s">
        <v>145</v>
      </c>
      <c r="AQ1" s="327" t="s">
        <v>146</v>
      </c>
      <c r="AR1" s="327" t="s">
        <v>147</v>
      </c>
      <c r="AS1" s="327" t="s">
        <v>148</v>
      </c>
      <c r="AT1" s="327" t="s">
        <v>149</v>
      </c>
      <c r="AU1" s="327" t="s">
        <v>150</v>
      </c>
      <c r="AV1" s="327" t="s">
        <v>151</v>
      </c>
      <c r="AW1" s="327" t="s">
        <v>152</v>
      </c>
      <c r="AX1" s="327" t="s">
        <v>153</v>
      </c>
      <c r="AY1" s="327" t="s">
        <v>154</v>
      </c>
      <c r="AZ1" s="327" t="s">
        <v>398</v>
      </c>
      <c r="BA1" s="327" t="s">
        <v>399</v>
      </c>
      <c r="BB1" s="327" t="s">
        <v>400</v>
      </c>
      <c r="BC1" s="327" t="s">
        <v>155</v>
      </c>
      <c r="BD1" s="327" t="s">
        <v>156</v>
      </c>
      <c r="BE1" s="327" t="s">
        <v>157</v>
      </c>
      <c r="BF1" s="327" t="s">
        <v>158</v>
      </c>
      <c r="BG1" s="327" t="s">
        <v>159</v>
      </c>
      <c r="BH1" s="327" t="s">
        <v>160</v>
      </c>
      <c r="BI1" s="327" t="s">
        <v>161</v>
      </c>
      <c r="BJ1" s="327" t="s">
        <v>162</v>
      </c>
      <c r="BK1" s="327" t="s">
        <v>163</v>
      </c>
      <c r="BL1" s="327" t="s">
        <v>164</v>
      </c>
      <c r="BM1" s="327" t="s">
        <v>165</v>
      </c>
      <c r="BN1" s="327" t="s">
        <v>166</v>
      </c>
      <c r="BO1" s="327" t="s">
        <v>167</v>
      </c>
      <c r="BP1" s="172"/>
    </row>
    <row r="2" spans="1:68" x14ac:dyDescent="0.25">
      <c r="A2" s="93">
        <v>2019</v>
      </c>
      <c r="B2" s="91" t="s">
        <v>544</v>
      </c>
      <c r="C2" s="91" t="s">
        <v>545</v>
      </c>
      <c r="D2" s="91" t="s">
        <v>546</v>
      </c>
      <c r="E2" s="91" t="s">
        <v>547</v>
      </c>
      <c r="F2" s="91" t="s">
        <v>548</v>
      </c>
      <c r="G2" s="93">
        <v>0</v>
      </c>
      <c r="H2" s="252">
        <v>99.998999999999995</v>
      </c>
      <c r="I2" s="91" t="s">
        <v>549</v>
      </c>
      <c r="J2" s="91" t="s">
        <v>550</v>
      </c>
      <c r="K2" s="93">
        <v>147</v>
      </c>
      <c r="L2" s="93"/>
      <c r="M2" s="91" t="s">
        <v>551</v>
      </c>
      <c r="N2" s="91" t="s">
        <v>552</v>
      </c>
      <c r="O2" s="91" t="s">
        <v>553</v>
      </c>
      <c r="P2" s="93">
        <v>1</v>
      </c>
      <c r="Q2" s="91" t="s">
        <v>554</v>
      </c>
      <c r="R2" s="91" t="s">
        <v>555</v>
      </c>
      <c r="S2" s="91" t="s">
        <v>556</v>
      </c>
      <c r="T2" s="91" t="s">
        <v>557</v>
      </c>
      <c r="U2" s="91" t="s">
        <v>558</v>
      </c>
      <c r="V2" s="93">
        <v>3875</v>
      </c>
      <c r="W2" s="253">
        <v>8.19</v>
      </c>
      <c r="X2" s="254">
        <v>112.5</v>
      </c>
      <c r="Y2" s="91" t="s">
        <v>557</v>
      </c>
      <c r="Z2" s="91" t="s">
        <v>559</v>
      </c>
      <c r="AA2" s="91" t="s">
        <v>560</v>
      </c>
      <c r="AB2" s="91" t="s">
        <v>561</v>
      </c>
      <c r="AC2" s="91" t="s">
        <v>24</v>
      </c>
      <c r="AD2" s="91" t="s">
        <v>562</v>
      </c>
      <c r="AE2" s="254"/>
      <c r="AF2" s="93"/>
      <c r="AG2" s="254"/>
      <c r="AH2" s="91" t="s">
        <v>563</v>
      </c>
      <c r="AI2" s="91" t="s">
        <v>564</v>
      </c>
      <c r="AJ2" s="91" t="s">
        <v>565</v>
      </c>
      <c r="AK2" s="91" t="s">
        <v>566</v>
      </c>
      <c r="AL2" s="91" t="s">
        <v>567</v>
      </c>
      <c r="AM2" s="255"/>
      <c r="AN2" s="255"/>
      <c r="AO2" s="255"/>
      <c r="AP2" s="255"/>
      <c r="AQ2" s="255"/>
      <c r="AR2" s="255"/>
      <c r="AS2" s="255"/>
      <c r="AT2" s="255">
        <v>141.1</v>
      </c>
      <c r="AU2" s="91" t="s">
        <v>568</v>
      </c>
      <c r="AV2" s="255"/>
      <c r="AW2" s="255"/>
      <c r="AX2" s="255"/>
      <c r="AY2" s="255"/>
      <c r="AZ2" s="255"/>
      <c r="BA2" s="255"/>
      <c r="BB2" s="255"/>
      <c r="BC2" s="252">
        <v>25.89</v>
      </c>
      <c r="BD2" s="256">
        <v>0.34489999999999998</v>
      </c>
      <c r="BE2" s="257">
        <v>1.9449999999999999E-2</v>
      </c>
      <c r="BF2" s="252">
        <v>5.62</v>
      </c>
      <c r="BG2" s="256">
        <v>0.31040000000000001</v>
      </c>
      <c r="BH2" s="257">
        <v>1.7770000000000001E-2</v>
      </c>
      <c r="BI2" s="91" t="s">
        <v>562</v>
      </c>
      <c r="BJ2" s="91" t="s">
        <v>562</v>
      </c>
      <c r="BK2" s="91" t="s">
        <v>569</v>
      </c>
      <c r="BL2" s="91" t="s">
        <v>555</v>
      </c>
      <c r="BM2" s="254">
        <v>0.5</v>
      </c>
      <c r="BN2" s="91" t="s">
        <v>570</v>
      </c>
      <c r="BO2" s="91" t="s">
        <v>571</v>
      </c>
    </row>
    <row r="3" spans="1:68" x14ac:dyDescent="0.25">
      <c r="A3" s="93">
        <v>2019</v>
      </c>
      <c r="B3" s="91" t="s">
        <v>544</v>
      </c>
      <c r="C3" s="91" t="s">
        <v>545</v>
      </c>
      <c r="D3" s="91" t="s">
        <v>546</v>
      </c>
      <c r="E3" s="91" t="s">
        <v>547</v>
      </c>
      <c r="F3" s="91" t="s">
        <v>548</v>
      </c>
      <c r="G3" s="93">
        <v>0</v>
      </c>
      <c r="H3" s="252">
        <v>99.998999999999995</v>
      </c>
      <c r="I3" s="91" t="s">
        <v>549</v>
      </c>
      <c r="J3" s="91" t="s">
        <v>550</v>
      </c>
      <c r="K3" s="93">
        <v>147</v>
      </c>
      <c r="L3" s="93"/>
      <c r="M3" s="91" t="s">
        <v>551</v>
      </c>
      <c r="N3" s="91" t="s">
        <v>552</v>
      </c>
      <c r="O3" s="91" t="s">
        <v>553</v>
      </c>
      <c r="P3" s="93">
        <v>1</v>
      </c>
      <c r="Q3" s="91" t="s">
        <v>554</v>
      </c>
      <c r="R3" s="91" t="s">
        <v>555</v>
      </c>
      <c r="S3" s="91" t="s">
        <v>556</v>
      </c>
      <c r="T3" s="91" t="s">
        <v>557</v>
      </c>
      <c r="U3" s="91" t="s">
        <v>558</v>
      </c>
      <c r="V3" s="93">
        <v>3875</v>
      </c>
      <c r="W3" s="253">
        <v>8.19</v>
      </c>
      <c r="X3" s="254">
        <v>112.5</v>
      </c>
      <c r="Y3" s="91" t="s">
        <v>557</v>
      </c>
      <c r="Z3" s="91" t="s">
        <v>559</v>
      </c>
      <c r="AA3" s="91" t="s">
        <v>572</v>
      </c>
      <c r="AB3" s="91" t="s">
        <v>561</v>
      </c>
      <c r="AC3" s="91" t="s">
        <v>24</v>
      </c>
      <c r="AD3" s="91" t="s">
        <v>562</v>
      </c>
      <c r="AE3" s="254"/>
      <c r="AF3" s="93"/>
      <c r="AG3" s="254"/>
      <c r="AH3" s="91" t="s">
        <v>573</v>
      </c>
      <c r="AI3" s="91" t="s">
        <v>574</v>
      </c>
      <c r="AJ3" s="91" t="s">
        <v>565</v>
      </c>
      <c r="AK3" s="91" t="s">
        <v>566</v>
      </c>
      <c r="AL3" s="91" t="s">
        <v>567</v>
      </c>
      <c r="AM3" s="255"/>
      <c r="AN3" s="255"/>
      <c r="AO3" s="255"/>
      <c r="AP3" s="255"/>
      <c r="AQ3" s="255"/>
      <c r="AR3" s="255"/>
      <c r="AS3" s="255"/>
      <c r="AT3" s="255">
        <v>174</v>
      </c>
      <c r="AU3" s="91" t="s">
        <v>568</v>
      </c>
      <c r="AV3" s="255"/>
      <c r="AW3" s="255"/>
      <c r="AX3" s="255"/>
      <c r="AY3" s="255"/>
      <c r="AZ3" s="255"/>
      <c r="BA3" s="255"/>
      <c r="BB3" s="255"/>
      <c r="BC3" s="252">
        <v>25.89</v>
      </c>
      <c r="BD3" s="256">
        <v>0.34489999999999998</v>
      </c>
      <c r="BE3" s="257">
        <v>1.9449999999999999E-2</v>
      </c>
      <c r="BF3" s="252">
        <v>5.62</v>
      </c>
      <c r="BG3" s="256">
        <v>0.31040000000000001</v>
      </c>
      <c r="BH3" s="257">
        <v>1.7770000000000001E-2</v>
      </c>
      <c r="BI3" s="91" t="s">
        <v>562</v>
      </c>
      <c r="BJ3" s="91" t="s">
        <v>562</v>
      </c>
      <c r="BK3" s="91" t="s">
        <v>569</v>
      </c>
      <c r="BL3" s="91" t="s">
        <v>575</v>
      </c>
      <c r="BM3" s="254">
        <v>0.5</v>
      </c>
      <c r="BN3" s="91" t="s">
        <v>570</v>
      </c>
      <c r="BO3" s="91" t="s">
        <v>571</v>
      </c>
    </row>
    <row r="4" spans="1:68" x14ac:dyDescent="0.25">
      <c r="A4" s="93">
        <v>2019</v>
      </c>
      <c r="B4" s="91" t="s">
        <v>544</v>
      </c>
      <c r="C4" s="91" t="s">
        <v>545</v>
      </c>
      <c r="D4" s="91" t="s">
        <v>546</v>
      </c>
      <c r="E4" s="91" t="s">
        <v>547</v>
      </c>
      <c r="F4" s="91" t="s">
        <v>548</v>
      </c>
      <c r="G4" s="93">
        <v>1</v>
      </c>
      <c r="H4" s="252">
        <v>99.998999999999995</v>
      </c>
      <c r="I4" s="91" t="s">
        <v>549</v>
      </c>
      <c r="J4" s="91" t="s">
        <v>550</v>
      </c>
      <c r="K4" s="93">
        <v>147</v>
      </c>
      <c r="L4" s="93"/>
      <c r="M4" s="91" t="s">
        <v>551</v>
      </c>
      <c r="N4" s="91" t="s">
        <v>552</v>
      </c>
      <c r="O4" s="91" t="s">
        <v>553</v>
      </c>
      <c r="P4" s="93">
        <v>1</v>
      </c>
      <c r="Q4" s="91" t="s">
        <v>554</v>
      </c>
      <c r="R4" s="91" t="s">
        <v>555</v>
      </c>
      <c r="S4" s="91" t="s">
        <v>556</v>
      </c>
      <c r="T4" s="91" t="s">
        <v>557</v>
      </c>
      <c r="U4" s="91" t="s">
        <v>558</v>
      </c>
      <c r="V4" s="93">
        <v>3875</v>
      </c>
      <c r="W4" s="253">
        <v>8.19</v>
      </c>
      <c r="X4" s="254">
        <v>112.5</v>
      </c>
      <c r="Y4" s="91" t="s">
        <v>557</v>
      </c>
      <c r="Z4" s="91" t="s">
        <v>559</v>
      </c>
      <c r="AA4" s="91" t="s">
        <v>576</v>
      </c>
      <c r="AB4" s="91" t="s">
        <v>561</v>
      </c>
      <c r="AC4" s="91" t="s">
        <v>24</v>
      </c>
      <c r="AD4" s="91" t="s">
        <v>562</v>
      </c>
      <c r="AE4" s="254"/>
      <c r="AF4" s="93"/>
      <c r="AG4" s="254"/>
      <c r="AH4" s="91" t="s">
        <v>573</v>
      </c>
      <c r="AI4" s="91" t="s">
        <v>574</v>
      </c>
      <c r="AJ4" s="91" t="s">
        <v>565</v>
      </c>
      <c r="AK4" s="91" t="s">
        <v>566</v>
      </c>
      <c r="AL4" s="91" t="s">
        <v>567</v>
      </c>
      <c r="AM4" s="255"/>
      <c r="AN4" s="255"/>
      <c r="AO4" s="255"/>
      <c r="AP4" s="255"/>
      <c r="AQ4" s="255"/>
      <c r="AR4" s="255"/>
      <c r="AS4" s="255"/>
      <c r="AT4" s="255">
        <v>177.1</v>
      </c>
      <c r="AU4" s="91" t="s">
        <v>568</v>
      </c>
      <c r="AV4" s="255"/>
      <c r="AW4" s="255"/>
      <c r="AX4" s="255"/>
      <c r="AY4" s="255"/>
      <c r="AZ4" s="255"/>
      <c r="BA4" s="255"/>
      <c r="BB4" s="255"/>
      <c r="BC4" s="252">
        <v>25.89</v>
      </c>
      <c r="BD4" s="256">
        <v>0.34489999999999998</v>
      </c>
      <c r="BE4" s="257">
        <v>1.9449999999999999E-2</v>
      </c>
      <c r="BF4" s="252">
        <v>5.62</v>
      </c>
      <c r="BG4" s="256">
        <v>0.31040000000000001</v>
      </c>
      <c r="BH4" s="257">
        <v>1.7770000000000001E-2</v>
      </c>
      <c r="BI4" s="91" t="s">
        <v>562</v>
      </c>
      <c r="BJ4" s="91" t="s">
        <v>562</v>
      </c>
      <c r="BK4" s="91" t="s">
        <v>569</v>
      </c>
      <c r="BL4" s="91" t="s">
        <v>575</v>
      </c>
      <c r="BM4" s="254">
        <v>0.5</v>
      </c>
      <c r="BN4" s="91" t="s">
        <v>570</v>
      </c>
      <c r="BO4" s="91" t="s">
        <v>571</v>
      </c>
    </row>
    <row r="5" spans="1:68" x14ac:dyDescent="0.25">
      <c r="A5" s="93">
        <v>2019</v>
      </c>
      <c r="B5" s="91" t="s">
        <v>544</v>
      </c>
      <c r="C5" s="91" t="s">
        <v>545</v>
      </c>
      <c r="D5" s="91" t="s">
        <v>546</v>
      </c>
      <c r="E5" s="91" t="s">
        <v>547</v>
      </c>
      <c r="F5" s="91" t="s">
        <v>548</v>
      </c>
      <c r="G5" s="93">
        <v>1</v>
      </c>
      <c r="H5" s="252">
        <v>99.998999999999995</v>
      </c>
      <c r="I5" s="91" t="s">
        <v>549</v>
      </c>
      <c r="J5" s="91" t="s">
        <v>550</v>
      </c>
      <c r="K5" s="93">
        <v>147</v>
      </c>
      <c r="L5" s="93"/>
      <c r="M5" s="91" t="s">
        <v>551</v>
      </c>
      <c r="N5" s="91" t="s">
        <v>552</v>
      </c>
      <c r="O5" s="91" t="s">
        <v>553</v>
      </c>
      <c r="P5" s="93">
        <v>1</v>
      </c>
      <c r="Q5" s="91" t="s">
        <v>554</v>
      </c>
      <c r="R5" s="91" t="s">
        <v>555</v>
      </c>
      <c r="S5" s="91" t="s">
        <v>556</v>
      </c>
      <c r="T5" s="91" t="s">
        <v>557</v>
      </c>
      <c r="U5" s="91" t="s">
        <v>558</v>
      </c>
      <c r="V5" s="93">
        <v>3875</v>
      </c>
      <c r="W5" s="253">
        <v>8.19</v>
      </c>
      <c r="X5" s="254">
        <v>112.5</v>
      </c>
      <c r="Y5" s="91" t="s">
        <v>557</v>
      </c>
      <c r="Z5" s="91" t="s">
        <v>559</v>
      </c>
      <c r="AA5" s="91" t="s">
        <v>577</v>
      </c>
      <c r="AB5" s="91" t="s">
        <v>561</v>
      </c>
      <c r="AC5" s="91" t="s">
        <v>24</v>
      </c>
      <c r="AD5" s="91" t="s">
        <v>562</v>
      </c>
      <c r="AE5" s="254"/>
      <c r="AF5" s="93"/>
      <c r="AG5" s="254"/>
      <c r="AH5" s="91" t="s">
        <v>563</v>
      </c>
      <c r="AI5" s="91" t="s">
        <v>564</v>
      </c>
      <c r="AJ5" s="91" t="s">
        <v>565</v>
      </c>
      <c r="AK5" s="91" t="s">
        <v>566</v>
      </c>
      <c r="AL5" s="91" t="s">
        <v>567</v>
      </c>
      <c r="AM5" s="255"/>
      <c r="AN5" s="255"/>
      <c r="AO5" s="255"/>
      <c r="AP5" s="255"/>
      <c r="AQ5" s="255"/>
      <c r="AR5" s="255"/>
      <c r="AS5" s="255"/>
      <c r="AT5" s="255">
        <v>141.30000000000001</v>
      </c>
      <c r="AU5" s="91" t="s">
        <v>568</v>
      </c>
      <c r="AV5" s="255"/>
      <c r="AW5" s="255"/>
      <c r="AX5" s="255"/>
      <c r="AY5" s="255"/>
      <c r="AZ5" s="255"/>
      <c r="BA5" s="255"/>
      <c r="BB5" s="255"/>
      <c r="BC5" s="252">
        <v>25.89</v>
      </c>
      <c r="BD5" s="256">
        <v>0.34489999999999998</v>
      </c>
      <c r="BE5" s="257">
        <v>1.9449999999999999E-2</v>
      </c>
      <c r="BF5" s="252">
        <v>5.62</v>
      </c>
      <c r="BG5" s="256">
        <v>0.31040000000000001</v>
      </c>
      <c r="BH5" s="257">
        <v>1.7770000000000001E-2</v>
      </c>
      <c r="BI5" s="91" t="s">
        <v>562</v>
      </c>
      <c r="BJ5" s="91" t="s">
        <v>562</v>
      </c>
      <c r="BK5" s="91" t="s">
        <v>569</v>
      </c>
      <c r="BL5" s="91" t="s">
        <v>555</v>
      </c>
      <c r="BM5" s="254">
        <v>0.5</v>
      </c>
      <c r="BN5" s="91" t="s">
        <v>570</v>
      </c>
      <c r="BO5" s="91" t="s">
        <v>571</v>
      </c>
    </row>
    <row r="6" spans="1:68" x14ac:dyDescent="0.25">
      <c r="A6" s="93">
        <v>2019</v>
      </c>
      <c r="B6" s="91" t="s">
        <v>544</v>
      </c>
      <c r="C6" s="91" t="s">
        <v>545</v>
      </c>
      <c r="D6" s="91" t="s">
        <v>546</v>
      </c>
      <c r="E6" s="91" t="s">
        <v>547</v>
      </c>
      <c r="F6" s="91" t="s">
        <v>548</v>
      </c>
      <c r="G6" s="93">
        <v>2</v>
      </c>
      <c r="H6" s="252">
        <v>99.998999999999995</v>
      </c>
      <c r="I6" s="91" t="s">
        <v>549</v>
      </c>
      <c r="J6" s="91" t="s">
        <v>550</v>
      </c>
      <c r="K6" s="93">
        <v>147</v>
      </c>
      <c r="L6" s="93"/>
      <c r="M6" s="91" t="s">
        <v>551</v>
      </c>
      <c r="N6" s="91" t="s">
        <v>552</v>
      </c>
      <c r="O6" s="91" t="s">
        <v>553</v>
      </c>
      <c r="P6" s="93">
        <v>1</v>
      </c>
      <c r="Q6" s="91" t="s">
        <v>554</v>
      </c>
      <c r="R6" s="91" t="s">
        <v>555</v>
      </c>
      <c r="S6" s="91" t="s">
        <v>556</v>
      </c>
      <c r="T6" s="91" t="s">
        <v>557</v>
      </c>
      <c r="U6" s="91" t="s">
        <v>558</v>
      </c>
      <c r="V6" s="93">
        <v>3750</v>
      </c>
      <c r="W6" s="253">
        <v>8.19</v>
      </c>
      <c r="X6" s="254">
        <v>114.7</v>
      </c>
      <c r="Y6" s="91" t="s">
        <v>557</v>
      </c>
      <c r="Z6" s="91" t="s">
        <v>559</v>
      </c>
      <c r="AA6" s="91" t="s">
        <v>578</v>
      </c>
      <c r="AB6" s="91" t="s">
        <v>561</v>
      </c>
      <c r="AC6" s="91" t="s">
        <v>24</v>
      </c>
      <c r="AD6" s="91" t="s">
        <v>562</v>
      </c>
      <c r="AE6" s="254"/>
      <c r="AF6" s="93"/>
      <c r="AG6" s="254"/>
      <c r="AH6" s="91" t="s">
        <v>573</v>
      </c>
      <c r="AI6" s="91" t="s">
        <v>574</v>
      </c>
      <c r="AJ6" s="91" t="s">
        <v>565</v>
      </c>
      <c r="AK6" s="91" t="s">
        <v>566</v>
      </c>
      <c r="AL6" s="91" t="s">
        <v>567</v>
      </c>
      <c r="AM6" s="255"/>
      <c r="AN6" s="255"/>
      <c r="AO6" s="255"/>
      <c r="AP6" s="255"/>
      <c r="AQ6" s="255"/>
      <c r="AR6" s="255"/>
      <c r="AS6" s="255"/>
      <c r="AT6" s="255">
        <v>179.4</v>
      </c>
      <c r="AU6" s="91" t="s">
        <v>568</v>
      </c>
      <c r="AV6" s="255"/>
      <c r="AW6" s="255"/>
      <c r="AX6" s="255"/>
      <c r="AY6" s="255"/>
      <c r="AZ6" s="255"/>
      <c r="BA6" s="255"/>
      <c r="BB6" s="255"/>
      <c r="BC6" s="252">
        <v>26.06</v>
      </c>
      <c r="BD6" s="256">
        <v>0.3</v>
      </c>
      <c r="BE6" s="257">
        <v>1.9650000000000001E-2</v>
      </c>
      <c r="BF6" s="252">
        <v>8.33</v>
      </c>
      <c r="BG6" s="256">
        <v>0.1263</v>
      </c>
      <c r="BH6" s="257">
        <v>1.9300000000000001E-2</v>
      </c>
      <c r="BI6" s="91" t="s">
        <v>562</v>
      </c>
      <c r="BJ6" s="91" t="s">
        <v>562</v>
      </c>
      <c r="BK6" s="91" t="s">
        <v>569</v>
      </c>
      <c r="BL6" s="91" t="s">
        <v>31</v>
      </c>
      <c r="BM6" s="254">
        <v>0.5</v>
      </c>
      <c r="BN6" s="91" t="s">
        <v>570</v>
      </c>
      <c r="BO6" s="91" t="s">
        <v>571</v>
      </c>
    </row>
    <row r="7" spans="1:68" x14ac:dyDescent="0.25">
      <c r="A7" s="93">
        <v>2019</v>
      </c>
      <c r="B7" s="91" t="s">
        <v>544</v>
      </c>
      <c r="C7" s="91" t="s">
        <v>545</v>
      </c>
      <c r="D7" s="91" t="s">
        <v>546</v>
      </c>
      <c r="E7" s="91" t="s">
        <v>547</v>
      </c>
      <c r="F7" s="91" t="s">
        <v>548</v>
      </c>
      <c r="G7" s="93">
        <v>2</v>
      </c>
      <c r="H7" s="252">
        <v>99.998999999999995</v>
      </c>
      <c r="I7" s="91" t="s">
        <v>549</v>
      </c>
      <c r="J7" s="91" t="s">
        <v>550</v>
      </c>
      <c r="K7" s="93">
        <v>147</v>
      </c>
      <c r="L7" s="93"/>
      <c r="M7" s="91" t="s">
        <v>551</v>
      </c>
      <c r="N7" s="91" t="s">
        <v>552</v>
      </c>
      <c r="O7" s="91" t="s">
        <v>553</v>
      </c>
      <c r="P7" s="93">
        <v>1</v>
      </c>
      <c r="Q7" s="91" t="s">
        <v>554</v>
      </c>
      <c r="R7" s="91" t="s">
        <v>555</v>
      </c>
      <c r="S7" s="91" t="s">
        <v>556</v>
      </c>
      <c r="T7" s="91" t="s">
        <v>557</v>
      </c>
      <c r="U7" s="91" t="s">
        <v>558</v>
      </c>
      <c r="V7" s="93">
        <v>3750</v>
      </c>
      <c r="W7" s="253">
        <v>8.19</v>
      </c>
      <c r="X7" s="254">
        <v>114.7</v>
      </c>
      <c r="Y7" s="91" t="s">
        <v>557</v>
      </c>
      <c r="Z7" s="91" t="s">
        <v>559</v>
      </c>
      <c r="AA7" s="91" t="s">
        <v>579</v>
      </c>
      <c r="AB7" s="91" t="s">
        <v>561</v>
      </c>
      <c r="AC7" s="91" t="s">
        <v>24</v>
      </c>
      <c r="AD7" s="91" t="s">
        <v>562</v>
      </c>
      <c r="AE7" s="254"/>
      <c r="AF7" s="93"/>
      <c r="AG7" s="254"/>
      <c r="AH7" s="91" t="s">
        <v>563</v>
      </c>
      <c r="AI7" s="91" t="s">
        <v>564</v>
      </c>
      <c r="AJ7" s="91" t="s">
        <v>565</v>
      </c>
      <c r="AK7" s="91" t="s">
        <v>566</v>
      </c>
      <c r="AL7" s="91" t="s">
        <v>567</v>
      </c>
      <c r="AM7" s="255"/>
      <c r="AN7" s="255"/>
      <c r="AO7" s="255"/>
      <c r="AP7" s="255"/>
      <c r="AQ7" s="255"/>
      <c r="AR7" s="255"/>
      <c r="AS7" s="255"/>
      <c r="AT7" s="255">
        <v>143.69999999999999</v>
      </c>
      <c r="AU7" s="91" t="s">
        <v>568</v>
      </c>
      <c r="AV7" s="255"/>
      <c r="AW7" s="255"/>
      <c r="AX7" s="255"/>
      <c r="AY7" s="255"/>
      <c r="AZ7" s="255"/>
      <c r="BA7" s="255"/>
      <c r="BB7" s="255"/>
      <c r="BC7" s="252">
        <v>26.06</v>
      </c>
      <c r="BD7" s="256">
        <v>0.3</v>
      </c>
      <c r="BE7" s="257">
        <v>1.9650000000000001E-2</v>
      </c>
      <c r="BF7" s="252">
        <v>8.33</v>
      </c>
      <c r="BG7" s="256">
        <v>0.1263</v>
      </c>
      <c r="BH7" s="257">
        <v>1.9300000000000001E-2</v>
      </c>
      <c r="BI7" s="91" t="s">
        <v>562</v>
      </c>
      <c r="BJ7" s="91" t="s">
        <v>562</v>
      </c>
      <c r="BK7" s="91" t="s">
        <v>569</v>
      </c>
      <c r="BL7" s="91" t="s">
        <v>32</v>
      </c>
      <c r="BM7" s="254">
        <v>0.5</v>
      </c>
      <c r="BN7" s="91" t="s">
        <v>570</v>
      </c>
      <c r="BO7" s="91" t="s">
        <v>571</v>
      </c>
    </row>
    <row r="8" spans="1:68" x14ac:dyDescent="0.25">
      <c r="A8" s="93">
        <v>2019</v>
      </c>
      <c r="B8" s="91" t="s">
        <v>544</v>
      </c>
      <c r="C8" s="91" t="s">
        <v>545</v>
      </c>
      <c r="D8" s="91" t="s">
        <v>546</v>
      </c>
      <c r="E8" s="91" t="s">
        <v>547</v>
      </c>
      <c r="F8" s="91" t="s">
        <v>548</v>
      </c>
      <c r="G8" s="93">
        <v>3</v>
      </c>
      <c r="H8" s="252">
        <v>99.998999999999995</v>
      </c>
      <c r="I8" s="91" t="s">
        <v>549</v>
      </c>
      <c r="J8" s="91" t="s">
        <v>550</v>
      </c>
      <c r="K8" s="93">
        <v>147</v>
      </c>
      <c r="L8" s="93"/>
      <c r="M8" s="91" t="s">
        <v>551</v>
      </c>
      <c r="N8" s="91" t="s">
        <v>552</v>
      </c>
      <c r="O8" s="91" t="s">
        <v>553</v>
      </c>
      <c r="P8" s="93">
        <v>1</v>
      </c>
      <c r="Q8" s="91" t="s">
        <v>554</v>
      </c>
      <c r="R8" s="91" t="s">
        <v>555</v>
      </c>
      <c r="S8" s="91" t="s">
        <v>556</v>
      </c>
      <c r="T8" s="91" t="s">
        <v>557</v>
      </c>
      <c r="U8" s="91" t="s">
        <v>558</v>
      </c>
      <c r="V8" s="93">
        <v>3750</v>
      </c>
      <c r="W8" s="253">
        <v>8.19</v>
      </c>
      <c r="X8" s="254">
        <v>114.7</v>
      </c>
      <c r="Y8" s="91" t="s">
        <v>557</v>
      </c>
      <c r="Z8" s="91" t="s">
        <v>559</v>
      </c>
      <c r="AA8" s="91" t="s">
        <v>580</v>
      </c>
      <c r="AB8" s="91" t="s">
        <v>561</v>
      </c>
      <c r="AC8" s="91" t="s">
        <v>24</v>
      </c>
      <c r="AD8" s="91" t="s">
        <v>562</v>
      </c>
      <c r="AE8" s="254"/>
      <c r="AF8" s="93"/>
      <c r="AG8" s="254"/>
      <c r="AH8" s="91" t="s">
        <v>573</v>
      </c>
      <c r="AI8" s="91" t="s">
        <v>574</v>
      </c>
      <c r="AJ8" s="91" t="s">
        <v>565</v>
      </c>
      <c r="AK8" s="91" t="s">
        <v>566</v>
      </c>
      <c r="AL8" s="91" t="s">
        <v>567</v>
      </c>
      <c r="AM8" s="255"/>
      <c r="AN8" s="255"/>
      <c r="AO8" s="255"/>
      <c r="AP8" s="255"/>
      <c r="AQ8" s="255"/>
      <c r="AR8" s="255"/>
      <c r="AS8" s="255"/>
      <c r="AT8" s="255">
        <v>180.5</v>
      </c>
      <c r="AU8" s="91" t="s">
        <v>568</v>
      </c>
      <c r="AV8" s="255"/>
      <c r="AW8" s="255"/>
      <c r="AX8" s="255"/>
      <c r="AY8" s="255"/>
      <c r="AZ8" s="255"/>
      <c r="BA8" s="255"/>
      <c r="BB8" s="255"/>
      <c r="BC8" s="252">
        <v>26.06</v>
      </c>
      <c r="BD8" s="256">
        <v>0.3</v>
      </c>
      <c r="BE8" s="257">
        <v>1.9650000000000001E-2</v>
      </c>
      <c r="BF8" s="252">
        <v>8.33</v>
      </c>
      <c r="BG8" s="256">
        <v>0.1263</v>
      </c>
      <c r="BH8" s="257">
        <v>1.9300000000000001E-2</v>
      </c>
      <c r="BI8" s="91" t="s">
        <v>562</v>
      </c>
      <c r="BJ8" s="91" t="s">
        <v>562</v>
      </c>
      <c r="BK8" s="91" t="s">
        <v>569</v>
      </c>
      <c r="BL8" s="91" t="s">
        <v>31</v>
      </c>
      <c r="BM8" s="254">
        <v>0.5</v>
      </c>
      <c r="BN8" s="91" t="s">
        <v>570</v>
      </c>
      <c r="BO8" s="91" t="s">
        <v>571</v>
      </c>
    </row>
    <row r="9" spans="1:68" x14ac:dyDescent="0.25">
      <c r="A9" s="93">
        <v>2019</v>
      </c>
      <c r="B9" s="91" t="s">
        <v>544</v>
      </c>
      <c r="C9" s="91" t="s">
        <v>545</v>
      </c>
      <c r="D9" s="91" t="s">
        <v>546</v>
      </c>
      <c r="E9" s="91" t="s">
        <v>547</v>
      </c>
      <c r="F9" s="91" t="s">
        <v>548</v>
      </c>
      <c r="G9" s="93">
        <v>3</v>
      </c>
      <c r="H9" s="252">
        <v>99.998999999999995</v>
      </c>
      <c r="I9" s="91" t="s">
        <v>549</v>
      </c>
      <c r="J9" s="91" t="s">
        <v>550</v>
      </c>
      <c r="K9" s="93">
        <v>147</v>
      </c>
      <c r="L9" s="93"/>
      <c r="M9" s="91" t="s">
        <v>551</v>
      </c>
      <c r="N9" s="91" t="s">
        <v>552</v>
      </c>
      <c r="O9" s="91" t="s">
        <v>553</v>
      </c>
      <c r="P9" s="93">
        <v>1</v>
      </c>
      <c r="Q9" s="91" t="s">
        <v>554</v>
      </c>
      <c r="R9" s="91" t="s">
        <v>555</v>
      </c>
      <c r="S9" s="91" t="s">
        <v>556</v>
      </c>
      <c r="T9" s="91" t="s">
        <v>557</v>
      </c>
      <c r="U9" s="91" t="s">
        <v>558</v>
      </c>
      <c r="V9" s="93">
        <v>3750</v>
      </c>
      <c r="W9" s="253">
        <v>8.19</v>
      </c>
      <c r="X9" s="254">
        <v>114.7</v>
      </c>
      <c r="Y9" s="91" t="s">
        <v>557</v>
      </c>
      <c r="Z9" s="91" t="s">
        <v>559</v>
      </c>
      <c r="AA9" s="91" t="s">
        <v>581</v>
      </c>
      <c r="AB9" s="91" t="s">
        <v>561</v>
      </c>
      <c r="AC9" s="91" t="s">
        <v>24</v>
      </c>
      <c r="AD9" s="91" t="s">
        <v>562</v>
      </c>
      <c r="AE9" s="254"/>
      <c r="AF9" s="93"/>
      <c r="AG9" s="254"/>
      <c r="AH9" s="91" t="s">
        <v>563</v>
      </c>
      <c r="AI9" s="91" t="s">
        <v>564</v>
      </c>
      <c r="AJ9" s="91" t="s">
        <v>565</v>
      </c>
      <c r="AK9" s="91" t="s">
        <v>566</v>
      </c>
      <c r="AL9" s="91" t="s">
        <v>567</v>
      </c>
      <c r="AM9" s="255"/>
      <c r="AN9" s="255"/>
      <c r="AO9" s="255"/>
      <c r="AP9" s="255"/>
      <c r="AQ9" s="255"/>
      <c r="AR9" s="255"/>
      <c r="AS9" s="255"/>
      <c r="AT9" s="255">
        <v>143.30000000000001</v>
      </c>
      <c r="AU9" s="91" t="s">
        <v>568</v>
      </c>
      <c r="AV9" s="255"/>
      <c r="AW9" s="255"/>
      <c r="AX9" s="255"/>
      <c r="AY9" s="255"/>
      <c r="AZ9" s="255"/>
      <c r="BA9" s="255"/>
      <c r="BB9" s="255"/>
      <c r="BC9" s="252">
        <v>26.06</v>
      </c>
      <c r="BD9" s="256">
        <v>0.3</v>
      </c>
      <c r="BE9" s="257">
        <v>1.9650000000000001E-2</v>
      </c>
      <c r="BF9" s="252">
        <v>8.33</v>
      </c>
      <c r="BG9" s="256">
        <v>0.1263</v>
      </c>
      <c r="BH9" s="257">
        <v>1.9300000000000001E-2</v>
      </c>
      <c r="BI9" s="91" t="s">
        <v>562</v>
      </c>
      <c r="BJ9" s="91" t="s">
        <v>562</v>
      </c>
      <c r="BK9" s="91" t="s">
        <v>569</v>
      </c>
      <c r="BL9" s="91" t="s">
        <v>32</v>
      </c>
      <c r="BM9" s="254">
        <v>0.5</v>
      </c>
      <c r="BN9" s="91" t="s">
        <v>570</v>
      </c>
      <c r="BO9" s="91" t="s">
        <v>571</v>
      </c>
    </row>
    <row r="10" spans="1:68" x14ac:dyDescent="0.25">
      <c r="A10" s="93">
        <v>2019</v>
      </c>
      <c r="B10" s="91" t="s">
        <v>544</v>
      </c>
      <c r="C10" s="91" t="s">
        <v>545</v>
      </c>
      <c r="D10" s="91" t="s">
        <v>546</v>
      </c>
      <c r="E10" s="91" t="s">
        <v>547</v>
      </c>
      <c r="F10" s="91" t="s">
        <v>582</v>
      </c>
      <c r="G10" s="93">
        <v>2</v>
      </c>
      <c r="H10" s="252">
        <v>99.998999999999995</v>
      </c>
      <c r="I10" s="91" t="s">
        <v>583</v>
      </c>
      <c r="J10" s="91" t="s">
        <v>550</v>
      </c>
      <c r="K10" s="93">
        <v>214</v>
      </c>
      <c r="L10" s="93"/>
      <c r="M10" s="91" t="s">
        <v>584</v>
      </c>
      <c r="N10" s="91" t="s">
        <v>552</v>
      </c>
      <c r="O10" s="91" t="s">
        <v>553</v>
      </c>
      <c r="P10" s="93">
        <v>1</v>
      </c>
      <c r="Q10" s="91" t="s">
        <v>554</v>
      </c>
      <c r="R10" s="91" t="s">
        <v>555</v>
      </c>
      <c r="S10" s="91" t="s">
        <v>556</v>
      </c>
      <c r="T10" s="91" t="s">
        <v>557</v>
      </c>
      <c r="U10" s="91" t="s">
        <v>558</v>
      </c>
      <c r="V10" s="93">
        <v>4000</v>
      </c>
      <c r="W10" s="253">
        <v>8.19</v>
      </c>
      <c r="X10" s="254">
        <v>114.7</v>
      </c>
      <c r="Y10" s="91" t="s">
        <v>557</v>
      </c>
      <c r="Z10" s="91" t="s">
        <v>559</v>
      </c>
      <c r="AA10" s="91" t="s">
        <v>585</v>
      </c>
      <c r="AB10" s="91" t="s">
        <v>561</v>
      </c>
      <c r="AC10" s="91" t="s">
        <v>24</v>
      </c>
      <c r="AD10" s="91" t="s">
        <v>562</v>
      </c>
      <c r="AE10" s="254"/>
      <c r="AF10" s="93"/>
      <c r="AG10" s="254"/>
      <c r="AH10" s="91" t="s">
        <v>573</v>
      </c>
      <c r="AI10" s="91" t="s">
        <v>574</v>
      </c>
      <c r="AJ10" s="91" t="s">
        <v>565</v>
      </c>
      <c r="AK10" s="91" t="s">
        <v>566</v>
      </c>
      <c r="AL10" s="91" t="s">
        <v>567</v>
      </c>
      <c r="AM10" s="255"/>
      <c r="AN10" s="255"/>
      <c r="AO10" s="255"/>
      <c r="AP10" s="255"/>
      <c r="AQ10" s="255"/>
      <c r="AR10" s="255"/>
      <c r="AS10" s="255"/>
      <c r="AT10" s="255">
        <v>175.2</v>
      </c>
      <c r="AU10" s="91" t="s">
        <v>568</v>
      </c>
      <c r="AV10" s="255"/>
      <c r="AW10" s="255"/>
      <c r="AX10" s="255"/>
      <c r="AY10" s="255"/>
      <c r="AZ10" s="255"/>
      <c r="BA10" s="255"/>
      <c r="BB10" s="255"/>
      <c r="BC10" s="252">
        <v>26.3</v>
      </c>
      <c r="BD10" s="256">
        <v>0.2868</v>
      </c>
      <c r="BE10" s="257">
        <v>2.0029999999999999E-2</v>
      </c>
      <c r="BF10" s="252">
        <v>8.09</v>
      </c>
      <c r="BG10" s="256">
        <v>0.1265</v>
      </c>
      <c r="BH10" s="257">
        <v>1.917E-2</v>
      </c>
      <c r="BI10" s="91" t="s">
        <v>562</v>
      </c>
      <c r="BJ10" s="91" t="s">
        <v>562</v>
      </c>
      <c r="BK10" s="91" t="s">
        <v>569</v>
      </c>
      <c r="BL10" s="91" t="s">
        <v>31</v>
      </c>
      <c r="BM10" s="254">
        <v>0.5</v>
      </c>
      <c r="BN10" s="91" t="s">
        <v>570</v>
      </c>
      <c r="BO10" s="91" t="s">
        <v>571</v>
      </c>
    </row>
    <row r="11" spans="1:68" x14ac:dyDescent="0.25">
      <c r="A11" s="93">
        <v>2019</v>
      </c>
      <c r="B11" s="91" t="s">
        <v>544</v>
      </c>
      <c r="C11" s="91" t="s">
        <v>545</v>
      </c>
      <c r="D11" s="91" t="s">
        <v>546</v>
      </c>
      <c r="E11" s="91" t="s">
        <v>547</v>
      </c>
      <c r="F11" s="91" t="s">
        <v>582</v>
      </c>
      <c r="G11" s="93">
        <v>2</v>
      </c>
      <c r="H11" s="252">
        <v>99.998999999999995</v>
      </c>
      <c r="I11" s="91" t="s">
        <v>583</v>
      </c>
      <c r="J11" s="91" t="s">
        <v>550</v>
      </c>
      <c r="K11" s="93">
        <v>214</v>
      </c>
      <c r="L11" s="93"/>
      <c r="M11" s="91" t="s">
        <v>584</v>
      </c>
      <c r="N11" s="91" t="s">
        <v>552</v>
      </c>
      <c r="O11" s="91" t="s">
        <v>553</v>
      </c>
      <c r="P11" s="93">
        <v>1</v>
      </c>
      <c r="Q11" s="91" t="s">
        <v>554</v>
      </c>
      <c r="R11" s="91" t="s">
        <v>555</v>
      </c>
      <c r="S11" s="91" t="s">
        <v>556</v>
      </c>
      <c r="T11" s="91" t="s">
        <v>557</v>
      </c>
      <c r="U11" s="91" t="s">
        <v>558</v>
      </c>
      <c r="V11" s="93">
        <v>4000</v>
      </c>
      <c r="W11" s="253">
        <v>8.19</v>
      </c>
      <c r="X11" s="254">
        <v>114.7</v>
      </c>
      <c r="Y11" s="91" t="s">
        <v>557</v>
      </c>
      <c r="Z11" s="91" t="s">
        <v>559</v>
      </c>
      <c r="AA11" s="91" t="s">
        <v>586</v>
      </c>
      <c r="AB11" s="91" t="s">
        <v>561</v>
      </c>
      <c r="AC11" s="91" t="s">
        <v>24</v>
      </c>
      <c r="AD11" s="91" t="s">
        <v>562</v>
      </c>
      <c r="AE11" s="254"/>
      <c r="AF11" s="93"/>
      <c r="AG11" s="254"/>
      <c r="AH11" s="91" t="s">
        <v>563</v>
      </c>
      <c r="AI11" s="91" t="s">
        <v>564</v>
      </c>
      <c r="AJ11" s="91" t="s">
        <v>565</v>
      </c>
      <c r="AK11" s="91" t="s">
        <v>566</v>
      </c>
      <c r="AL11" s="91" t="s">
        <v>567</v>
      </c>
      <c r="AM11" s="255"/>
      <c r="AN11" s="255"/>
      <c r="AO11" s="255"/>
      <c r="AP11" s="255"/>
      <c r="AQ11" s="255"/>
      <c r="AR11" s="255"/>
      <c r="AS11" s="255"/>
      <c r="AT11" s="255">
        <v>142.4</v>
      </c>
      <c r="AU11" s="91" t="s">
        <v>568</v>
      </c>
      <c r="AV11" s="255"/>
      <c r="AW11" s="255"/>
      <c r="AX11" s="255"/>
      <c r="AY11" s="255"/>
      <c r="AZ11" s="255"/>
      <c r="BA11" s="255"/>
      <c r="BB11" s="255"/>
      <c r="BC11" s="252">
        <v>26.3</v>
      </c>
      <c r="BD11" s="256">
        <v>0.2868</v>
      </c>
      <c r="BE11" s="257">
        <v>2.0029999999999999E-2</v>
      </c>
      <c r="BF11" s="252">
        <v>8.09</v>
      </c>
      <c r="BG11" s="256">
        <v>0.1265</v>
      </c>
      <c r="BH11" s="257">
        <v>1.917E-2</v>
      </c>
      <c r="BI11" s="91" t="s">
        <v>562</v>
      </c>
      <c r="BJ11" s="91" t="s">
        <v>562</v>
      </c>
      <c r="BK11" s="91" t="s">
        <v>569</v>
      </c>
      <c r="BL11" s="91" t="s">
        <v>32</v>
      </c>
      <c r="BM11" s="254">
        <v>0.5</v>
      </c>
      <c r="BN11" s="91" t="s">
        <v>570</v>
      </c>
      <c r="BO11" s="91" t="s">
        <v>571</v>
      </c>
    </row>
    <row r="12" spans="1:68" x14ac:dyDescent="0.25">
      <c r="A12" s="93">
        <v>2019</v>
      </c>
      <c r="B12" s="91" t="s">
        <v>544</v>
      </c>
      <c r="C12" s="91" t="s">
        <v>545</v>
      </c>
      <c r="D12" s="91" t="s">
        <v>546</v>
      </c>
      <c r="E12" s="91" t="s">
        <v>547</v>
      </c>
      <c r="F12" s="91" t="s">
        <v>582</v>
      </c>
      <c r="G12" s="93">
        <v>3</v>
      </c>
      <c r="H12" s="252">
        <v>99.998999999999995</v>
      </c>
      <c r="I12" s="91" t="s">
        <v>583</v>
      </c>
      <c r="J12" s="91" t="s">
        <v>550</v>
      </c>
      <c r="K12" s="93">
        <v>214</v>
      </c>
      <c r="L12" s="93"/>
      <c r="M12" s="91" t="s">
        <v>584</v>
      </c>
      <c r="N12" s="91" t="s">
        <v>552</v>
      </c>
      <c r="O12" s="91" t="s">
        <v>553</v>
      </c>
      <c r="P12" s="93">
        <v>1</v>
      </c>
      <c r="Q12" s="91" t="s">
        <v>554</v>
      </c>
      <c r="R12" s="91" t="s">
        <v>555</v>
      </c>
      <c r="S12" s="91" t="s">
        <v>556</v>
      </c>
      <c r="T12" s="91" t="s">
        <v>557</v>
      </c>
      <c r="U12" s="91" t="s">
        <v>558</v>
      </c>
      <c r="V12" s="93">
        <v>4000</v>
      </c>
      <c r="W12" s="253">
        <v>8.19</v>
      </c>
      <c r="X12" s="254">
        <v>114.7</v>
      </c>
      <c r="Y12" s="91" t="s">
        <v>557</v>
      </c>
      <c r="Z12" s="91" t="s">
        <v>559</v>
      </c>
      <c r="AA12" s="91" t="s">
        <v>587</v>
      </c>
      <c r="AB12" s="91" t="s">
        <v>561</v>
      </c>
      <c r="AC12" s="91" t="s">
        <v>24</v>
      </c>
      <c r="AD12" s="91" t="s">
        <v>562</v>
      </c>
      <c r="AE12" s="254"/>
      <c r="AF12" s="93"/>
      <c r="AG12" s="254"/>
      <c r="AH12" s="91" t="s">
        <v>573</v>
      </c>
      <c r="AI12" s="91" t="s">
        <v>574</v>
      </c>
      <c r="AJ12" s="91" t="s">
        <v>565</v>
      </c>
      <c r="AK12" s="91" t="s">
        <v>566</v>
      </c>
      <c r="AL12" s="91" t="s">
        <v>567</v>
      </c>
      <c r="AM12" s="255"/>
      <c r="AN12" s="255"/>
      <c r="AO12" s="255"/>
      <c r="AP12" s="255"/>
      <c r="AQ12" s="255"/>
      <c r="AR12" s="255"/>
      <c r="AS12" s="255"/>
      <c r="AT12" s="255">
        <v>177.9</v>
      </c>
      <c r="AU12" s="91" t="s">
        <v>568</v>
      </c>
      <c r="AV12" s="255"/>
      <c r="AW12" s="255"/>
      <c r="AX12" s="255"/>
      <c r="AY12" s="255"/>
      <c r="AZ12" s="255"/>
      <c r="BA12" s="255"/>
      <c r="BB12" s="255"/>
      <c r="BC12" s="252">
        <v>26.3</v>
      </c>
      <c r="BD12" s="256">
        <v>0.2868</v>
      </c>
      <c r="BE12" s="257">
        <v>2.0029999999999999E-2</v>
      </c>
      <c r="BF12" s="252">
        <v>8.09</v>
      </c>
      <c r="BG12" s="256">
        <v>0.1265</v>
      </c>
      <c r="BH12" s="257">
        <v>1.917E-2</v>
      </c>
      <c r="BI12" s="91" t="s">
        <v>562</v>
      </c>
      <c r="BJ12" s="91" t="s">
        <v>562</v>
      </c>
      <c r="BK12" s="91" t="s">
        <v>569</v>
      </c>
      <c r="BL12" s="91" t="s">
        <v>31</v>
      </c>
      <c r="BM12" s="254">
        <v>0.5</v>
      </c>
      <c r="BN12" s="91" t="s">
        <v>570</v>
      </c>
      <c r="BO12" s="91" t="s">
        <v>571</v>
      </c>
    </row>
    <row r="13" spans="1:68" x14ac:dyDescent="0.25">
      <c r="A13" s="93">
        <v>2019</v>
      </c>
      <c r="B13" s="91" t="s">
        <v>544</v>
      </c>
      <c r="C13" s="91" t="s">
        <v>545</v>
      </c>
      <c r="D13" s="91" t="s">
        <v>546</v>
      </c>
      <c r="E13" s="91" t="s">
        <v>547</v>
      </c>
      <c r="F13" s="91" t="s">
        <v>582</v>
      </c>
      <c r="G13" s="93">
        <v>3</v>
      </c>
      <c r="H13" s="252">
        <v>99.998999999999995</v>
      </c>
      <c r="I13" s="91" t="s">
        <v>583</v>
      </c>
      <c r="J13" s="91" t="s">
        <v>550</v>
      </c>
      <c r="K13" s="93">
        <v>214</v>
      </c>
      <c r="L13" s="93"/>
      <c r="M13" s="91" t="s">
        <v>584</v>
      </c>
      <c r="N13" s="91" t="s">
        <v>552</v>
      </c>
      <c r="O13" s="91" t="s">
        <v>553</v>
      </c>
      <c r="P13" s="93">
        <v>1</v>
      </c>
      <c r="Q13" s="91" t="s">
        <v>554</v>
      </c>
      <c r="R13" s="91" t="s">
        <v>555</v>
      </c>
      <c r="S13" s="91" t="s">
        <v>556</v>
      </c>
      <c r="T13" s="91" t="s">
        <v>557</v>
      </c>
      <c r="U13" s="91" t="s">
        <v>558</v>
      </c>
      <c r="V13" s="93">
        <v>4000</v>
      </c>
      <c r="W13" s="253">
        <v>8.19</v>
      </c>
      <c r="X13" s="254">
        <v>114.7</v>
      </c>
      <c r="Y13" s="91" t="s">
        <v>557</v>
      </c>
      <c r="Z13" s="91" t="s">
        <v>559</v>
      </c>
      <c r="AA13" s="91" t="s">
        <v>588</v>
      </c>
      <c r="AB13" s="91" t="s">
        <v>561</v>
      </c>
      <c r="AC13" s="91" t="s">
        <v>24</v>
      </c>
      <c r="AD13" s="91" t="s">
        <v>562</v>
      </c>
      <c r="AE13" s="254"/>
      <c r="AF13" s="93"/>
      <c r="AG13" s="254"/>
      <c r="AH13" s="91" t="s">
        <v>563</v>
      </c>
      <c r="AI13" s="91" t="s">
        <v>564</v>
      </c>
      <c r="AJ13" s="91" t="s">
        <v>565</v>
      </c>
      <c r="AK13" s="91" t="s">
        <v>566</v>
      </c>
      <c r="AL13" s="91" t="s">
        <v>567</v>
      </c>
      <c r="AM13" s="255"/>
      <c r="AN13" s="255"/>
      <c r="AO13" s="255"/>
      <c r="AP13" s="255"/>
      <c r="AQ13" s="255"/>
      <c r="AR13" s="255"/>
      <c r="AS13" s="255"/>
      <c r="AT13" s="255">
        <v>144.1</v>
      </c>
      <c r="AU13" s="91" t="s">
        <v>568</v>
      </c>
      <c r="AV13" s="255"/>
      <c r="AW13" s="255"/>
      <c r="AX13" s="255"/>
      <c r="AY13" s="255"/>
      <c r="AZ13" s="255"/>
      <c r="BA13" s="255"/>
      <c r="BB13" s="255"/>
      <c r="BC13" s="252">
        <v>26.3</v>
      </c>
      <c r="BD13" s="256">
        <v>0.2868</v>
      </c>
      <c r="BE13" s="257">
        <v>2.0029999999999999E-2</v>
      </c>
      <c r="BF13" s="252">
        <v>8.09</v>
      </c>
      <c r="BG13" s="256">
        <v>0.1265</v>
      </c>
      <c r="BH13" s="257">
        <v>1.917E-2</v>
      </c>
      <c r="BI13" s="91" t="s">
        <v>562</v>
      </c>
      <c r="BJ13" s="91" t="s">
        <v>562</v>
      </c>
      <c r="BK13" s="91" t="s">
        <v>569</v>
      </c>
      <c r="BL13" s="91" t="s">
        <v>32</v>
      </c>
      <c r="BM13" s="254">
        <v>0.5</v>
      </c>
      <c r="BN13" s="91" t="s">
        <v>570</v>
      </c>
      <c r="BO13" s="91" t="s">
        <v>571</v>
      </c>
    </row>
    <row r="14" spans="1:68" x14ac:dyDescent="0.25">
      <c r="A14" s="93">
        <v>2019</v>
      </c>
      <c r="B14" s="91" t="s">
        <v>544</v>
      </c>
      <c r="C14" s="91" t="s">
        <v>545</v>
      </c>
      <c r="D14" s="91" t="s">
        <v>546</v>
      </c>
      <c r="E14" s="91" t="s">
        <v>589</v>
      </c>
      <c r="F14" s="91" t="s">
        <v>582</v>
      </c>
      <c r="G14" s="93">
        <v>0</v>
      </c>
      <c r="H14" s="252">
        <v>99.998999999999995</v>
      </c>
      <c r="I14" s="91" t="s">
        <v>583</v>
      </c>
      <c r="J14" s="91" t="s">
        <v>550</v>
      </c>
      <c r="K14" s="93">
        <v>214</v>
      </c>
      <c r="L14" s="93"/>
      <c r="M14" s="91" t="s">
        <v>584</v>
      </c>
      <c r="N14" s="91" t="s">
        <v>552</v>
      </c>
      <c r="O14" s="91" t="s">
        <v>553</v>
      </c>
      <c r="P14" s="93">
        <v>1</v>
      </c>
      <c r="Q14" s="91" t="s">
        <v>554</v>
      </c>
      <c r="R14" s="91" t="s">
        <v>555</v>
      </c>
      <c r="S14" s="91" t="s">
        <v>556</v>
      </c>
      <c r="T14" s="91" t="s">
        <v>557</v>
      </c>
      <c r="U14" s="91" t="s">
        <v>558</v>
      </c>
      <c r="V14" s="93">
        <v>4250</v>
      </c>
      <c r="W14" s="253">
        <v>8.19</v>
      </c>
      <c r="X14" s="254">
        <v>112.5</v>
      </c>
      <c r="Y14" s="91" t="s">
        <v>557</v>
      </c>
      <c r="Z14" s="91" t="s">
        <v>559</v>
      </c>
      <c r="AA14" s="91" t="s">
        <v>590</v>
      </c>
      <c r="AB14" s="91" t="s">
        <v>561</v>
      </c>
      <c r="AC14" s="91" t="s">
        <v>24</v>
      </c>
      <c r="AD14" s="91" t="s">
        <v>562</v>
      </c>
      <c r="AE14" s="254"/>
      <c r="AF14" s="93"/>
      <c r="AG14" s="254"/>
      <c r="AH14" s="91" t="s">
        <v>573</v>
      </c>
      <c r="AI14" s="91" t="s">
        <v>574</v>
      </c>
      <c r="AJ14" s="91" t="s">
        <v>565</v>
      </c>
      <c r="AK14" s="91" t="s">
        <v>566</v>
      </c>
      <c r="AL14" s="91" t="s">
        <v>567</v>
      </c>
      <c r="AM14" s="255"/>
      <c r="AN14" s="255"/>
      <c r="AO14" s="255"/>
      <c r="AP14" s="255"/>
      <c r="AQ14" s="255"/>
      <c r="AR14" s="255"/>
      <c r="AS14" s="255"/>
      <c r="AT14" s="255">
        <v>162.6</v>
      </c>
      <c r="AU14" s="91" t="s">
        <v>568</v>
      </c>
      <c r="AV14" s="255"/>
      <c r="AW14" s="255"/>
      <c r="AX14" s="255"/>
      <c r="AY14" s="255"/>
      <c r="AZ14" s="255"/>
      <c r="BA14" s="255"/>
      <c r="BB14" s="255"/>
      <c r="BC14" s="252">
        <v>30.36</v>
      </c>
      <c r="BD14" s="256">
        <v>0.3201</v>
      </c>
      <c r="BE14" s="257">
        <v>1.9560000000000001E-2</v>
      </c>
      <c r="BF14" s="252">
        <v>11.75</v>
      </c>
      <c r="BG14" s="256">
        <v>0.17460000000000001</v>
      </c>
      <c r="BH14" s="257">
        <v>1.8839999999999999E-2</v>
      </c>
      <c r="BI14" s="91" t="s">
        <v>562</v>
      </c>
      <c r="BJ14" s="91" t="s">
        <v>562</v>
      </c>
      <c r="BK14" s="91" t="s">
        <v>569</v>
      </c>
      <c r="BL14" s="91" t="s">
        <v>31</v>
      </c>
      <c r="BM14" s="254">
        <v>0.5</v>
      </c>
      <c r="BN14" s="91" t="s">
        <v>570</v>
      </c>
      <c r="BO14" s="91" t="s">
        <v>571</v>
      </c>
    </row>
    <row r="15" spans="1:68" x14ac:dyDescent="0.25">
      <c r="A15" s="93">
        <v>2019</v>
      </c>
      <c r="B15" s="91" t="s">
        <v>544</v>
      </c>
      <c r="C15" s="91" t="s">
        <v>545</v>
      </c>
      <c r="D15" s="91" t="s">
        <v>546</v>
      </c>
      <c r="E15" s="91" t="s">
        <v>589</v>
      </c>
      <c r="F15" s="91" t="s">
        <v>582</v>
      </c>
      <c r="G15" s="93">
        <v>0</v>
      </c>
      <c r="H15" s="252">
        <v>99.998999999999995</v>
      </c>
      <c r="I15" s="91" t="s">
        <v>583</v>
      </c>
      <c r="J15" s="91" t="s">
        <v>550</v>
      </c>
      <c r="K15" s="93">
        <v>214</v>
      </c>
      <c r="L15" s="93"/>
      <c r="M15" s="91" t="s">
        <v>584</v>
      </c>
      <c r="N15" s="91" t="s">
        <v>552</v>
      </c>
      <c r="O15" s="91" t="s">
        <v>553</v>
      </c>
      <c r="P15" s="93">
        <v>1</v>
      </c>
      <c r="Q15" s="91" t="s">
        <v>554</v>
      </c>
      <c r="R15" s="91" t="s">
        <v>555</v>
      </c>
      <c r="S15" s="91" t="s">
        <v>556</v>
      </c>
      <c r="T15" s="91" t="s">
        <v>557</v>
      </c>
      <c r="U15" s="91" t="s">
        <v>558</v>
      </c>
      <c r="V15" s="93">
        <v>4250</v>
      </c>
      <c r="W15" s="253">
        <v>8.19</v>
      </c>
      <c r="X15" s="254">
        <v>112.5</v>
      </c>
      <c r="Y15" s="91" t="s">
        <v>557</v>
      </c>
      <c r="Z15" s="91" t="s">
        <v>559</v>
      </c>
      <c r="AA15" s="91" t="s">
        <v>591</v>
      </c>
      <c r="AB15" s="91" t="s">
        <v>561</v>
      </c>
      <c r="AC15" s="91" t="s">
        <v>24</v>
      </c>
      <c r="AD15" s="91" t="s">
        <v>562</v>
      </c>
      <c r="AE15" s="254"/>
      <c r="AF15" s="93"/>
      <c r="AG15" s="254"/>
      <c r="AH15" s="91" t="s">
        <v>563</v>
      </c>
      <c r="AI15" s="91" t="s">
        <v>564</v>
      </c>
      <c r="AJ15" s="91" t="s">
        <v>565</v>
      </c>
      <c r="AK15" s="91" t="s">
        <v>566</v>
      </c>
      <c r="AL15" s="91" t="s">
        <v>567</v>
      </c>
      <c r="AM15" s="255"/>
      <c r="AN15" s="255"/>
      <c r="AO15" s="255"/>
      <c r="AP15" s="255"/>
      <c r="AQ15" s="255"/>
      <c r="AR15" s="255"/>
      <c r="AS15" s="255"/>
      <c r="AT15" s="255">
        <v>133.30000000000001</v>
      </c>
      <c r="AU15" s="91" t="s">
        <v>568</v>
      </c>
      <c r="AV15" s="255"/>
      <c r="AW15" s="255"/>
      <c r="AX15" s="255"/>
      <c r="AY15" s="255"/>
      <c r="AZ15" s="255"/>
      <c r="BA15" s="255"/>
      <c r="BB15" s="255"/>
      <c r="BC15" s="252">
        <v>30.36</v>
      </c>
      <c r="BD15" s="256">
        <v>0.3201</v>
      </c>
      <c r="BE15" s="257">
        <v>1.9560000000000001E-2</v>
      </c>
      <c r="BF15" s="252">
        <v>11.75</v>
      </c>
      <c r="BG15" s="256">
        <v>0.17460000000000001</v>
      </c>
      <c r="BH15" s="257">
        <v>1.8839999999999999E-2</v>
      </c>
      <c r="BI15" s="91" t="s">
        <v>562</v>
      </c>
      <c r="BJ15" s="91" t="s">
        <v>562</v>
      </c>
      <c r="BK15" s="91" t="s">
        <v>569</v>
      </c>
      <c r="BL15" s="91" t="s">
        <v>32</v>
      </c>
      <c r="BM15" s="254">
        <v>0.5</v>
      </c>
      <c r="BN15" s="91" t="s">
        <v>570</v>
      </c>
      <c r="BO15" s="91" t="s">
        <v>571</v>
      </c>
    </row>
    <row r="16" spans="1:68" x14ac:dyDescent="0.25">
      <c r="A16" s="93">
        <v>2019</v>
      </c>
      <c r="B16" s="91" t="s">
        <v>544</v>
      </c>
      <c r="C16" s="91" t="s">
        <v>545</v>
      </c>
      <c r="D16" s="91" t="s">
        <v>546</v>
      </c>
      <c r="E16" s="91" t="s">
        <v>589</v>
      </c>
      <c r="F16" s="91" t="s">
        <v>582</v>
      </c>
      <c r="G16" s="93">
        <v>1</v>
      </c>
      <c r="H16" s="252">
        <v>99.998999999999995</v>
      </c>
      <c r="I16" s="91" t="s">
        <v>583</v>
      </c>
      <c r="J16" s="91" t="s">
        <v>550</v>
      </c>
      <c r="K16" s="93">
        <v>214</v>
      </c>
      <c r="L16" s="93"/>
      <c r="M16" s="91" t="s">
        <v>584</v>
      </c>
      <c r="N16" s="91" t="s">
        <v>552</v>
      </c>
      <c r="O16" s="91" t="s">
        <v>553</v>
      </c>
      <c r="P16" s="93">
        <v>1</v>
      </c>
      <c r="Q16" s="91" t="s">
        <v>554</v>
      </c>
      <c r="R16" s="91" t="s">
        <v>555</v>
      </c>
      <c r="S16" s="91" t="s">
        <v>556</v>
      </c>
      <c r="T16" s="91" t="s">
        <v>557</v>
      </c>
      <c r="U16" s="91" t="s">
        <v>558</v>
      </c>
      <c r="V16" s="93">
        <v>4250</v>
      </c>
      <c r="W16" s="253">
        <v>8.19</v>
      </c>
      <c r="X16" s="254">
        <v>112.5</v>
      </c>
      <c r="Y16" s="91" t="s">
        <v>557</v>
      </c>
      <c r="Z16" s="91" t="s">
        <v>559</v>
      </c>
      <c r="AA16" s="91" t="s">
        <v>592</v>
      </c>
      <c r="AB16" s="91" t="s">
        <v>561</v>
      </c>
      <c r="AC16" s="91" t="s">
        <v>24</v>
      </c>
      <c r="AD16" s="91" t="s">
        <v>562</v>
      </c>
      <c r="AE16" s="254"/>
      <c r="AF16" s="93"/>
      <c r="AG16" s="254"/>
      <c r="AH16" s="91" t="s">
        <v>573</v>
      </c>
      <c r="AI16" s="91" t="s">
        <v>574</v>
      </c>
      <c r="AJ16" s="91" t="s">
        <v>565</v>
      </c>
      <c r="AK16" s="91" t="s">
        <v>566</v>
      </c>
      <c r="AL16" s="91" t="s">
        <v>567</v>
      </c>
      <c r="AM16" s="255"/>
      <c r="AN16" s="255"/>
      <c r="AO16" s="255"/>
      <c r="AP16" s="255"/>
      <c r="AQ16" s="255"/>
      <c r="AR16" s="255"/>
      <c r="AS16" s="255"/>
      <c r="AT16" s="255">
        <v>164.5</v>
      </c>
      <c r="AU16" s="91" t="s">
        <v>568</v>
      </c>
      <c r="AV16" s="255"/>
      <c r="AW16" s="255"/>
      <c r="AX16" s="255"/>
      <c r="AY16" s="255"/>
      <c r="AZ16" s="255"/>
      <c r="BA16" s="255"/>
      <c r="BB16" s="255"/>
      <c r="BC16" s="252">
        <v>30.36</v>
      </c>
      <c r="BD16" s="256">
        <v>0.3201</v>
      </c>
      <c r="BE16" s="257">
        <v>1.9560000000000001E-2</v>
      </c>
      <c r="BF16" s="252">
        <v>11.75</v>
      </c>
      <c r="BG16" s="256">
        <v>0.17460000000000001</v>
      </c>
      <c r="BH16" s="257">
        <v>1.8839999999999999E-2</v>
      </c>
      <c r="BI16" s="91" t="s">
        <v>562</v>
      </c>
      <c r="BJ16" s="91" t="s">
        <v>562</v>
      </c>
      <c r="BK16" s="91" t="s">
        <v>569</v>
      </c>
      <c r="BL16" s="91" t="s">
        <v>31</v>
      </c>
      <c r="BM16" s="254">
        <v>0.5</v>
      </c>
      <c r="BN16" s="91" t="s">
        <v>570</v>
      </c>
      <c r="BO16" s="91" t="s">
        <v>571</v>
      </c>
    </row>
    <row r="17" spans="1:67" x14ac:dyDescent="0.25">
      <c r="A17" s="93">
        <v>2019</v>
      </c>
      <c r="B17" s="91" t="s">
        <v>544</v>
      </c>
      <c r="C17" s="91" t="s">
        <v>545</v>
      </c>
      <c r="D17" s="91" t="s">
        <v>546</v>
      </c>
      <c r="E17" s="91" t="s">
        <v>589</v>
      </c>
      <c r="F17" s="91" t="s">
        <v>582</v>
      </c>
      <c r="G17" s="93">
        <v>1</v>
      </c>
      <c r="H17" s="252">
        <v>99.998999999999995</v>
      </c>
      <c r="I17" s="91" t="s">
        <v>583</v>
      </c>
      <c r="J17" s="91" t="s">
        <v>550</v>
      </c>
      <c r="K17" s="93">
        <v>214</v>
      </c>
      <c r="L17" s="93"/>
      <c r="M17" s="91" t="s">
        <v>584</v>
      </c>
      <c r="N17" s="91" t="s">
        <v>552</v>
      </c>
      <c r="O17" s="91" t="s">
        <v>553</v>
      </c>
      <c r="P17" s="93">
        <v>1</v>
      </c>
      <c r="Q17" s="91" t="s">
        <v>554</v>
      </c>
      <c r="R17" s="91" t="s">
        <v>555</v>
      </c>
      <c r="S17" s="91" t="s">
        <v>556</v>
      </c>
      <c r="T17" s="91" t="s">
        <v>557</v>
      </c>
      <c r="U17" s="91" t="s">
        <v>558</v>
      </c>
      <c r="V17" s="93">
        <v>4250</v>
      </c>
      <c r="W17" s="253">
        <v>8.19</v>
      </c>
      <c r="X17" s="254">
        <v>112.5</v>
      </c>
      <c r="Y17" s="91" t="s">
        <v>557</v>
      </c>
      <c r="Z17" s="91" t="s">
        <v>559</v>
      </c>
      <c r="AA17" s="91" t="s">
        <v>593</v>
      </c>
      <c r="AB17" s="91" t="s">
        <v>561</v>
      </c>
      <c r="AC17" s="91" t="s">
        <v>24</v>
      </c>
      <c r="AD17" s="91" t="s">
        <v>562</v>
      </c>
      <c r="AE17" s="254"/>
      <c r="AF17" s="93"/>
      <c r="AG17" s="254"/>
      <c r="AH17" s="91" t="s">
        <v>563</v>
      </c>
      <c r="AI17" s="91" t="s">
        <v>564</v>
      </c>
      <c r="AJ17" s="91" t="s">
        <v>565</v>
      </c>
      <c r="AK17" s="91" t="s">
        <v>566</v>
      </c>
      <c r="AL17" s="91" t="s">
        <v>567</v>
      </c>
      <c r="AM17" s="255"/>
      <c r="AN17" s="255"/>
      <c r="AO17" s="255"/>
      <c r="AP17" s="255"/>
      <c r="AQ17" s="255"/>
      <c r="AR17" s="255"/>
      <c r="AS17" s="255"/>
      <c r="AT17" s="255">
        <v>136.1</v>
      </c>
      <c r="AU17" s="91" t="s">
        <v>568</v>
      </c>
      <c r="AV17" s="255"/>
      <c r="AW17" s="255"/>
      <c r="AX17" s="255"/>
      <c r="AY17" s="255"/>
      <c r="AZ17" s="255"/>
      <c r="BA17" s="255"/>
      <c r="BB17" s="255"/>
      <c r="BC17" s="252">
        <v>30.36</v>
      </c>
      <c r="BD17" s="256">
        <v>0.3201</v>
      </c>
      <c r="BE17" s="257">
        <v>1.9560000000000001E-2</v>
      </c>
      <c r="BF17" s="252">
        <v>11.75</v>
      </c>
      <c r="BG17" s="256">
        <v>0.17460000000000001</v>
      </c>
      <c r="BH17" s="257">
        <v>1.8839999999999999E-2</v>
      </c>
      <c r="BI17" s="91" t="s">
        <v>562</v>
      </c>
      <c r="BJ17" s="91" t="s">
        <v>562</v>
      </c>
      <c r="BK17" s="91" t="s">
        <v>569</v>
      </c>
      <c r="BL17" s="91" t="s">
        <v>32</v>
      </c>
      <c r="BM17" s="254">
        <v>0.5</v>
      </c>
      <c r="BN17" s="91" t="s">
        <v>570</v>
      </c>
      <c r="BO17" s="91" t="s">
        <v>571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8:R25"/>
  <sheetViews>
    <sheetView workbookViewId="0">
      <selection activeCell="G31" sqref="G31"/>
    </sheetView>
  </sheetViews>
  <sheetFormatPr defaultRowHeight="15" x14ac:dyDescent="0.25"/>
  <cols>
    <col min="1" max="1" width="8.85546875"/>
    <col min="2" max="2" width="11.140625" bestFit="1" customWidth="1"/>
    <col min="3" max="3" width="11.140625" customWidth="1"/>
    <col min="4" max="4" width="14.5703125" customWidth="1"/>
    <col min="5" max="5" width="9.5703125" customWidth="1"/>
    <col min="6" max="6" width="11.5703125" bestFit="1" customWidth="1"/>
    <col min="7" max="12" width="9.5703125" customWidth="1"/>
    <col min="13" max="13" width="8.85546875"/>
    <col min="14" max="14" width="11.140625" bestFit="1" customWidth="1"/>
    <col min="15" max="17" width="11.140625" customWidth="1"/>
    <col min="18" max="18" width="11.5703125" bestFit="1" customWidth="1"/>
    <col min="19" max="19" width="10.5703125" customWidth="1"/>
    <col min="20" max="20" width="9.5703125" customWidth="1"/>
    <col min="21" max="21" width="7.42578125" bestFit="1" customWidth="1"/>
  </cols>
  <sheetData>
    <row r="8" spans="1:18" x14ac:dyDescent="0.25">
      <c r="C8" s="514" t="s">
        <v>262</v>
      </c>
      <c r="D8" s="514"/>
      <c r="E8" s="514" t="s">
        <v>264</v>
      </c>
      <c r="F8" s="514"/>
      <c r="G8" s="514" t="s">
        <v>265</v>
      </c>
      <c r="H8" s="514"/>
      <c r="I8" s="514" t="s">
        <v>266</v>
      </c>
      <c r="J8" s="514"/>
      <c r="K8" s="514" t="s">
        <v>267</v>
      </c>
      <c r="L8" s="514"/>
      <c r="M8" s="514" t="s">
        <v>268</v>
      </c>
      <c r="N8" s="514"/>
      <c r="O8" s="514" t="s">
        <v>269</v>
      </c>
      <c r="P8" s="514"/>
      <c r="Q8" s="514" t="s">
        <v>270</v>
      </c>
      <c r="R8" s="514"/>
    </row>
    <row r="9" spans="1:18" ht="29.1" customHeight="1" thickBot="1" x14ac:dyDescent="0.3">
      <c r="C9" t="s">
        <v>0</v>
      </c>
      <c r="D9" s="5" t="s">
        <v>263</v>
      </c>
      <c r="E9" t="s">
        <v>0</v>
      </c>
      <c r="F9" s="5" t="s">
        <v>263</v>
      </c>
      <c r="G9" t="s">
        <v>0</v>
      </c>
      <c r="H9" s="5" t="s">
        <v>263</v>
      </c>
      <c r="I9" t="s">
        <v>0</v>
      </c>
      <c r="J9" s="5" t="s">
        <v>263</v>
      </c>
      <c r="K9" t="s">
        <v>0</v>
      </c>
      <c r="L9" s="5" t="s">
        <v>263</v>
      </c>
      <c r="M9" t="s">
        <v>0</v>
      </c>
      <c r="N9" s="5" t="s">
        <v>263</v>
      </c>
      <c r="O9" t="s">
        <v>0</v>
      </c>
      <c r="P9" s="5" t="s">
        <v>263</v>
      </c>
      <c r="Q9" t="s">
        <v>0</v>
      </c>
      <c r="R9" s="5" t="s">
        <v>263</v>
      </c>
    </row>
    <row r="10" spans="1:18" x14ac:dyDescent="0.25">
      <c r="A10" s="546" t="s">
        <v>260</v>
      </c>
      <c r="B10" s="84">
        <v>0</v>
      </c>
      <c r="C10" s="77"/>
      <c r="D10" s="9">
        <v>5</v>
      </c>
      <c r="E10" s="9"/>
      <c r="F10" s="9"/>
      <c r="G10" s="9"/>
      <c r="H10" s="9"/>
      <c r="I10" s="9"/>
      <c r="J10" s="9"/>
      <c r="K10" s="9"/>
      <c r="L10" s="9"/>
      <c r="M10" s="9"/>
      <c r="N10" s="9">
        <v>15</v>
      </c>
      <c r="O10" s="9"/>
      <c r="P10" s="9"/>
      <c r="Q10" s="9"/>
      <c r="R10" s="87">
        <v>55</v>
      </c>
    </row>
    <row r="11" spans="1:18" x14ac:dyDescent="0.25">
      <c r="A11" s="546"/>
      <c r="B11" s="84" t="s">
        <v>259</v>
      </c>
      <c r="C11" s="10"/>
      <c r="D11">
        <v>10</v>
      </c>
      <c r="N11">
        <v>20</v>
      </c>
      <c r="R11" s="83">
        <v>60</v>
      </c>
    </row>
    <row r="12" spans="1:18" x14ac:dyDescent="0.25">
      <c r="A12" s="546"/>
      <c r="B12" s="84" t="s">
        <v>246</v>
      </c>
      <c r="C12" s="10"/>
      <c r="D12">
        <v>15</v>
      </c>
      <c r="N12">
        <v>25</v>
      </c>
      <c r="R12" s="83">
        <v>65</v>
      </c>
    </row>
    <row r="13" spans="1:18" x14ac:dyDescent="0.25">
      <c r="A13" s="546"/>
      <c r="B13" s="84">
        <v>72</v>
      </c>
      <c r="C13" s="10"/>
      <c r="D13">
        <v>20</v>
      </c>
      <c r="N13">
        <v>30</v>
      </c>
      <c r="R13" s="83">
        <v>70</v>
      </c>
    </row>
    <row r="14" spans="1:18" x14ac:dyDescent="0.25">
      <c r="A14" s="546"/>
      <c r="B14" s="84">
        <v>95</v>
      </c>
      <c r="C14" s="10"/>
      <c r="D14">
        <v>25</v>
      </c>
      <c r="N14">
        <v>35</v>
      </c>
      <c r="R14" s="83">
        <v>75</v>
      </c>
    </row>
    <row r="15" spans="1:18" ht="15.75" thickBot="1" x14ac:dyDescent="0.3">
      <c r="A15" s="546"/>
      <c r="B15" s="84" t="s">
        <v>258</v>
      </c>
      <c r="C15" s="12"/>
      <c r="D15" s="13">
        <v>30</v>
      </c>
      <c r="E15" s="13"/>
      <c r="F15" s="13"/>
      <c r="G15" s="13"/>
      <c r="H15" s="13"/>
      <c r="I15" s="13"/>
      <c r="J15" s="13"/>
      <c r="K15" s="13"/>
      <c r="L15" s="13"/>
      <c r="M15" s="13"/>
      <c r="N15" s="13">
        <v>40</v>
      </c>
      <c r="O15" s="13"/>
      <c r="P15" s="13"/>
      <c r="Q15" s="13"/>
      <c r="R15" s="86">
        <v>80</v>
      </c>
    </row>
    <row r="18" spans="1:18" x14ac:dyDescent="0.25">
      <c r="C18" s="514" t="s">
        <v>57</v>
      </c>
      <c r="D18" s="514"/>
      <c r="E18" s="17"/>
      <c r="F18" s="17"/>
      <c r="G18" s="17"/>
      <c r="H18" s="17"/>
      <c r="I18" s="17"/>
      <c r="J18" s="17"/>
      <c r="K18" s="17"/>
      <c r="L18" s="17"/>
      <c r="M18" s="514" t="s">
        <v>55</v>
      </c>
      <c r="N18" s="514"/>
      <c r="O18" s="17"/>
      <c r="P18" s="17"/>
      <c r="Q18" s="514" t="s">
        <v>209</v>
      </c>
      <c r="R18" s="514"/>
    </row>
    <row r="19" spans="1:18" ht="15.75" thickBot="1" x14ac:dyDescent="0.3">
      <c r="C19" t="s">
        <v>0</v>
      </c>
      <c r="D19" t="s">
        <v>261</v>
      </c>
      <c r="M19" t="s">
        <v>0</v>
      </c>
      <c r="N19" t="s">
        <v>261</v>
      </c>
      <c r="Q19" t="s">
        <v>0</v>
      </c>
      <c r="R19" t="s">
        <v>261</v>
      </c>
    </row>
    <row r="20" spans="1:18" x14ac:dyDescent="0.25">
      <c r="A20" s="546" t="s">
        <v>260</v>
      </c>
      <c r="B20" s="84">
        <v>0</v>
      </c>
      <c r="C20" s="77"/>
      <c r="D20" s="9">
        <v>5</v>
      </c>
      <c r="E20" s="9"/>
      <c r="F20" s="9"/>
      <c r="G20" s="9"/>
      <c r="H20" s="9"/>
      <c r="I20" s="9"/>
      <c r="J20" s="9"/>
      <c r="K20" s="9"/>
      <c r="L20" s="9"/>
      <c r="M20" s="9"/>
      <c r="N20" s="9">
        <v>15</v>
      </c>
      <c r="O20" s="9"/>
      <c r="P20" s="9"/>
      <c r="Q20" s="9"/>
      <c r="R20" s="87">
        <v>55</v>
      </c>
    </row>
    <row r="21" spans="1:18" x14ac:dyDescent="0.25">
      <c r="A21" s="546"/>
      <c r="B21" s="84" t="s">
        <v>259</v>
      </c>
      <c r="C21" s="10"/>
      <c r="D21">
        <v>10</v>
      </c>
      <c r="N21">
        <v>20</v>
      </c>
      <c r="R21" s="83">
        <v>60</v>
      </c>
    </row>
    <row r="22" spans="1:18" x14ac:dyDescent="0.25">
      <c r="A22" s="546"/>
      <c r="B22" s="84" t="s">
        <v>246</v>
      </c>
      <c r="C22" s="10"/>
      <c r="D22">
        <v>15</v>
      </c>
      <c r="N22">
        <v>25</v>
      </c>
      <c r="R22" s="83">
        <v>65</v>
      </c>
    </row>
    <row r="23" spans="1:18" x14ac:dyDescent="0.25">
      <c r="A23" s="546"/>
      <c r="B23" s="84">
        <v>72</v>
      </c>
      <c r="C23" s="10"/>
      <c r="D23">
        <v>20</v>
      </c>
      <c r="N23">
        <v>30</v>
      </c>
      <c r="R23" s="83">
        <v>70</v>
      </c>
    </row>
    <row r="24" spans="1:18" x14ac:dyDescent="0.25">
      <c r="A24" s="546"/>
      <c r="B24" s="84">
        <v>95</v>
      </c>
      <c r="C24" s="10"/>
      <c r="D24">
        <v>25</v>
      </c>
      <c r="N24">
        <v>35</v>
      </c>
      <c r="R24" s="83">
        <v>75</v>
      </c>
    </row>
    <row r="25" spans="1:18" ht="15.75" thickBot="1" x14ac:dyDescent="0.3">
      <c r="A25" s="546"/>
      <c r="B25" s="84" t="s">
        <v>258</v>
      </c>
      <c r="C25" s="12"/>
      <c r="D25" s="13">
        <v>30</v>
      </c>
      <c r="E25" s="13"/>
      <c r="F25" s="13"/>
      <c r="G25" s="13"/>
      <c r="H25" s="13"/>
      <c r="I25" s="13"/>
      <c r="J25" s="13"/>
      <c r="K25" s="13"/>
      <c r="L25" s="13"/>
      <c r="M25" s="13"/>
      <c r="N25" s="13">
        <v>40</v>
      </c>
      <c r="O25" s="13"/>
      <c r="P25" s="13"/>
      <c r="Q25" s="13"/>
      <c r="R25" s="86">
        <v>80</v>
      </c>
    </row>
  </sheetData>
  <mergeCells count="13">
    <mergeCell ref="A20:A25"/>
    <mergeCell ref="E8:F8"/>
    <mergeCell ref="G8:H8"/>
    <mergeCell ref="I8:J8"/>
    <mergeCell ref="K8:L8"/>
    <mergeCell ref="C18:D18"/>
    <mergeCell ref="M18:N18"/>
    <mergeCell ref="Q18:R18"/>
    <mergeCell ref="O8:P8"/>
    <mergeCell ref="A10:A15"/>
    <mergeCell ref="Q8:R8"/>
    <mergeCell ref="M8:N8"/>
    <mergeCell ref="C8:D8"/>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R93"/>
  <sheetViews>
    <sheetView workbookViewId="0">
      <selection activeCell="G2" sqref="G2"/>
    </sheetView>
  </sheetViews>
  <sheetFormatPr defaultColWidth="8.85546875" defaultRowHeight="15" x14ac:dyDescent="0.25"/>
  <cols>
    <col min="1" max="1" width="32.85546875" customWidth="1"/>
    <col min="2" max="2" width="20.42578125" customWidth="1"/>
    <col min="3" max="3" width="19.140625" customWidth="1"/>
    <col min="5" max="5" width="9" customWidth="1"/>
    <col min="12" max="12" width="10.5703125" customWidth="1"/>
    <col min="14" max="14" width="10.42578125" customWidth="1"/>
  </cols>
  <sheetData>
    <row r="1" spans="1:18" x14ac:dyDescent="0.25">
      <c r="A1" s="547" t="s">
        <v>686</v>
      </c>
      <c r="B1" s="547"/>
      <c r="C1" s="64" t="s">
        <v>211</v>
      </c>
      <c r="D1" s="17">
        <v>62010005</v>
      </c>
    </row>
    <row r="2" spans="1:18" ht="30" x14ac:dyDescent="0.25">
      <c r="A2" s="63"/>
      <c r="B2" s="62" t="s">
        <v>197</v>
      </c>
      <c r="C2" s="62" t="s">
        <v>196</v>
      </c>
      <c r="D2" s="62" t="s">
        <v>202</v>
      </c>
    </row>
    <row r="3" spans="1:18" x14ac:dyDescent="0.25">
      <c r="A3" s="61" t="s">
        <v>201</v>
      </c>
      <c r="B3" s="36"/>
      <c r="C3" s="36"/>
      <c r="D3" s="60"/>
    </row>
    <row r="4" spans="1:18" x14ac:dyDescent="0.25">
      <c r="A4" s="59" t="s">
        <v>200</v>
      </c>
      <c r="B4" s="58"/>
      <c r="C4" s="58"/>
      <c r="D4" s="57"/>
    </row>
    <row r="5" spans="1:18" ht="15.75" thickBot="1" x14ac:dyDescent="0.3">
      <c r="A5" s="17"/>
      <c r="B5" s="17"/>
      <c r="E5" s="548" t="s">
        <v>199</v>
      </c>
      <c r="F5" s="548"/>
      <c r="G5" s="548"/>
      <c r="H5" s="548"/>
      <c r="I5" s="548"/>
    </row>
    <row r="6" spans="1:18" s="45" customFormat="1" ht="75.75" thickBot="1" x14ac:dyDescent="0.3">
      <c r="A6" s="56" t="s">
        <v>198</v>
      </c>
      <c r="B6" s="507" t="s">
        <v>1170</v>
      </c>
      <c r="C6" s="506" t="s">
        <v>1171</v>
      </c>
      <c r="D6" s="55" t="s">
        <v>197</v>
      </c>
      <c r="E6" s="54" t="s">
        <v>196</v>
      </c>
      <c r="F6" s="54" t="s">
        <v>195</v>
      </c>
      <c r="G6" s="54" t="s">
        <v>194</v>
      </c>
      <c r="H6" s="54" t="s">
        <v>193</v>
      </c>
      <c r="I6" s="54" t="s">
        <v>192</v>
      </c>
      <c r="J6" s="53" t="s">
        <v>191</v>
      </c>
      <c r="K6" s="52" t="s">
        <v>190</v>
      </c>
      <c r="L6" s="51" t="s">
        <v>189</v>
      </c>
      <c r="M6" s="50" t="s">
        <v>188</v>
      </c>
      <c r="N6" s="49" t="s">
        <v>187</v>
      </c>
      <c r="O6" s="48" t="s">
        <v>186</v>
      </c>
      <c r="P6" s="47" t="s">
        <v>185</v>
      </c>
      <c r="Q6" s="47" t="s">
        <v>184</v>
      </c>
      <c r="R6" s="46" t="s">
        <v>183</v>
      </c>
    </row>
    <row r="7" spans="1:18" s="45" customFormat="1" x14ac:dyDescent="0.25">
      <c r="B7" s="44"/>
      <c r="C7" s="43"/>
      <c r="D7" s="34"/>
      <c r="E7" s="41"/>
      <c r="F7" s="39"/>
      <c r="G7" s="40"/>
      <c r="H7" s="39"/>
      <c r="I7" s="40"/>
      <c r="J7" s="39"/>
      <c r="K7" s="37">
        <f t="shared" ref="K7:K77" si="0">G7-I7</f>
        <v>0</v>
      </c>
      <c r="L7" s="38">
        <f t="shared" ref="L7:L77" si="1">H7+J7</f>
        <v>0</v>
      </c>
      <c r="M7" s="57">
        <f t="shared" ref="M7:M77" si="2">K7*$D$4</f>
        <v>0</v>
      </c>
      <c r="N7" s="60">
        <f t="shared" ref="N7:N77" si="3">L7*$D$3</f>
        <v>0</v>
      </c>
      <c r="O7" s="35">
        <f t="shared" ref="O7:O77" si="4">M7+N7</f>
        <v>0</v>
      </c>
      <c r="P7" s="72">
        <f t="shared" ref="P7:P77" si="5">(F7-G7+I7)*$D$4</f>
        <v>0</v>
      </c>
      <c r="Q7" s="72">
        <f t="shared" ref="Q7:Q77" si="6">(H7)*$D$3</f>
        <v>0</v>
      </c>
      <c r="R7" s="73">
        <f t="shared" ref="R7:R77" si="7">P7-Q7</f>
        <v>0</v>
      </c>
    </row>
    <row r="8" spans="1:18" s="45" customFormat="1" x14ac:dyDescent="0.25">
      <c r="A8" s="44" t="s">
        <v>234</v>
      </c>
      <c r="B8" s="44">
        <v>30</v>
      </c>
      <c r="C8" s="43"/>
      <c r="D8" s="34"/>
      <c r="E8" s="41"/>
      <c r="F8" s="39"/>
      <c r="G8" s="40"/>
      <c r="H8" s="39"/>
      <c r="I8" s="40"/>
      <c r="J8" s="39"/>
      <c r="K8" s="37"/>
      <c r="L8" s="38"/>
      <c r="M8" s="57"/>
      <c r="N8" s="60"/>
      <c r="O8" s="35"/>
      <c r="P8" s="72"/>
      <c r="Q8" s="72"/>
      <c r="R8" s="73"/>
    </row>
    <row r="9" spans="1:18" s="45" customFormat="1" x14ac:dyDescent="0.25">
      <c r="A9" s="44"/>
      <c r="B9" s="44"/>
      <c r="C9" s="43"/>
      <c r="D9" s="34"/>
      <c r="E9" s="41"/>
      <c r="F9" s="39"/>
      <c r="G9" s="40"/>
      <c r="H9" s="39"/>
      <c r="I9" s="40"/>
      <c r="J9" s="39"/>
      <c r="K9" s="37">
        <f t="shared" si="0"/>
        <v>0</v>
      </c>
      <c r="L9" s="38">
        <f t="shared" si="1"/>
        <v>0</v>
      </c>
      <c r="M9" s="57">
        <f t="shared" si="2"/>
        <v>0</v>
      </c>
      <c r="N9" s="60">
        <f t="shared" si="3"/>
        <v>0</v>
      </c>
      <c r="O9" s="35">
        <f t="shared" si="4"/>
        <v>0</v>
      </c>
      <c r="P9" s="72">
        <f t="shared" si="5"/>
        <v>0</v>
      </c>
      <c r="Q9" s="72">
        <f t="shared" si="6"/>
        <v>0</v>
      </c>
      <c r="R9" s="73">
        <f t="shared" si="7"/>
        <v>0</v>
      </c>
    </row>
    <row r="10" spans="1:18" s="45" customFormat="1" x14ac:dyDescent="0.25">
      <c r="A10" s="44" t="s">
        <v>235</v>
      </c>
      <c r="B10" s="44">
        <v>45</v>
      </c>
      <c r="C10" s="43"/>
      <c r="D10" s="34"/>
      <c r="E10" s="41"/>
      <c r="F10" s="39"/>
      <c r="G10" s="40"/>
      <c r="H10" s="39"/>
      <c r="I10" s="40"/>
      <c r="J10" s="39"/>
      <c r="K10" s="37"/>
      <c r="L10" s="38"/>
      <c r="M10" s="57"/>
      <c r="N10" s="60"/>
      <c r="O10" s="35"/>
      <c r="P10" s="72"/>
      <c r="Q10" s="72"/>
      <c r="R10" s="73"/>
    </row>
    <row r="11" spans="1:18" s="45" customFormat="1" x14ac:dyDescent="0.25">
      <c r="A11" s="44"/>
      <c r="B11" s="44"/>
      <c r="C11" s="43"/>
      <c r="D11" s="34"/>
      <c r="E11" s="41"/>
      <c r="F11" s="39"/>
      <c r="G11" s="40"/>
      <c r="H11" s="39"/>
      <c r="I11" s="40"/>
      <c r="J11" s="39"/>
      <c r="K11" s="37">
        <f t="shared" si="0"/>
        <v>0</v>
      </c>
      <c r="L11" s="38">
        <f t="shared" si="1"/>
        <v>0</v>
      </c>
      <c r="M11" s="57">
        <f t="shared" si="2"/>
        <v>0</v>
      </c>
      <c r="N11" s="60">
        <f t="shared" si="3"/>
        <v>0</v>
      </c>
      <c r="O11" s="35">
        <f t="shared" si="4"/>
        <v>0</v>
      </c>
      <c r="P11" s="72">
        <f t="shared" si="5"/>
        <v>0</v>
      </c>
      <c r="Q11" s="72">
        <f t="shared" si="6"/>
        <v>0</v>
      </c>
      <c r="R11" s="73">
        <f t="shared" si="7"/>
        <v>0</v>
      </c>
    </row>
    <row r="12" spans="1:18" s="45" customFormat="1" x14ac:dyDescent="0.25">
      <c r="A12" s="44" t="s">
        <v>236</v>
      </c>
      <c r="B12" s="44">
        <v>60</v>
      </c>
      <c r="C12" s="43"/>
      <c r="D12" s="34"/>
      <c r="E12" s="41"/>
      <c r="F12" s="39"/>
      <c r="G12" s="40"/>
      <c r="H12" s="39"/>
      <c r="I12" s="40"/>
      <c r="J12" s="39"/>
      <c r="K12" s="37"/>
      <c r="L12" s="38"/>
      <c r="M12" s="57"/>
      <c r="N12" s="60"/>
      <c r="O12" s="35"/>
      <c r="P12" s="72"/>
      <c r="Q12" s="72"/>
      <c r="R12" s="73"/>
    </row>
    <row r="13" spans="1:18" x14ac:dyDescent="0.25">
      <c r="A13" s="44"/>
      <c r="B13" s="44"/>
      <c r="C13" s="43"/>
      <c r="D13" s="34"/>
      <c r="E13" s="41"/>
      <c r="F13" s="39"/>
      <c r="G13" s="40"/>
      <c r="H13" s="39"/>
      <c r="I13" s="40"/>
      <c r="J13" s="39"/>
      <c r="K13" s="37">
        <f t="shared" si="0"/>
        <v>0</v>
      </c>
      <c r="L13" s="38">
        <f t="shared" si="1"/>
        <v>0</v>
      </c>
      <c r="M13" s="57">
        <f t="shared" si="2"/>
        <v>0</v>
      </c>
      <c r="N13" s="60">
        <f t="shared" si="3"/>
        <v>0</v>
      </c>
      <c r="O13" s="35">
        <f t="shared" si="4"/>
        <v>0</v>
      </c>
      <c r="P13" s="72">
        <f t="shared" si="5"/>
        <v>0</v>
      </c>
      <c r="Q13" s="72">
        <f t="shared" si="6"/>
        <v>0</v>
      </c>
      <c r="R13" s="73">
        <f t="shared" si="7"/>
        <v>0</v>
      </c>
    </row>
    <row r="14" spans="1:18" x14ac:dyDescent="0.25">
      <c r="A14" s="44" t="s">
        <v>182</v>
      </c>
      <c r="B14" s="44">
        <v>90</v>
      </c>
      <c r="C14" s="43"/>
      <c r="D14" s="34"/>
      <c r="E14" s="41"/>
      <c r="F14" s="39"/>
      <c r="G14" s="40"/>
      <c r="H14" s="39"/>
      <c r="I14" s="40"/>
      <c r="J14" s="39"/>
      <c r="K14" s="37"/>
      <c r="L14" s="38"/>
      <c r="M14" s="57"/>
      <c r="N14" s="60"/>
      <c r="O14" s="35"/>
      <c r="P14" s="72"/>
      <c r="Q14" s="72"/>
      <c r="R14" s="73"/>
    </row>
    <row r="15" spans="1:18" x14ac:dyDescent="0.25">
      <c r="A15" s="44"/>
      <c r="B15" s="44"/>
      <c r="C15" s="43"/>
      <c r="D15" s="34"/>
      <c r="E15" s="41"/>
      <c r="F15" s="39"/>
      <c r="G15" s="40"/>
      <c r="H15" s="39"/>
      <c r="I15" s="40"/>
      <c r="J15" s="39"/>
      <c r="K15" s="37">
        <f t="shared" si="0"/>
        <v>0</v>
      </c>
      <c r="L15" s="38">
        <f t="shared" si="1"/>
        <v>0</v>
      </c>
      <c r="M15" s="57">
        <f t="shared" si="2"/>
        <v>0</v>
      </c>
      <c r="N15" s="60">
        <f t="shared" si="3"/>
        <v>0</v>
      </c>
      <c r="O15" s="35">
        <f t="shared" si="4"/>
        <v>0</v>
      </c>
      <c r="P15" s="72">
        <f t="shared" si="5"/>
        <v>0</v>
      </c>
      <c r="Q15" s="72">
        <f t="shared" si="6"/>
        <v>0</v>
      </c>
      <c r="R15" s="73">
        <f t="shared" si="7"/>
        <v>0</v>
      </c>
    </row>
    <row r="16" spans="1:18" x14ac:dyDescent="0.25">
      <c r="A16" s="44" t="s">
        <v>359</v>
      </c>
      <c r="B16" s="44">
        <v>90</v>
      </c>
      <c r="C16" s="43">
        <v>1500</v>
      </c>
      <c r="D16" s="34"/>
      <c r="E16" s="41"/>
      <c r="F16" s="39"/>
      <c r="G16" s="40"/>
      <c r="H16" s="39"/>
      <c r="I16" s="40"/>
      <c r="J16" s="39"/>
      <c r="K16" s="37"/>
      <c r="L16" s="38"/>
      <c r="M16" s="57"/>
      <c r="N16" s="60"/>
      <c r="O16" s="35"/>
      <c r="P16" s="72"/>
      <c r="Q16" s="72"/>
      <c r="R16" s="73"/>
    </row>
    <row r="17" spans="1:18" x14ac:dyDescent="0.25">
      <c r="A17" s="44"/>
      <c r="B17" s="44"/>
      <c r="C17" s="43"/>
      <c r="D17" s="34"/>
      <c r="E17" s="41"/>
      <c r="F17" s="39"/>
      <c r="G17" s="40"/>
      <c r="H17" s="39"/>
      <c r="I17" s="40"/>
      <c r="J17" s="39"/>
      <c r="K17" s="37">
        <f t="shared" si="0"/>
        <v>0</v>
      </c>
      <c r="L17" s="38">
        <f t="shared" si="1"/>
        <v>0</v>
      </c>
      <c r="M17" s="57">
        <f t="shared" si="2"/>
        <v>0</v>
      </c>
      <c r="N17" s="60">
        <f t="shared" si="3"/>
        <v>0</v>
      </c>
      <c r="O17" s="35">
        <f t="shared" si="4"/>
        <v>0</v>
      </c>
      <c r="P17" s="72">
        <f t="shared" si="5"/>
        <v>0</v>
      </c>
      <c r="Q17" s="72">
        <f t="shared" si="6"/>
        <v>0</v>
      </c>
      <c r="R17" s="73">
        <f t="shared" si="7"/>
        <v>0</v>
      </c>
    </row>
    <row r="18" spans="1:18" x14ac:dyDescent="0.25">
      <c r="A18" s="44" t="s">
        <v>181</v>
      </c>
      <c r="B18" s="44">
        <v>1520</v>
      </c>
      <c r="C18" s="43">
        <v>1580</v>
      </c>
      <c r="D18" s="34"/>
      <c r="E18" s="41"/>
      <c r="F18" s="39"/>
      <c r="G18" s="40"/>
      <c r="H18" s="39"/>
      <c r="I18" s="40"/>
      <c r="J18" s="39"/>
      <c r="K18" s="37"/>
      <c r="L18" s="38"/>
      <c r="M18" s="57"/>
      <c r="N18" s="60"/>
      <c r="O18" s="35"/>
      <c r="P18" s="72"/>
      <c r="Q18" s="72"/>
      <c r="R18" s="73"/>
    </row>
    <row r="19" spans="1:18" x14ac:dyDescent="0.25">
      <c r="A19" s="44"/>
      <c r="B19" s="44"/>
      <c r="C19" s="43"/>
      <c r="D19" s="34"/>
      <c r="E19" s="41"/>
      <c r="F19" s="39"/>
      <c r="G19" s="40"/>
      <c r="H19" s="39"/>
      <c r="I19" s="40"/>
      <c r="J19" s="39"/>
      <c r="K19" s="37">
        <f t="shared" si="0"/>
        <v>0</v>
      </c>
      <c r="L19" s="38">
        <f t="shared" si="1"/>
        <v>0</v>
      </c>
      <c r="M19" s="57">
        <f t="shared" si="2"/>
        <v>0</v>
      </c>
      <c r="N19" s="60">
        <f t="shared" si="3"/>
        <v>0</v>
      </c>
      <c r="O19" s="35">
        <f t="shared" si="4"/>
        <v>0</v>
      </c>
      <c r="P19" s="72">
        <f t="shared" si="5"/>
        <v>0</v>
      </c>
      <c r="Q19" s="72">
        <f t="shared" si="6"/>
        <v>0</v>
      </c>
      <c r="R19" s="73">
        <f t="shared" si="7"/>
        <v>0</v>
      </c>
    </row>
    <row r="20" spans="1:18" x14ac:dyDescent="0.25">
      <c r="A20" s="44" t="s">
        <v>180</v>
      </c>
      <c r="B20" s="44">
        <v>1580</v>
      </c>
      <c r="C20" s="43">
        <v>1640</v>
      </c>
      <c r="D20" s="34"/>
      <c r="E20" s="41"/>
      <c r="F20" s="39"/>
      <c r="G20" s="40"/>
      <c r="H20" s="39"/>
      <c r="I20" s="40"/>
      <c r="J20" s="39"/>
      <c r="K20" s="37"/>
      <c r="L20" s="38"/>
      <c r="M20" s="57"/>
      <c r="N20" s="60"/>
      <c r="O20" s="35"/>
      <c r="P20" s="72"/>
      <c r="Q20" s="72"/>
      <c r="R20" s="73"/>
    </row>
    <row r="21" spans="1:18" x14ac:dyDescent="0.25">
      <c r="A21" s="44"/>
      <c r="B21" s="44"/>
      <c r="C21" s="43"/>
      <c r="D21" s="34"/>
      <c r="E21" s="41"/>
      <c r="F21" s="39"/>
      <c r="G21" s="40"/>
      <c r="H21" s="39"/>
      <c r="I21" s="40"/>
      <c r="J21" s="39"/>
      <c r="K21" s="37">
        <f t="shared" si="0"/>
        <v>0</v>
      </c>
      <c r="L21" s="38">
        <f t="shared" si="1"/>
        <v>0</v>
      </c>
      <c r="M21" s="57">
        <f t="shared" si="2"/>
        <v>0</v>
      </c>
      <c r="N21" s="60">
        <f t="shared" si="3"/>
        <v>0</v>
      </c>
      <c r="O21" s="35">
        <f t="shared" si="4"/>
        <v>0</v>
      </c>
      <c r="P21" s="72">
        <f t="shared" si="5"/>
        <v>0</v>
      </c>
      <c r="Q21" s="72">
        <f t="shared" si="6"/>
        <v>0</v>
      </c>
      <c r="R21" s="73">
        <f t="shared" si="7"/>
        <v>0</v>
      </c>
    </row>
    <row r="22" spans="1:18" x14ac:dyDescent="0.25">
      <c r="A22" s="44" t="s">
        <v>179</v>
      </c>
      <c r="B22" s="44">
        <v>1640</v>
      </c>
      <c r="C22" s="43">
        <v>1700</v>
      </c>
      <c r="D22" s="34"/>
      <c r="E22" s="41"/>
      <c r="F22" s="39"/>
      <c r="G22" s="40"/>
      <c r="H22" s="39"/>
      <c r="I22" s="40"/>
      <c r="J22" s="39"/>
      <c r="K22" s="37"/>
      <c r="L22" s="38"/>
      <c r="M22" s="57"/>
      <c r="N22" s="60"/>
      <c r="O22" s="35"/>
      <c r="P22" s="72"/>
      <c r="Q22" s="72"/>
      <c r="R22" s="73"/>
    </row>
    <row r="23" spans="1:18" x14ac:dyDescent="0.25">
      <c r="A23" s="44"/>
      <c r="B23" s="44"/>
      <c r="C23" s="43"/>
      <c r="D23" s="34"/>
      <c r="E23" s="41"/>
      <c r="F23" s="39"/>
      <c r="G23" s="40"/>
      <c r="H23" s="39"/>
      <c r="I23" s="40"/>
      <c r="J23" s="39"/>
      <c r="K23" s="37">
        <f t="shared" si="0"/>
        <v>0</v>
      </c>
      <c r="L23" s="38">
        <f t="shared" si="1"/>
        <v>0</v>
      </c>
      <c r="M23" s="57">
        <f t="shared" si="2"/>
        <v>0</v>
      </c>
      <c r="N23" s="60">
        <f t="shared" si="3"/>
        <v>0</v>
      </c>
      <c r="O23" s="35">
        <f t="shared" si="4"/>
        <v>0</v>
      </c>
      <c r="P23" s="72">
        <f t="shared" si="5"/>
        <v>0</v>
      </c>
      <c r="Q23" s="72">
        <f t="shared" si="6"/>
        <v>0</v>
      </c>
      <c r="R23" s="73">
        <f t="shared" si="7"/>
        <v>0</v>
      </c>
    </row>
    <row r="24" spans="1:18" x14ac:dyDescent="0.25">
      <c r="A24" s="44" t="s">
        <v>178</v>
      </c>
      <c r="B24" s="44">
        <v>1700</v>
      </c>
      <c r="C24" s="43"/>
      <c r="D24" s="34"/>
      <c r="E24" s="41"/>
      <c r="F24" s="39"/>
      <c r="G24" s="40"/>
      <c r="H24" s="39"/>
      <c r="I24" s="40"/>
      <c r="J24" s="39"/>
      <c r="K24" s="37"/>
      <c r="L24" s="38"/>
      <c r="M24" s="57"/>
      <c r="N24" s="60"/>
      <c r="O24" s="35"/>
      <c r="P24" s="72"/>
      <c r="Q24" s="72"/>
      <c r="R24" s="73"/>
    </row>
    <row r="25" spans="1:18" x14ac:dyDescent="0.25">
      <c r="A25" s="44"/>
      <c r="B25" s="44"/>
      <c r="C25" s="43"/>
      <c r="D25" s="34"/>
      <c r="E25" s="41"/>
      <c r="F25" s="39"/>
      <c r="G25" s="40"/>
      <c r="H25" s="39"/>
      <c r="I25" s="40"/>
      <c r="J25" s="39"/>
      <c r="K25" s="37">
        <f t="shared" si="0"/>
        <v>0</v>
      </c>
      <c r="L25" s="38">
        <f t="shared" si="1"/>
        <v>0</v>
      </c>
      <c r="M25" s="57">
        <f t="shared" si="2"/>
        <v>0</v>
      </c>
      <c r="N25" s="60">
        <f t="shared" si="3"/>
        <v>0</v>
      </c>
      <c r="O25" s="35">
        <f t="shared" si="4"/>
        <v>0</v>
      </c>
      <c r="P25" s="72">
        <f t="shared" si="5"/>
        <v>0</v>
      </c>
      <c r="Q25" s="72">
        <f t="shared" si="6"/>
        <v>0</v>
      </c>
      <c r="R25" s="73">
        <f t="shared" si="7"/>
        <v>0</v>
      </c>
    </row>
    <row r="26" spans="1:18" x14ac:dyDescent="0.25">
      <c r="A26" s="44" t="s">
        <v>177</v>
      </c>
      <c r="B26" s="44">
        <v>1730</v>
      </c>
      <c r="C26" s="43">
        <v>1760</v>
      </c>
      <c r="D26" s="34"/>
      <c r="E26" s="41"/>
      <c r="F26" s="39"/>
      <c r="G26" s="40"/>
      <c r="H26" s="39"/>
      <c r="I26" s="40"/>
      <c r="J26" s="39"/>
      <c r="K26" s="37"/>
      <c r="L26" s="38"/>
      <c r="M26" s="57"/>
      <c r="N26" s="60"/>
      <c r="O26" s="35"/>
      <c r="P26" s="72"/>
      <c r="Q26" s="72"/>
      <c r="R26" s="73"/>
    </row>
    <row r="27" spans="1:18" x14ac:dyDescent="0.25">
      <c r="A27" s="44"/>
      <c r="B27" s="44"/>
      <c r="C27" s="43"/>
      <c r="D27" s="34"/>
      <c r="E27" s="41"/>
      <c r="F27" s="39"/>
      <c r="G27" s="40"/>
      <c r="H27" s="39"/>
      <c r="I27" s="40"/>
      <c r="J27" s="39"/>
      <c r="K27" s="37">
        <f t="shared" si="0"/>
        <v>0</v>
      </c>
      <c r="L27" s="38">
        <f t="shared" si="1"/>
        <v>0</v>
      </c>
      <c r="M27" s="57">
        <f t="shared" si="2"/>
        <v>0</v>
      </c>
      <c r="N27" s="60">
        <f t="shared" si="3"/>
        <v>0</v>
      </c>
      <c r="O27" s="35">
        <f t="shared" si="4"/>
        <v>0</v>
      </c>
      <c r="P27" s="72">
        <f t="shared" si="5"/>
        <v>0</v>
      </c>
      <c r="Q27" s="72">
        <f t="shared" si="6"/>
        <v>0</v>
      </c>
      <c r="R27" s="73">
        <f t="shared" si="7"/>
        <v>0</v>
      </c>
    </row>
    <row r="28" spans="1:18" x14ac:dyDescent="0.25">
      <c r="A28" s="44" t="s">
        <v>176</v>
      </c>
      <c r="B28" s="44">
        <v>1760</v>
      </c>
      <c r="C28" s="43">
        <v>1820</v>
      </c>
      <c r="D28" s="34"/>
      <c r="E28" s="41"/>
      <c r="F28" s="39"/>
      <c r="G28" s="40"/>
      <c r="H28" s="39"/>
      <c r="I28" s="40"/>
      <c r="J28" s="39"/>
      <c r="K28" s="37"/>
      <c r="L28" s="38"/>
      <c r="M28" s="57"/>
      <c r="N28" s="60"/>
      <c r="O28" s="35"/>
      <c r="P28" s="72"/>
      <c r="Q28" s="72"/>
      <c r="R28" s="73"/>
    </row>
    <row r="29" spans="1:18" x14ac:dyDescent="0.25">
      <c r="A29" s="44"/>
      <c r="B29" s="44"/>
      <c r="C29" s="43"/>
      <c r="D29" s="34"/>
      <c r="E29" s="41"/>
      <c r="F29" s="39"/>
      <c r="G29" s="40"/>
      <c r="H29" s="39"/>
      <c r="I29" s="40"/>
      <c r="J29" s="39"/>
      <c r="K29" s="37">
        <f t="shared" si="0"/>
        <v>0</v>
      </c>
      <c r="L29" s="38">
        <f t="shared" si="1"/>
        <v>0</v>
      </c>
      <c r="M29" s="57">
        <f t="shared" si="2"/>
        <v>0</v>
      </c>
      <c r="N29" s="60">
        <f t="shared" si="3"/>
        <v>0</v>
      </c>
      <c r="O29" s="35">
        <f t="shared" si="4"/>
        <v>0</v>
      </c>
      <c r="P29" s="72">
        <f t="shared" si="5"/>
        <v>0</v>
      </c>
      <c r="Q29" s="72">
        <f t="shared" si="6"/>
        <v>0</v>
      </c>
      <c r="R29" s="73">
        <f t="shared" si="7"/>
        <v>0</v>
      </c>
    </row>
    <row r="30" spans="1:18" x14ac:dyDescent="0.25">
      <c r="A30" s="44" t="s">
        <v>678</v>
      </c>
      <c r="B30" s="44">
        <v>1850</v>
      </c>
      <c r="C30" s="43">
        <v>1950</v>
      </c>
      <c r="D30" s="34"/>
      <c r="E30" s="41"/>
      <c r="F30" s="39"/>
      <c r="G30" s="40"/>
      <c r="H30" s="39"/>
      <c r="I30" s="40"/>
      <c r="J30" s="39"/>
      <c r="K30" s="37"/>
      <c r="L30" s="38"/>
      <c r="M30" s="57"/>
      <c r="N30" s="60"/>
      <c r="O30" s="35"/>
      <c r="P30" s="72"/>
      <c r="Q30" s="72"/>
      <c r="R30" s="73"/>
    </row>
    <row r="31" spans="1:18" x14ac:dyDescent="0.25">
      <c r="A31" s="44"/>
      <c r="B31" s="44"/>
      <c r="C31" s="43"/>
      <c r="D31" s="34"/>
      <c r="E31" s="41"/>
      <c r="F31" s="39"/>
      <c r="G31" s="40"/>
      <c r="H31" s="39"/>
      <c r="I31" s="40"/>
      <c r="J31" s="39"/>
      <c r="K31" s="37">
        <f t="shared" si="0"/>
        <v>0</v>
      </c>
      <c r="L31" s="38">
        <f t="shared" si="1"/>
        <v>0</v>
      </c>
      <c r="M31" s="57">
        <f t="shared" si="2"/>
        <v>0</v>
      </c>
      <c r="N31" s="60">
        <f t="shared" si="3"/>
        <v>0</v>
      </c>
      <c r="O31" s="35">
        <f t="shared" si="4"/>
        <v>0</v>
      </c>
      <c r="P31" s="72">
        <f t="shared" si="5"/>
        <v>0</v>
      </c>
      <c r="Q31" s="72">
        <f t="shared" si="6"/>
        <v>0</v>
      </c>
      <c r="R31" s="73">
        <f t="shared" si="7"/>
        <v>0</v>
      </c>
    </row>
    <row r="32" spans="1:18" x14ac:dyDescent="0.25">
      <c r="A32" s="44" t="s">
        <v>175</v>
      </c>
      <c r="B32" s="44">
        <v>1950</v>
      </c>
      <c r="C32" s="43">
        <v>2050</v>
      </c>
      <c r="D32" s="34"/>
      <c r="E32" s="41"/>
      <c r="F32" s="39"/>
      <c r="G32" s="40"/>
      <c r="H32" s="39"/>
      <c r="I32" s="40"/>
      <c r="J32" s="39"/>
      <c r="K32" s="37"/>
      <c r="L32" s="38"/>
      <c r="M32" s="57"/>
      <c r="N32" s="60"/>
      <c r="O32" s="35"/>
      <c r="P32" s="72"/>
      <c r="Q32" s="72"/>
      <c r="R32" s="73"/>
    </row>
    <row r="33" spans="1:18" x14ac:dyDescent="0.25">
      <c r="A33" s="44"/>
      <c r="B33" s="44"/>
      <c r="C33" s="43"/>
      <c r="D33" s="34"/>
      <c r="E33" s="41"/>
      <c r="F33" s="39"/>
      <c r="G33" s="40"/>
      <c r="H33" s="39"/>
      <c r="I33" s="40"/>
      <c r="J33" s="39"/>
      <c r="K33" s="37">
        <f t="shared" si="0"/>
        <v>0</v>
      </c>
      <c r="L33" s="38">
        <f t="shared" si="1"/>
        <v>0</v>
      </c>
      <c r="M33" s="57">
        <f t="shared" si="2"/>
        <v>0</v>
      </c>
      <c r="N33" s="60">
        <f t="shared" si="3"/>
        <v>0</v>
      </c>
      <c r="O33" s="35">
        <f t="shared" si="4"/>
        <v>0</v>
      </c>
      <c r="P33" s="72">
        <f t="shared" si="5"/>
        <v>0</v>
      </c>
      <c r="Q33" s="72">
        <f t="shared" si="6"/>
        <v>0</v>
      </c>
      <c r="R33" s="73">
        <f t="shared" si="7"/>
        <v>0</v>
      </c>
    </row>
    <row r="34" spans="1:18" x14ac:dyDescent="0.25">
      <c r="A34" s="44" t="s">
        <v>174</v>
      </c>
      <c r="B34" s="44">
        <v>2050</v>
      </c>
      <c r="C34" s="43"/>
      <c r="D34" s="34"/>
      <c r="E34" s="41"/>
      <c r="F34" s="39"/>
      <c r="G34" s="40"/>
      <c r="H34" s="39"/>
      <c r="I34" s="40"/>
      <c r="J34" s="39"/>
      <c r="K34" s="37"/>
      <c r="L34" s="38"/>
      <c r="M34" s="57"/>
      <c r="N34" s="60"/>
      <c r="O34" s="35"/>
      <c r="P34" s="72"/>
      <c r="Q34" s="72"/>
      <c r="R34" s="73"/>
    </row>
    <row r="35" spans="1:18" x14ac:dyDescent="0.25">
      <c r="A35" s="44"/>
      <c r="B35" s="44"/>
      <c r="C35" s="43"/>
      <c r="D35" s="34"/>
      <c r="E35" s="41"/>
      <c r="F35" s="39"/>
      <c r="G35" s="40"/>
      <c r="H35" s="39"/>
      <c r="I35" s="40"/>
      <c r="J35" s="39"/>
      <c r="K35" s="37">
        <f t="shared" si="0"/>
        <v>0</v>
      </c>
      <c r="L35" s="38">
        <f t="shared" si="1"/>
        <v>0</v>
      </c>
      <c r="M35" s="57">
        <f t="shared" si="2"/>
        <v>0</v>
      </c>
      <c r="N35" s="60">
        <f t="shared" si="3"/>
        <v>0</v>
      </c>
      <c r="O35" s="35">
        <f t="shared" si="4"/>
        <v>0</v>
      </c>
      <c r="P35" s="72">
        <f t="shared" si="5"/>
        <v>0</v>
      </c>
      <c r="Q35" s="72">
        <f t="shared" si="6"/>
        <v>0</v>
      </c>
      <c r="R35" s="73">
        <f t="shared" si="7"/>
        <v>0</v>
      </c>
    </row>
    <row r="36" spans="1:18" x14ac:dyDescent="0.25">
      <c r="A36" s="44" t="s">
        <v>173</v>
      </c>
      <c r="B36" s="44">
        <v>2100</v>
      </c>
      <c r="C36" s="43">
        <v>2200</v>
      </c>
      <c r="D36" s="34"/>
      <c r="E36" s="41"/>
      <c r="F36" s="39"/>
      <c r="G36" s="40"/>
      <c r="H36" s="39"/>
      <c r="I36" s="40"/>
      <c r="J36" s="39"/>
      <c r="K36" s="37"/>
      <c r="L36" s="38"/>
      <c r="M36" s="57"/>
      <c r="N36" s="60"/>
      <c r="O36" s="35"/>
      <c r="P36" s="72"/>
      <c r="Q36" s="72"/>
      <c r="R36" s="73"/>
    </row>
    <row r="37" spans="1:18" x14ac:dyDescent="0.25">
      <c r="A37" s="44"/>
      <c r="B37" s="44"/>
      <c r="C37" s="43"/>
      <c r="D37" s="34"/>
      <c r="E37" s="41"/>
      <c r="F37" s="39"/>
      <c r="G37" s="40"/>
      <c r="H37" s="39"/>
      <c r="I37" s="40"/>
      <c r="J37" s="39"/>
      <c r="K37" s="37">
        <f t="shared" si="0"/>
        <v>0</v>
      </c>
      <c r="L37" s="38">
        <f t="shared" si="1"/>
        <v>0</v>
      </c>
      <c r="M37" s="57">
        <f t="shared" si="2"/>
        <v>0</v>
      </c>
      <c r="N37" s="60">
        <f t="shared" si="3"/>
        <v>0</v>
      </c>
      <c r="O37" s="35">
        <f t="shared" si="4"/>
        <v>0</v>
      </c>
      <c r="P37" s="72">
        <f t="shared" si="5"/>
        <v>0</v>
      </c>
      <c r="Q37" s="72">
        <f t="shared" si="6"/>
        <v>0</v>
      </c>
      <c r="R37" s="73">
        <f t="shared" si="7"/>
        <v>0</v>
      </c>
    </row>
    <row r="38" spans="1:18" x14ac:dyDescent="0.25">
      <c r="A38" s="44" t="s">
        <v>679</v>
      </c>
      <c r="B38" s="44">
        <v>2250</v>
      </c>
      <c r="C38" s="43">
        <v>2350</v>
      </c>
      <c r="D38" s="34"/>
      <c r="E38" s="41"/>
      <c r="F38" s="39"/>
      <c r="G38" s="40"/>
      <c r="H38" s="39"/>
      <c r="I38" s="40"/>
      <c r="J38" s="39"/>
      <c r="K38" s="37"/>
      <c r="L38" s="38"/>
      <c r="M38" s="57"/>
      <c r="N38" s="60"/>
      <c r="O38" s="35"/>
      <c r="P38" s="72"/>
      <c r="Q38" s="72"/>
      <c r="R38" s="73"/>
    </row>
    <row r="39" spans="1:18" x14ac:dyDescent="0.25">
      <c r="A39" s="44"/>
      <c r="B39" s="44"/>
      <c r="C39" s="43"/>
      <c r="D39" s="34"/>
      <c r="E39" s="41"/>
      <c r="F39" s="39"/>
      <c r="G39" s="40"/>
      <c r="H39" s="39"/>
      <c r="I39" s="40"/>
      <c r="J39" s="39"/>
      <c r="K39" s="37">
        <f t="shared" si="0"/>
        <v>0</v>
      </c>
      <c r="L39" s="38">
        <f t="shared" si="1"/>
        <v>0</v>
      </c>
      <c r="M39" s="57">
        <f t="shared" si="2"/>
        <v>0</v>
      </c>
      <c r="N39" s="60">
        <f t="shared" si="3"/>
        <v>0</v>
      </c>
      <c r="O39" s="35">
        <f t="shared" si="4"/>
        <v>0</v>
      </c>
      <c r="P39" s="72">
        <f t="shared" si="5"/>
        <v>0</v>
      </c>
      <c r="Q39" s="72">
        <f t="shared" si="6"/>
        <v>0</v>
      </c>
      <c r="R39" s="73">
        <f t="shared" si="7"/>
        <v>0</v>
      </c>
    </row>
    <row r="40" spans="1:18" x14ac:dyDescent="0.25">
      <c r="A40" s="44" t="s">
        <v>680</v>
      </c>
      <c r="B40" s="44">
        <v>2350</v>
      </c>
      <c r="C40" s="43">
        <v>2450</v>
      </c>
      <c r="D40" s="34"/>
      <c r="E40" s="41"/>
      <c r="F40" s="39"/>
      <c r="G40" s="40"/>
      <c r="H40" s="39"/>
      <c r="I40" s="40"/>
      <c r="J40" s="39"/>
      <c r="K40" s="37"/>
      <c r="L40" s="38"/>
      <c r="M40" s="57"/>
      <c r="N40" s="60"/>
      <c r="O40" s="35"/>
      <c r="P40" s="72"/>
      <c r="Q40" s="72"/>
      <c r="R40" s="73"/>
    </row>
    <row r="41" spans="1:18" x14ac:dyDescent="0.25">
      <c r="A41" s="44"/>
      <c r="B41" s="44"/>
      <c r="C41" s="43"/>
      <c r="D41" s="34"/>
      <c r="E41" s="41"/>
      <c r="F41" s="39"/>
      <c r="G41" s="40"/>
      <c r="H41" s="39"/>
      <c r="I41" s="40"/>
      <c r="J41" s="39"/>
      <c r="K41" s="37">
        <f t="shared" si="0"/>
        <v>0</v>
      </c>
      <c r="L41" s="38">
        <f t="shared" si="1"/>
        <v>0</v>
      </c>
      <c r="M41" s="57">
        <f t="shared" si="2"/>
        <v>0</v>
      </c>
      <c r="N41" s="60">
        <f t="shared" si="3"/>
        <v>0</v>
      </c>
      <c r="O41" s="35">
        <f t="shared" si="4"/>
        <v>0</v>
      </c>
      <c r="P41" s="72">
        <f t="shared" si="5"/>
        <v>0</v>
      </c>
      <c r="Q41" s="72">
        <f t="shared" si="6"/>
        <v>0</v>
      </c>
      <c r="R41" s="73">
        <f t="shared" si="7"/>
        <v>0</v>
      </c>
    </row>
    <row r="42" spans="1:18" x14ac:dyDescent="0.25">
      <c r="A42" s="44" t="s">
        <v>681</v>
      </c>
      <c r="B42" s="44">
        <v>2450</v>
      </c>
      <c r="C42" s="43">
        <v>2550</v>
      </c>
      <c r="D42" s="34"/>
      <c r="E42" s="41"/>
      <c r="F42" s="39"/>
      <c r="G42" s="40"/>
      <c r="H42" s="39"/>
      <c r="I42" s="40"/>
      <c r="J42" s="39"/>
      <c r="K42" s="37"/>
      <c r="L42" s="38"/>
      <c r="M42" s="57"/>
      <c r="N42" s="60"/>
      <c r="O42" s="35"/>
      <c r="P42" s="72"/>
      <c r="Q42" s="72"/>
      <c r="R42" s="73"/>
    </row>
    <row r="43" spans="1:18" x14ac:dyDescent="0.25">
      <c r="A43" s="44"/>
      <c r="B43" s="44"/>
      <c r="C43" s="43"/>
      <c r="D43" s="34"/>
      <c r="E43" s="41"/>
      <c r="F43" s="39"/>
      <c r="G43" s="40"/>
      <c r="H43" s="39"/>
      <c r="I43" s="40"/>
      <c r="J43" s="39"/>
      <c r="K43" s="37">
        <f t="shared" si="0"/>
        <v>0</v>
      </c>
      <c r="L43" s="38">
        <f t="shared" si="1"/>
        <v>0</v>
      </c>
      <c r="M43" s="57">
        <f t="shared" si="2"/>
        <v>0</v>
      </c>
      <c r="N43" s="60">
        <f t="shared" si="3"/>
        <v>0</v>
      </c>
      <c r="O43" s="35">
        <f t="shared" si="4"/>
        <v>0</v>
      </c>
      <c r="P43" s="72">
        <f t="shared" si="5"/>
        <v>0</v>
      </c>
      <c r="Q43" s="72">
        <f t="shared" si="6"/>
        <v>0</v>
      </c>
      <c r="R43" s="73">
        <f t="shared" si="7"/>
        <v>0</v>
      </c>
    </row>
    <row r="44" spans="1:18" x14ac:dyDescent="0.25">
      <c r="A44" s="44" t="s">
        <v>682</v>
      </c>
      <c r="B44" s="44">
        <v>2550</v>
      </c>
      <c r="C44" s="43">
        <v>2650</v>
      </c>
      <c r="D44" s="34"/>
      <c r="E44" s="41"/>
      <c r="F44" s="39"/>
      <c r="G44" s="40"/>
      <c r="H44" s="39"/>
      <c r="I44" s="40"/>
      <c r="J44" s="39"/>
      <c r="K44" s="37"/>
      <c r="L44" s="38"/>
      <c r="M44" s="57"/>
      <c r="N44" s="60"/>
      <c r="O44" s="35"/>
      <c r="P44" s="72"/>
      <c r="Q44" s="72"/>
      <c r="R44" s="73"/>
    </row>
    <row r="45" spans="1:18" x14ac:dyDescent="0.25">
      <c r="A45" s="44"/>
      <c r="B45" s="44"/>
      <c r="C45" s="43"/>
      <c r="D45" s="34"/>
      <c r="E45" s="41"/>
      <c r="F45" s="39"/>
      <c r="G45" s="40"/>
      <c r="H45" s="39"/>
      <c r="I45" s="40"/>
      <c r="J45" s="39"/>
      <c r="K45" s="37">
        <f t="shared" si="0"/>
        <v>0</v>
      </c>
      <c r="L45" s="38">
        <f t="shared" si="1"/>
        <v>0</v>
      </c>
      <c r="M45" s="57">
        <f t="shared" si="2"/>
        <v>0</v>
      </c>
      <c r="N45" s="60">
        <f t="shared" si="3"/>
        <v>0</v>
      </c>
      <c r="O45" s="35">
        <f t="shared" si="4"/>
        <v>0</v>
      </c>
      <c r="P45" s="72">
        <f t="shared" si="5"/>
        <v>0</v>
      </c>
      <c r="Q45" s="72">
        <f t="shared" si="6"/>
        <v>0</v>
      </c>
      <c r="R45" s="73">
        <f t="shared" si="7"/>
        <v>0</v>
      </c>
    </row>
    <row r="46" spans="1:18" x14ac:dyDescent="0.25">
      <c r="A46" s="44" t="s">
        <v>237</v>
      </c>
      <c r="B46" s="44">
        <v>2650</v>
      </c>
      <c r="C46" s="43">
        <v>2680</v>
      </c>
      <c r="D46" s="34"/>
      <c r="E46" s="41"/>
      <c r="F46" s="39"/>
      <c r="G46" s="40"/>
      <c r="H46" s="39"/>
      <c r="I46" s="40"/>
      <c r="J46" s="39"/>
      <c r="K46" s="37"/>
      <c r="L46" s="38"/>
      <c r="M46" s="57"/>
      <c r="N46" s="60"/>
      <c r="O46" s="35"/>
      <c r="P46" s="72"/>
      <c r="Q46" s="72"/>
      <c r="R46" s="73"/>
    </row>
    <row r="47" spans="1:18" x14ac:dyDescent="0.25">
      <c r="A47" s="44"/>
      <c r="B47" s="44"/>
      <c r="C47" s="43"/>
      <c r="D47" s="34"/>
      <c r="E47" s="41"/>
      <c r="F47" s="39"/>
      <c r="G47" s="40"/>
      <c r="H47" s="39"/>
      <c r="I47" s="40"/>
      <c r="J47" s="39"/>
      <c r="K47" s="37">
        <f t="shared" si="0"/>
        <v>0</v>
      </c>
      <c r="L47" s="38">
        <f t="shared" si="1"/>
        <v>0</v>
      </c>
      <c r="M47" s="57">
        <f t="shared" si="2"/>
        <v>0</v>
      </c>
      <c r="N47" s="60">
        <f t="shared" si="3"/>
        <v>0</v>
      </c>
      <c r="O47" s="35">
        <f t="shared" si="4"/>
        <v>0</v>
      </c>
      <c r="P47" s="72">
        <f t="shared" si="5"/>
        <v>0</v>
      </c>
      <c r="Q47" s="72">
        <f t="shared" si="6"/>
        <v>0</v>
      </c>
      <c r="R47" s="73">
        <f t="shared" si="7"/>
        <v>0</v>
      </c>
    </row>
    <row r="48" spans="1:18" x14ac:dyDescent="0.25">
      <c r="A48" s="44" t="s">
        <v>238</v>
      </c>
      <c r="B48" s="44">
        <v>2760</v>
      </c>
      <c r="C48" s="43">
        <v>2790</v>
      </c>
      <c r="D48" s="34"/>
      <c r="E48" s="41"/>
      <c r="F48" s="39"/>
      <c r="G48" s="40"/>
      <c r="H48" s="39"/>
      <c r="I48" s="40"/>
      <c r="J48" s="39"/>
      <c r="K48" s="37"/>
      <c r="L48" s="38"/>
      <c r="M48" s="57"/>
      <c r="N48" s="60"/>
      <c r="O48" s="35"/>
      <c r="P48" s="72"/>
      <c r="Q48" s="72"/>
      <c r="R48" s="73"/>
    </row>
    <row r="49" spans="1:18" x14ac:dyDescent="0.25">
      <c r="A49" s="44"/>
      <c r="B49" s="44"/>
      <c r="C49" s="43"/>
      <c r="D49" s="34"/>
      <c r="E49" s="41"/>
      <c r="F49" s="39"/>
      <c r="G49" s="40"/>
      <c r="H49" s="39"/>
      <c r="I49" s="40"/>
      <c r="J49" s="39"/>
      <c r="K49" s="37">
        <f t="shared" si="0"/>
        <v>0</v>
      </c>
      <c r="L49" s="38">
        <f t="shared" si="1"/>
        <v>0</v>
      </c>
      <c r="M49" s="57">
        <f t="shared" si="2"/>
        <v>0</v>
      </c>
      <c r="N49" s="60">
        <f t="shared" si="3"/>
        <v>0</v>
      </c>
      <c r="O49" s="35">
        <f t="shared" si="4"/>
        <v>0</v>
      </c>
      <c r="P49" s="72">
        <f t="shared" si="5"/>
        <v>0</v>
      </c>
      <c r="Q49" s="72">
        <f t="shared" si="6"/>
        <v>0</v>
      </c>
      <c r="R49" s="73">
        <f t="shared" si="7"/>
        <v>0</v>
      </c>
    </row>
    <row r="50" spans="1:18" x14ac:dyDescent="0.25">
      <c r="A50" s="44" t="s">
        <v>1172</v>
      </c>
      <c r="B50" s="44">
        <v>2820</v>
      </c>
      <c r="C50" s="43">
        <v>2840</v>
      </c>
      <c r="D50" s="34"/>
      <c r="E50" s="41"/>
      <c r="F50" s="39"/>
      <c r="G50" s="40"/>
      <c r="H50" s="39"/>
      <c r="I50" s="40"/>
      <c r="J50" s="39"/>
      <c r="K50" s="37"/>
      <c r="L50" s="38"/>
      <c r="M50" s="57"/>
      <c r="N50" s="60"/>
      <c r="O50" s="35"/>
      <c r="P50" s="72"/>
      <c r="Q50" s="72"/>
      <c r="R50" s="73"/>
    </row>
    <row r="51" spans="1:18" x14ac:dyDescent="0.25">
      <c r="A51" s="44"/>
      <c r="B51" s="44"/>
      <c r="C51" s="43"/>
      <c r="D51" s="34"/>
      <c r="E51" s="41"/>
      <c r="F51" s="39"/>
      <c r="G51" s="40"/>
      <c r="H51" s="39"/>
      <c r="I51" s="40"/>
      <c r="J51" s="39"/>
      <c r="K51" s="37">
        <f t="shared" si="0"/>
        <v>0</v>
      </c>
      <c r="L51" s="38">
        <f t="shared" si="1"/>
        <v>0</v>
      </c>
      <c r="M51" s="57">
        <f t="shared" si="2"/>
        <v>0</v>
      </c>
      <c r="N51" s="60">
        <f t="shared" si="3"/>
        <v>0</v>
      </c>
      <c r="O51" s="35">
        <f t="shared" si="4"/>
        <v>0</v>
      </c>
      <c r="P51" s="72">
        <f t="shared" si="5"/>
        <v>0</v>
      </c>
      <c r="Q51" s="72">
        <f t="shared" si="6"/>
        <v>0</v>
      </c>
      <c r="R51" s="73">
        <f t="shared" si="7"/>
        <v>0</v>
      </c>
    </row>
    <row r="52" spans="1:18" x14ac:dyDescent="0.25">
      <c r="A52" s="44" t="s">
        <v>239</v>
      </c>
      <c r="B52" s="44">
        <v>2890</v>
      </c>
      <c r="C52" s="43">
        <v>2910</v>
      </c>
      <c r="D52" s="34"/>
      <c r="E52" s="41"/>
      <c r="F52" s="39"/>
      <c r="G52" s="40"/>
      <c r="H52" s="39"/>
      <c r="I52" s="40"/>
      <c r="J52" s="39"/>
      <c r="K52" s="37"/>
      <c r="L52" s="38"/>
      <c r="M52" s="57"/>
      <c r="N52" s="60"/>
      <c r="O52" s="35"/>
      <c r="P52" s="72"/>
      <c r="Q52" s="72"/>
      <c r="R52" s="73"/>
    </row>
    <row r="53" spans="1:18" x14ac:dyDescent="0.25">
      <c r="A53" s="44"/>
      <c r="B53" s="44"/>
      <c r="C53" s="456"/>
      <c r="D53" s="34"/>
      <c r="E53" s="41"/>
      <c r="F53" s="39"/>
      <c r="G53" s="40"/>
      <c r="H53" s="39"/>
      <c r="I53" s="40"/>
      <c r="J53" s="39"/>
      <c r="K53" s="37">
        <f t="shared" si="0"/>
        <v>0</v>
      </c>
      <c r="L53" s="38">
        <f t="shared" si="1"/>
        <v>0</v>
      </c>
      <c r="M53" s="57">
        <f t="shared" si="2"/>
        <v>0</v>
      </c>
      <c r="N53" s="60">
        <f t="shared" si="3"/>
        <v>0</v>
      </c>
      <c r="O53" s="35">
        <f t="shared" si="4"/>
        <v>0</v>
      </c>
      <c r="P53" s="72">
        <f t="shared" si="5"/>
        <v>0</v>
      </c>
      <c r="Q53" s="72">
        <f t="shared" si="6"/>
        <v>0</v>
      </c>
      <c r="R53" s="73">
        <f t="shared" si="7"/>
        <v>0</v>
      </c>
    </row>
    <row r="54" spans="1:18" x14ac:dyDescent="0.25">
      <c r="A54" s="44" t="s">
        <v>1173</v>
      </c>
      <c r="B54" s="44" t="s">
        <v>1174</v>
      </c>
      <c r="C54" s="43"/>
      <c r="D54" s="34"/>
      <c r="E54" s="41"/>
      <c r="F54" s="39"/>
      <c r="G54" s="40"/>
      <c r="H54" s="39"/>
      <c r="I54" s="40"/>
      <c r="J54" s="39"/>
      <c r="K54" s="37"/>
      <c r="L54" s="38"/>
      <c r="M54" s="57"/>
      <c r="N54" s="60"/>
      <c r="O54" s="35"/>
      <c r="P54" s="72"/>
      <c r="Q54" s="72"/>
      <c r="R54" s="73"/>
    </row>
    <row r="55" spans="1:18" x14ac:dyDescent="0.25">
      <c r="A55" s="44"/>
      <c r="B55" s="44"/>
      <c r="C55" s="456"/>
      <c r="D55" s="34"/>
      <c r="E55" s="41"/>
      <c r="F55" s="39"/>
      <c r="G55" s="40"/>
      <c r="H55" s="39"/>
      <c r="I55" s="40"/>
      <c r="J55" s="39"/>
      <c r="K55" s="37">
        <f t="shared" si="0"/>
        <v>0</v>
      </c>
      <c r="L55" s="38">
        <f t="shared" si="1"/>
        <v>0</v>
      </c>
      <c r="M55" s="57">
        <f t="shared" si="2"/>
        <v>0</v>
      </c>
      <c r="N55" s="60">
        <f t="shared" si="3"/>
        <v>0</v>
      </c>
      <c r="O55" s="35">
        <f t="shared" si="4"/>
        <v>0</v>
      </c>
      <c r="P55" s="72">
        <f t="shared" si="5"/>
        <v>0</v>
      </c>
      <c r="Q55" s="72">
        <f t="shared" si="6"/>
        <v>0</v>
      </c>
      <c r="R55" s="73">
        <f t="shared" si="7"/>
        <v>0</v>
      </c>
    </row>
    <row r="56" spans="1:18" x14ac:dyDescent="0.25">
      <c r="A56" s="44" t="s">
        <v>240</v>
      </c>
      <c r="B56" s="44"/>
      <c r="C56" s="43"/>
      <c r="D56" s="34"/>
      <c r="E56" s="41"/>
      <c r="F56" s="39"/>
      <c r="G56" s="40"/>
      <c r="H56" s="39"/>
      <c r="I56" s="40"/>
      <c r="J56" s="39"/>
      <c r="K56" s="37"/>
      <c r="L56" s="38"/>
      <c r="M56" s="57"/>
      <c r="N56" s="60"/>
      <c r="O56" s="35"/>
      <c r="P56" s="72"/>
      <c r="Q56" s="72"/>
      <c r="R56" s="73"/>
    </row>
    <row r="57" spans="1:18" x14ac:dyDescent="0.25">
      <c r="A57" s="44"/>
      <c r="B57" s="44"/>
      <c r="C57" s="43"/>
      <c r="D57" s="34"/>
      <c r="E57" s="41"/>
      <c r="F57" s="39"/>
      <c r="G57" s="40"/>
      <c r="H57" s="39"/>
      <c r="I57" s="40"/>
      <c r="J57" s="39"/>
      <c r="K57" s="37">
        <f t="shared" si="0"/>
        <v>0</v>
      </c>
      <c r="L57" s="38">
        <f t="shared" si="1"/>
        <v>0</v>
      </c>
      <c r="M57" s="57">
        <f t="shared" si="2"/>
        <v>0</v>
      </c>
      <c r="N57" s="60">
        <f t="shared" si="3"/>
        <v>0</v>
      </c>
      <c r="O57" s="35">
        <f t="shared" si="4"/>
        <v>0</v>
      </c>
      <c r="P57" s="72">
        <f t="shared" si="5"/>
        <v>0</v>
      </c>
      <c r="Q57" s="72">
        <f t="shared" si="6"/>
        <v>0</v>
      </c>
      <c r="R57" s="73">
        <f t="shared" si="7"/>
        <v>0</v>
      </c>
    </row>
    <row r="58" spans="1:18" x14ac:dyDescent="0.25">
      <c r="A58" s="44" t="s">
        <v>172</v>
      </c>
      <c r="B58" s="44">
        <v>2930</v>
      </c>
      <c r="C58" s="43">
        <v>2940</v>
      </c>
      <c r="D58" s="34"/>
      <c r="E58" s="41"/>
      <c r="F58" s="39"/>
      <c r="G58" s="40"/>
      <c r="H58" s="39"/>
      <c r="I58" s="40"/>
      <c r="J58" s="39"/>
      <c r="K58" s="37"/>
      <c r="L58" s="38"/>
      <c r="M58" s="57"/>
      <c r="N58" s="60"/>
      <c r="O58" s="35"/>
      <c r="P58" s="72"/>
      <c r="Q58" s="72"/>
      <c r="R58" s="73"/>
    </row>
    <row r="59" spans="1:18" x14ac:dyDescent="0.25">
      <c r="A59" s="44"/>
      <c r="B59" s="44"/>
      <c r="C59" s="43"/>
      <c r="D59" s="34"/>
      <c r="E59" s="41"/>
      <c r="F59" s="39"/>
      <c r="G59" s="40"/>
      <c r="H59" s="39"/>
      <c r="I59" s="40"/>
      <c r="J59" s="39"/>
      <c r="K59" s="37">
        <f t="shared" si="0"/>
        <v>0</v>
      </c>
      <c r="L59" s="38">
        <f t="shared" si="1"/>
        <v>0</v>
      </c>
      <c r="M59" s="57">
        <f t="shared" si="2"/>
        <v>0</v>
      </c>
      <c r="N59" s="60">
        <f t="shared" si="3"/>
        <v>0</v>
      </c>
      <c r="O59" s="35">
        <f t="shared" si="4"/>
        <v>0</v>
      </c>
      <c r="P59" s="72">
        <f t="shared" si="5"/>
        <v>0</v>
      </c>
      <c r="Q59" s="72">
        <f t="shared" si="6"/>
        <v>0</v>
      </c>
      <c r="R59" s="73">
        <f t="shared" si="7"/>
        <v>0</v>
      </c>
    </row>
    <row r="60" spans="1:18" x14ac:dyDescent="0.25">
      <c r="A60" s="44" t="s">
        <v>241</v>
      </c>
      <c r="B60" s="44">
        <v>2970</v>
      </c>
      <c r="C60" s="43">
        <v>3020</v>
      </c>
      <c r="D60" s="34"/>
      <c r="E60" s="41"/>
      <c r="F60" s="39"/>
      <c r="G60" s="40"/>
      <c r="H60" s="39"/>
      <c r="I60" s="40"/>
      <c r="J60" s="39"/>
      <c r="K60" s="37"/>
      <c r="L60" s="38"/>
      <c r="M60" s="57"/>
      <c r="N60" s="60"/>
      <c r="O60" s="35"/>
      <c r="P60" s="72"/>
      <c r="Q60" s="72"/>
      <c r="R60" s="73"/>
    </row>
    <row r="61" spans="1:18" x14ac:dyDescent="0.25">
      <c r="A61" s="44"/>
      <c r="B61" s="44"/>
      <c r="C61" s="43"/>
      <c r="D61" s="34"/>
      <c r="E61" s="41"/>
      <c r="F61" s="39"/>
      <c r="G61" s="40"/>
      <c r="H61" s="39"/>
      <c r="I61" s="40"/>
      <c r="J61" s="39"/>
      <c r="K61" s="37">
        <f t="shared" si="0"/>
        <v>0</v>
      </c>
      <c r="L61" s="38">
        <f t="shared" si="1"/>
        <v>0</v>
      </c>
      <c r="M61" s="57">
        <f t="shared" si="2"/>
        <v>0</v>
      </c>
      <c r="N61" s="60">
        <f t="shared" si="3"/>
        <v>0</v>
      </c>
      <c r="O61" s="35">
        <f t="shared" si="4"/>
        <v>0</v>
      </c>
      <c r="P61" s="72">
        <f t="shared" si="5"/>
        <v>0</v>
      </c>
      <c r="Q61" s="72">
        <f t="shared" si="6"/>
        <v>0</v>
      </c>
      <c r="R61" s="73">
        <f t="shared" si="7"/>
        <v>0</v>
      </c>
    </row>
    <row r="62" spans="1:18" x14ac:dyDescent="0.25">
      <c r="A62" s="44" t="s">
        <v>683</v>
      </c>
      <c r="B62" s="44">
        <v>3030</v>
      </c>
      <c r="C62" s="43">
        <v>3050</v>
      </c>
      <c r="D62" s="34"/>
      <c r="E62" s="41"/>
      <c r="F62" s="39"/>
      <c r="G62" s="40"/>
      <c r="H62" s="39"/>
      <c r="I62" s="40"/>
      <c r="J62" s="39"/>
      <c r="K62" s="37"/>
      <c r="L62" s="38"/>
      <c r="M62" s="57"/>
      <c r="N62" s="60"/>
      <c r="O62" s="35"/>
      <c r="P62" s="72"/>
      <c r="Q62" s="72"/>
      <c r="R62" s="73"/>
    </row>
    <row r="63" spans="1:18" x14ac:dyDescent="0.25">
      <c r="A63" s="44"/>
      <c r="B63" s="44"/>
      <c r="C63" s="43"/>
      <c r="D63" s="34"/>
      <c r="E63" s="41"/>
      <c r="F63" s="39"/>
      <c r="G63" s="40"/>
      <c r="H63" s="39"/>
      <c r="I63" s="40"/>
      <c r="J63" s="39"/>
      <c r="K63" s="37">
        <f t="shared" si="0"/>
        <v>0</v>
      </c>
      <c r="L63" s="38">
        <f t="shared" si="1"/>
        <v>0</v>
      </c>
      <c r="M63" s="57">
        <f t="shared" si="2"/>
        <v>0</v>
      </c>
      <c r="N63" s="60">
        <f t="shared" si="3"/>
        <v>0</v>
      </c>
      <c r="O63" s="35">
        <f t="shared" si="4"/>
        <v>0</v>
      </c>
      <c r="P63" s="72">
        <f t="shared" si="5"/>
        <v>0</v>
      </c>
      <c r="Q63" s="72">
        <f t="shared" si="6"/>
        <v>0</v>
      </c>
      <c r="R63" s="73">
        <f t="shared" si="7"/>
        <v>0</v>
      </c>
    </row>
    <row r="64" spans="1:18" x14ac:dyDescent="0.25">
      <c r="A64" s="44" t="s">
        <v>242</v>
      </c>
      <c r="B64" s="44">
        <v>3050</v>
      </c>
      <c r="C64" s="43">
        <v>3070</v>
      </c>
      <c r="D64" s="34"/>
      <c r="E64" s="41"/>
      <c r="F64" s="39"/>
      <c r="G64" s="40"/>
      <c r="H64" s="39"/>
      <c r="I64" s="40"/>
      <c r="J64" s="39"/>
      <c r="K64" s="37"/>
      <c r="L64" s="38"/>
      <c r="M64" s="57"/>
      <c r="N64" s="60"/>
      <c r="O64" s="35"/>
      <c r="P64" s="72"/>
      <c r="Q64" s="72"/>
      <c r="R64" s="73"/>
    </row>
    <row r="65" spans="1:18" x14ac:dyDescent="0.25">
      <c r="A65" s="44"/>
      <c r="B65" s="44"/>
      <c r="C65" s="43"/>
      <c r="D65" s="34"/>
      <c r="E65" s="41"/>
      <c r="F65" s="39"/>
      <c r="G65" s="40"/>
      <c r="H65" s="39"/>
      <c r="I65" s="40"/>
      <c r="J65" s="39"/>
      <c r="K65" s="37">
        <f t="shared" si="0"/>
        <v>0</v>
      </c>
      <c r="L65" s="38">
        <f t="shared" si="1"/>
        <v>0</v>
      </c>
      <c r="M65" s="57">
        <f t="shared" si="2"/>
        <v>0</v>
      </c>
      <c r="N65" s="60">
        <f t="shared" si="3"/>
        <v>0</v>
      </c>
      <c r="O65" s="35">
        <f t="shared" si="4"/>
        <v>0</v>
      </c>
      <c r="P65" s="72">
        <f t="shared" si="5"/>
        <v>0</v>
      </c>
      <c r="Q65" s="72">
        <f t="shared" si="6"/>
        <v>0</v>
      </c>
      <c r="R65" s="73">
        <f t="shared" si="7"/>
        <v>0</v>
      </c>
    </row>
    <row r="66" spans="1:18" x14ac:dyDescent="0.25">
      <c r="A66" s="44" t="s">
        <v>243</v>
      </c>
      <c r="B66" s="44">
        <v>3090</v>
      </c>
      <c r="C66" s="43">
        <v>3110</v>
      </c>
      <c r="D66" s="34"/>
      <c r="E66" s="41"/>
      <c r="F66" s="39"/>
      <c r="G66" s="40"/>
      <c r="H66" s="39"/>
      <c r="I66" s="40"/>
      <c r="J66" s="39"/>
      <c r="K66" s="37"/>
      <c r="L66" s="38"/>
      <c r="M66" s="57"/>
      <c r="N66" s="60"/>
      <c r="O66" s="35"/>
      <c r="P66" s="72"/>
      <c r="Q66" s="72"/>
      <c r="R66" s="73"/>
    </row>
    <row r="67" spans="1:18" x14ac:dyDescent="0.25">
      <c r="A67" s="44"/>
      <c r="B67" s="44"/>
      <c r="C67" s="43"/>
      <c r="D67" s="34"/>
      <c r="E67" s="41"/>
      <c r="F67" s="39"/>
      <c r="G67" s="40"/>
      <c r="H67" s="39"/>
      <c r="I67" s="40"/>
      <c r="J67" s="39"/>
      <c r="K67" s="37">
        <f t="shared" si="0"/>
        <v>0</v>
      </c>
      <c r="L67" s="38">
        <f t="shared" si="1"/>
        <v>0</v>
      </c>
      <c r="M67" s="57">
        <f t="shared" si="2"/>
        <v>0</v>
      </c>
      <c r="N67" s="60">
        <f t="shared" si="3"/>
        <v>0</v>
      </c>
      <c r="O67" s="35">
        <f t="shared" si="4"/>
        <v>0</v>
      </c>
      <c r="P67" s="72">
        <f t="shared" si="5"/>
        <v>0</v>
      </c>
      <c r="Q67" s="72">
        <f t="shared" si="6"/>
        <v>0</v>
      </c>
      <c r="R67" s="73">
        <f t="shared" si="7"/>
        <v>0</v>
      </c>
    </row>
    <row r="68" spans="1:18" x14ac:dyDescent="0.25">
      <c r="A68" s="44" t="s">
        <v>684</v>
      </c>
      <c r="B68" s="44">
        <v>3130</v>
      </c>
      <c r="C68" s="43">
        <v>3230</v>
      </c>
      <c r="D68" s="34"/>
      <c r="E68" s="41"/>
      <c r="F68" s="39"/>
      <c r="G68" s="40"/>
      <c r="H68" s="39"/>
      <c r="I68" s="40"/>
      <c r="J68" s="39"/>
      <c r="K68" s="37"/>
      <c r="L68" s="38"/>
      <c r="M68" s="57"/>
      <c r="N68" s="60"/>
      <c r="O68" s="35"/>
      <c r="P68" s="72"/>
      <c r="Q68" s="72"/>
      <c r="R68" s="73"/>
    </row>
    <row r="69" spans="1:18" x14ac:dyDescent="0.25">
      <c r="A69" s="44"/>
      <c r="B69" s="44"/>
      <c r="C69" s="43"/>
      <c r="D69" s="34"/>
      <c r="E69" s="41"/>
      <c r="F69" s="39"/>
      <c r="G69" s="40"/>
      <c r="H69" s="39"/>
      <c r="I69" s="40"/>
      <c r="J69" s="39"/>
      <c r="K69" s="37">
        <f t="shared" si="0"/>
        <v>0</v>
      </c>
      <c r="L69" s="38">
        <f t="shared" si="1"/>
        <v>0</v>
      </c>
      <c r="M69" s="57">
        <f t="shared" si="2"/>
        <v>0</v>
      </c>
      <c r="N69" s="60">
        <f t="shared" si="3"/>
        <v>0</v>
      </c>
      <c r="O69" s="35">
        <f t="shared" si="4"/>
        <v>0</v>
      </c>
      <c r="P69" s="72">
        <f t="shared" si="5"/>
        <v>0</v>
      </c>
      <c r="Q69" s="72">
        <f t="shared" si="6"/>
        <v>0</v>
      </c>
      <c r="R69" s="73">
        <f t="shared" si="7"/>
        <v>0</v>
      </c>
    </row>
    <row r="70" spans="1:18" x14ac:dyDescent="0.25">
      <c r="A70" s="44" t="s">
        <v>171</v>
      </c>
      <c r="B70" s="44">
        <v>3300</v>
      </c>
      <c r="C70" s="43"/>
      <c r="D70" s="34"/>
      <c r="E70" s="41"/>
      <c r="F70" s="39"/>
      <c r="G70" s="40"/>
      <c r="H70" s="39"/>
      <c r="I70" s="40"/>
      <c r="J70" s="39"/>
      <c r="K70" s="37"/>
      <c r="L70" s="38"/>
      <c r="M70" s="57"/>
      <c r="N70" s="60"/>
      <c r="O70" s="35"/>
      <c r="P70" s="72"/>
      <c r="Q70" s="72"/>
      <c r="R70" s="73"/>
    </row>
    <row r="71" spans="1:18" x14ac:dyDescent="0.25">
      <c r="A71" s="44"/>
      <c r="B71" s="44"/>
      <c r="C71" s="43"/>
      <c r="D71" s="34"/>
      <c r="E71" s="41"/>
      <c r="F71" s="39"/>
      <c r="G71" s="40"/>
      <c r="H71" s="39"/>
      <c r="I71" s="40"/>
      <c r="J71" s="39"/>
      <c r="K71" s="37">
        <f t="shared" si="0"/>
        <v>0</v>
      </c>
      <c r="L71" s="38">
        <f t="shared" si="1"/>
        <v>0</v>
      </c>
      <c r="M71" s="57">
        <f t="shared" si="2"/>
        <v>0</v>
      </c>
      <c r="N71" s="60">
        <f t="shared" si="3"/>
        <v>0</v>
      </c>
      <c r="O71" s="35">
        <f t="shared" si="4"/>
        <v>0</v>
      </c>
      <c r="P71" s="72">
        <f t="shared" si="5"/>
        <v>0</v>
      </c>
      <c r="Q71" s="72">
        <f t="shared" si="6"/>
        <v>0</v>
      </c>
      <c r="R71" s="73">
        <f t="shared" si="7"/>
        <v>0</v>
      </c>
    </row>
    <row r="72" spans="1:18" x14ac:dyDescent="0.25">
      <c r="A72" s="44" t="s">
        <v>245</v>
      </c>
      <c r="B72" s="44">
        <v>3330</v>
      </c>
      <c r="C72" s="43"/>
      <c r="D72" s="34"/>
      <c r="E72" s="41"/>
      <c r="F72" s="39"/>
      <c r="G72" s="40"/>
      <c r="H72" s="39"/>
      <c r="I72" s="40"/>
      <c r="J72" s="39"/>
      <c r="K72" s="37"/>
      <c r="L72" s="38"/>
      <c r="M72" s="57"/>
      <c r="N72" s="60"/>
      <c r="O72" s="35"/>
      <c r="P72" s="72"/>
      <c r="Q72" s="72"/>
      <c r="R72" s="73"/>
    </row>
    <row r="73" spans="1:18" x14ac:dyDescent="0.25">
      <c r="B73" s="44"/>
      <c r="C73" s="43"/>
      <c r="D73" s="34"/>
      <c r="E73" s="41"/>
      <c r="F73" s="39"/>
      <c r="G73" s="40"/>
      <c r="H73" s="39"/>
      <c r="I73" s="40"/>
      <c r="J73" s="39"/>
      <c r="K73" s="37">
        <f t="shared" si="0"/>
        <v>0</v>
      </c>
      <c r="L73" s="38">
        <f t="shared" si="1"/>
        <v>0</v>
      </c>
      <c r="M73" s="57">
        <f t="shared" si="2"/>
        <v>0</v>
      </c>
      <c r="N73" s="60">
        <f t="shared" si="3"/>
        <v>0</v>
      </c>
      <c r="O73" s="35">
        <f t="shared" si="4"/>
        <v>0</v>
      </c>
      <c r="P73" s="72">
        <f t="shared" si="5"/>
        <v>0</v>
      </c>
      <c r="Q73" s="72">
        <f t="shared" si="6"/>
        <v>0</v>
      </c>
      <c r="R73" s="73">
        <f t="shared" si="7"/>
        <v>0</v>
      </c>
    </row>
    <row r="74" spans="1:18" x14ac:dyDescent="0.25">
      <c r="A74" s="44" t="s">
        <v>244</v>
      </c>
      <c r="B74" s="44">
        <v>3500</v>
      </c>
      <c r="C74" s="43"/>
      <c r="D74" s="34"/>
      <c r="E74" s="41"/>
      <c r="F74" s="39"/>
      <c r="G74" s="40"/>
      <c r="H74" s="39"/>
      <c r="I74" s="40"/>
      <c r="J74" s="39"/>
      <c r="K74" s="37"/>
      <c r="L74" s="38"/>
      <c r="M74" s="57"/>
      <c r="N74" s="60"/>
      <c r="O74" s="35"/>
      <c r="P74" s="72"/>
      <c r="Q74" s="72"/>
      <c r="R74" s="73"/>
    </row>
    <row r="75" spans="1:18" x14ac:dyDescent="0.25">
      <c r="A75" s="44"/>
      <c r="B75" s="44"/>
      <c r="C75" s="43"/>
      <c r="D75" s="34"/>
      <c r="E75" s="41"/>
      <c r="F75" s="39"/>
      <c r="G75" s="40"/>
      <c r="H75" s="39"/>
      <c r="I75" s="40"/>
      <c r="J75" s="39"/>
      <c r="K75" s="37">
        <f t="shared" si="0"/>
        <v>0</v>
      </c>
      <c r="L75" s="38">
        <f t="shared" si="1"/>
        <v>0</v>
      </c>
      <c r="M75" s="57">
        <f t="shared" si="2"/>
        <v>0</v>
      </c>
      <c r="N75" s="60">
        <f t="shared" si="3"/>
        <v>0</v>
      </c>
      <c r="O75" s="35">
        <f t="shared" si="4"/>
        <v>0</v>
      </c>
      <c r="P75" s="72">
        <f t="shared" si="5"/>
        <v>0</v>
      </c>
      <c r="Q75" s="72">
        <f t="shared" si="6"/>
        <v>0</v>
      </c>
      <c r="R75" s="73">
        <f t="shared" si="7"/>
        <v>0</v>
      </c>
    </row>
    <row r="76" spans="1:18" x14ac:dyDescent="0.25">
      <c r="A76" s="44"/>
      <c r="B76" s="44"/>
      <c r="C76" s="43"/>
      <c r="D76" s="34"/>
      <c r="E76" s="41"/>
      <c r="F76" s="39"/>
      <c r="G76" s="40"/>
      <c r="H76" s="39"/>
      <c r="I76" s="40"/>
      <c r="J76" s="39"/>
      <c r="K76" s="37"/>
      <c r="L76" s="38"/>
      <c r="M76" s="57"/>
      <c r="N76" s="60"/>
      <c r="O76" s="35"/>
      <c r="P76" s="72"/>
      <c r="Q76" s="72"/>
      <c r="R76" s="73"/>
    </row>
    <row r="77" spans="1:18" x14ac:dyDescent="0.25">
      <c r="A77" s="44"/>
      <c r="B77" s="44"/>
      <c r="C77" s="43"/>
      <c r="D77" s="34"/>
      <c r="E77" s="41"/>
      <c r="F77" s="39"/>
      <c r="G77" s="40"/>
      <c r="H77" s="39"/>
      <c r="I77" s="40"/>
      <c r="J77" s="39"/>
      <c r="K77" s="37">
        <f t="shared" si="0"/>
        <v>0</v>
      </c>
      <c r="L77" s="38">
        <f t="shared" si="1"/>
        <v>0</v>
      </c>
      <c r="M77" s="57">
        <f t="shared" si="2"/>
        <v>0</v>
      </c>
      <c r="N77" s="60">
        <f t="shared" si="3"/>
        <v>0</v>
      </c>
      <c r="O77" s="35">
        <f t="shared" si="4"/>
        <v>0</v>
      </c>
      <c r="P77" s="72">
        <f t="shared" si="5"/>
        <v>0</v>
      </c>
      <c r="Q77" s="72">
        <f t="shared" si="6"/>
        <v>0</v>
      </c>
      <c r="R77" s="73">
        <f t="shared" si="7"/>
        <v>0</v>
      </c>
    </row>
    <row r="78" spans="1:18" x14ac:dyDescent="0.25">
      <c r="A78" s="43"/>
      <c r="B78" s="43"/>
      <c r="C78" s="43"/>
      <c r="D78" s="34"/>
      <c r="E78" s="41"/>
      <c r="F78" s="39"/>
      <c r="G78" s="40"/>
      <c r="H78" s="39"/>
      <c r="I78" s="40"/>
      <c r="J78" s="39"/>
      <c r="K78" s="37"/>
      <c r="L78" s="38"/>
      <c r="M78" s="57"/>
      <c r="N78" s="60"/>
      <c r="O78" s="35"/>
      <c r="P78" s="72"/>
      <c r="Q78" s="72"/>
      <c r="R78" s="73"/>
    </row>
    <row r="79" spans="1:18" x14ac:dyDescent="0.25">
      <c r="A79" s="43"/>
      <c r="B79" s="43"/>
      <c r="C79" s="43"/>
      <c r="D79" s="34"/>
      <c r="E79" s="41"/>
      <c r="F79" s="39"/>
      <c r="G79" s="40"/>
      <c r="H79" s="39"/>
      <c r="I79" s="40"/>
      <c r="J79" s="39"/>
      <c r="K79" s="37"/>
      <c r="L79" s="38"/>
      <c r="M79" s="57"/>
      <c r="N79" s="60"/>
      <c r="O79" s="35"/>
      <c r="P79" s="72"/>
      <c r="Q79" s="72"/>
      <c r="R79" s="73"/>
    </row>
    <row r="80" spans="1:18" x14ac:dyDescent="0.25">
      <c r="A80" s="43"/>
      <c r="B80" s="43"/>
      <c r="C80" s="43"/>
      <c r="D80" s="34"/>
      <c r="E80" s="41"/>
      <c r="F80" s="39"/>
      <c r="G80" s="40"/>
      <c r="H80" s="39"/>
      <c r="I80" s="40"/>
      <c r="J80" s="39"/>
      <c r="K80" s="37"/>
      <c r="L80" s="38"/>
      <c r="M80" s="57"/>
      <c r="N80" s="60"/>
      <c r="O80" s="35"/>
      <c r="P80" s="72"/>
      <c r="Q80" s="72"/>
      <c r="R80" s="73"/>
    </row>
    <row r="81" spans="1:18" x14ac:dyDescent="0.25">
      <c r="A81" s="43"/>
      <c r="B81" s="43"/>
      <c r="C81" s="43"/>
      <c r="D81" s="34"/>
      <c r="E81" s="41"/>
      <c r="F81" s="39"/>
      <c r="G81" s="40"/>
      <c r="H81" s="39"/>
      <c r="I81" s="40"/>
      <c r="J81" s="39"/>
      <c r="K81" s="37"/>
      <c r="L81" s="38"/>
      <c r="M81" s="57"/>
      <c r="N81" s="60"/>
      <c r="O81" s="35"/>
      <c r="P81" s="72"/>
      <c r="Q81" s="72"/>
      <c r="R81" s="73"/>
    </row>
    <row r="82" spans="1:18" x14ac:dyDescent="0.25">
      <c r="A82" s="43"/>
      <c r="B82" s="43"/>
      <c r="C82" s="43"/>
      <c r="D82" s="34"/>
      <c r="E82" s="41"/>
      <c r="F82" s="39"/>
      <c r="G82" s="40"/>
      <c r="H82" s="39"/>
      <c r="I82" s="40"/>
      <c r="J82" s="39"/>
      <c r="K82" s="37"/>
      <c r="L82" s="38"/>
      <c r="M82" s="57"/>
      <c r="N82" s="60"/>
      <c r="O82" s="35"/>
      <c r="P82" s="72"/>
      <c r="Q82" s="72"/>
      <c r="R82" s="73"/>
    </row>
    <row r="83" spans="1:18" x14ac:dyDescent="0.25">
      <c r="A83" s="43"/>
      <c r="B83" s="43"/>
      <c r="C83" s="43"/>
      <c r="D83" s="34"/>
      <c r="E83" s="41"/>
      <c r="F83" s="39"/>
      <c r="G83" s="40"/>
      <c r="H83" s="39"/>
      <c r="I83" s="40"/>
      <c r="J83" s="39"/>
      <c r="K83" s="37"/>
      <c r="L83" s="38"/>
      <c r="M83" s="57"/>
      <c r="N83" s="60"/>
      <c r="O83" s="35"/>
      <c r="P83" s="72"/>
      <c r="Q83" s="72"/>
      <c r="R83" s="73"/>
    </row>
    <row r="84" spans="1:18" x14ac:dyDescent="0.25">
      <c r="A84" s="43"/>
      <c r="B84" s="43"/>
      <c r="C84" s="43"/>
      <c r="D84" s="34"/>
      <c r="E84" s="41"/>
      <c r="F84" s="39"/>
      <c r="G84" s="40"/>
      <c r="H84" s="39"/>
      <c r="I84" s="40"/>
      <c r="J84" s="39"/>
      <c r="K84" s="37"/>
      <c r="L84" s="38"/>
      <c r="M84" s="57"/>
      <c r="N84" s="60"/>
      <c r="O84" s="35"/>
      <c r="P84" s="72"/>
      <c r="Q84" s="72"/>
      <c r="R84" s="73"/>
    </row>
    <row r="85" spans="1:18" x14ac:dyDescent="0.25">
      <c r="A85" s="43"/>
      <c r="B85" s="43"/>
      <c r="C85" s="43"/>
      <c r="D85" s="34"/>
      <c r="E85" s="41"/>
      <c r="F85" s="39"/>
      <c r="G85" s="40"/>
      <c r="H85" s="39"/>
      <c r="I85" s="40"/>
      <c r="J85" s="39"/>
      <c r="K85" s="37"/>
      <c r="L85" s="38"/>
      <c r="M85" s="57"/>
      <c r="N85" s="60"/>
      <c r="O85" s="35"/>
      <c r="P85" s="72"/>
      <c r="Q85" s="72"/>
      <c r="R85" s="73"/>
    </row>
    <row r="86" spans="1:18" x14ac:dyDescent="0.25">
      <c r="A86" s="43"/>
      <c r="B86" s="43"/>
      <c r="C86" s="43"/>
      <c r="D86" s="34"/>
      <c r="E86" s="41"/>
      <c r="F86" s="39"/>
      <c r="G86" s="40"/>
      <c r="H86" s="39"/>
      <c r="I86" s="40"/>
      <c r="J86" s="39"/>
      <c r="K86" s="37"/>
      <c r="L86" s="38"/>
      <c r="M86" s="57"/>
      <c r="N86" s="60"/>
      <c r="O86" s="35"/>
      <c r="P86" s="72"/>
      <c r="Q86" s="72"/>
      <c r="R86" s="73"/>
    </row>
    <row r="87" spans="1:18" x14ac:dyDescent="0.25">
      <c r="A87" s="43"/>
      <c r="B87" s="43"/>
      <c r="C87" s="43"/>
      <c r="D87" s="34"/>
      <c r="E87" s="41"/>
      <c r="F87" s="39"/>
      <c r="G87" s="40"/>
      <c r="H87" s="39"/>
      <c r="I87" s="40"/>
      <c r="J87" s="39"/>
      <c r="K87" s="37"/>
      <c r="L87" s="38"/>
      <c r="M87" s="57"/>
      <c r="N87" s="60"/>
      <c r="O87" s="35"/>
      <c r="P87" s="72"/>
      <c r="Q87" s="72"/>
      <c r="R87" s="73"/>
    </row>
    <row r="88" spans="1:18" x14ac:dyDescent="0.25">
      <c r="A88" s="43"/>
      <c r="B88" s="43"/>
      <c r="C88" s="43"/>
      <c r="D88" s="34"/>
      <c r="E88" s="41"/>
      <c r="F88" s="39"/>
      <c r="G88" s="40"/>
      <c r="H88" s="39"/>
      <c r="I88" s="40"/>
      <c r="J88" s="39"/>
      <c r="K88" s="37"/>
      <c r="L88" s="38"/>
      <c r="M88" s="57"/>
      <c r="N88" s="60"/>
      <c r="O88" s="35"/>
      <c r="P88" s="72"/>
      <c r="Q88" s="72"/>
      <c r="R88" s="73"/>
    </row>
    <row r="89" spans="1:18" x14ac:dyDescent="0.25">
      <c r="A89" s="43"/>
      <c r="B89" s="43"/>
      <c r="C89" s="43"/>
      <c r="D89" s="34"/>
      <c r="E89" s="41"/>
      <c r="F89" s="39"/>
      <c r="G89" s="40"/>
      <c r="H89" s="39"/>
      <c r="I89" s="40"/>
      <c r="J89" s="39"/>
      <c r="K89" s="37"/>
      <c r="L89" s="38"/>
      <c r="M89" s="57"/>
      <c r="N89" s="60"/>
      <c r="O89" s="35"/>
      <c r="P89" s="72"/>
      <c r="Q89" s="72"/>
      <c r="R89" s="73"/>
    </row>
    <row r="90" spans="1:18" x14ac:dyDescent="0.25">
      <c r="A90" s="43"/>
      <c r="B90" s="43"/>
      <c r="C90" s="43"/>
      <c r="D90" s="34"/>
      <c r="E90" s="41"/>
      <c r="F90" s="39"/>
      <c r="G90" s="40"/>
      <c r="H90" s="39"/>
      <c r="I90" s="40"/>
      <c r="J90" s="39"/>
      <c r="K90" s="37"/>
      <c r="L90" s="38"/>
      <c r="M90" s="57"/>
      <c r="N90" s="60"/>
      <c r="O90" s="35"/>
      <c r="P90" s="72"/>
      <c r="Q90" s="72"/>
      <c r="R90" s="73"/>
    </row>
    <row r="91" spans="1:18" x14ac:dyDescent="0.25">
      <c r="A91" s="42"/>
      <c r="B91" s="42"/>
      <c r="C91" s="42"/>
      <c r="D91" s="34"/>
      <c r="E91" s="41"/>
      <c r="F91" s="39"/>
      <c r="G91" s="40"/>
      <c r="H91" s="39"/>
      <c r="I91" s="40"/>
      <c r="J91" s="39"/>
      <c r="K91" s="37"/>
      <c r="L91" s="38"/>
      <c r="M91" s="57"/>
      <c r="N91" s="60"/>
      <c r="O91" s="35"/>
      <c r="P91" s="72"/>
      <c r="Q91" s="72"/>
      <c r="R91" s="73"/>
    </row>
    <row r="92" spans="1:18" x14ac:dyDescent="0.25">
      <c r="G92" s="514" t="s">
        <v>170</v>
      </c>
      <c r="H92" s="514"/>
      <c r="I92" s="23">
        <f>SUM(J13:J77)</f>
        <v>0</v>
      </c>
    </row>
    <row r="93" spans="1:18" x14ac:dyDescent="0.25">
      <c r="G93" s="514" t="s">
        <v>169</v>
      </c>
      <c r="H93" s="514"/>
      <c r="I93">
        <f>I92*D3</f>
        <v>0</v>
      </c>
    </row>
  </sheetData>
  <mergeCells count="4">
    <mergeCell ref="A1:B1"/>
    <mergeCell ref="E5:I5"/>
    <mergeCell ref="G92:H92"/>
    <mergeCell ref="G93:H93"/>
  </mergeCells>
  <pageMargins left="1.2" right="0.7" top="0.75" bottom="0.75" header="0.3" footer="0.3"/>
  <pageSetup scale="57"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XFD30"/>
  <sheetViews>
    <sheetView workbookViewId="0">
      <pane xSplit="1" topLeftCell="D1" activePane="topRight" state="frozen"/>
      <selection pane="topRight" activeCell="H22" sqref="H22"/>
    </sheetView>
  </sheetViews>
  <sheetFormatPr defaultRowHeight="15" x14ac:dyDescent="0.25"/>
  <cols>
    <col min="1" max="1" width="35.7109375" bestFit="1" customWidth="1"/>
    <col min="2" max="11" width="26" style="17" bestFit="1" customWidth="1"/>
  </cols>
  <sheetData>
    <row r="2" spans="1:11 16384:16384" x14ac:dyDescent="0.25">
      <c r="A2" s="318" t="s">
        <v>134</v>
      </c>
      <c r="B2" s="163" t="e">
        <f>TestSummary!#REF!</f>
        <v>#REF!</v>
      </c>
      <c r="C2" s="163" t="e">
        <f>TestSummary!#REF!</f>
        <v>#REF!</v>
      </c>
      <c r="D2" s="163" t="e">
        <f>TestSummary!#REF!</f>
        <v>#REF!</v>
      </c>
      <c r="E2" s="163" t="e">
        <f>TestSummary!#REF!</f>
        <v>#REF!</v>
      </c>
      <c r="F2" s="163" t="e">
        <f>TestSummary!#REF!</f>
        <v>#REF!</v>
      </c>
      <c r="G2" s="163" t="e">
        <f>TestSummary!#REF!</f>
        <v>#REF!</v>
      </c>
      <c r="H2" s="163" t="e">
        <f>TestSummary!#REF!</f>
        <v>#REF!</v>
      </c>
      <c r="I2" s="163" t="e">
        <f>TestSummary!#REF!</f>
        <v>#REF!</v>
      </c>
      <c r="J2" s="321" t="e">
        <f>TestSummary!#REF!</f>
        <v>#REF!</v>
      </c>
      <c r="K2" s="321" t="e">
        <f>TestSummary!#REF!</f>
        <v>#REF!</v>
      </c>
    </row>
    <row r="3" spans="1:11 16384:16384" x14ac:dyDescent="0.25">
      <c r="A3" s="318" t="s">
        <v>387</v>
      </c>
      <c r="B3" s="243" t="e">
        <f>TestSummary!#REF!</f>
        <v>#REF!</v>
      </c>
      <c r="C3" s="243" t="e">
        <f>TestSummary!#REF!</f>
        <v>#REF!</v>
      </c>
      <c r="D3" s="243" t="e">
        <f>TestSummary!#REF!</f>
        <v>#REF!</v>
      </c>
      <c r="E3" s="243" t="e">
        <f>TestSummary!#REF!</f>
        <v>#REF!</v>
      </c>
      <c r="F3" s="243" t="e">
        <f>TestSummary!#REF!</f>
        <v>#REF!</v>
      </c>
      <c r="G3" s="243" t="e">
        <f>TestSummary!#REF!</f>
        <v>#REF!</v>
      </c>
      <c r="H3" s="243" t="e">
        <f>TestSummary!#REF!</f>
        <v>#REF!</v>
      </c>
      <c r="I3" s="243" t="e">
        <f>TestSummary!#REF!</f>
        <v>#REF!</v>
      </c>
      <c r="J3" s="322" t="e">
        <f>TestSummary!#REF!</f>
        <v>#REF!</v>
      </c>
      <c r="K3" s="322" t="e">
        <f>TestSummary!#REF!</f>
        <v>#REF!</v>
      </c>
    </row>
    <row r="4" spans="1:11 16384:16384" x14ac:dyDescent="0.25">
      <c r="A4" s="318" t="s">
        <v>392</v>
      </c>
      <c r="B4" s="17">
        <v>23</v>
      </c>
      <c r="C4" s="17">
        <v>23</v>
      </c>
      <c r="D4" s="17">
        <v>23</v>
      </c>
      <c r="E4" s="17">
        <v>35</v>
      </c>
      <c r="F4" s="17">
        <v>-7</v>
      </c>
      <c r="G4" s="17">
        <v>-7</v>
      </c>
      <c r="H4" s="17">
        <v>-17</v>
      </c>
      <c r="I4" s="17">
        <v>-17</v>
      </c>
      <c r="J4" s="317">
        <v>23</v>
      </c>
      <c r="K4" s="317">
        <v>23</v>
      </c>
    </row>
    <row r="5" spans="1:11 16384:16384" x14ac:dyDescent="0.25">
      <c r="A5" s="318" t="s">
        <v>388</v>
      </c>
      <c r="B5" s="17" t="s">
        <v>521</v>
      </c>
      <c r="C5" s="17" t="s">
        <v>521</v>
      </c>
      <c r="D5" s="17" t="s">
        <v>521</v>
      </c>
      <c r="E5" s="17" t="s">
        <v>521</v>
      </c>
      <c r="F5" s="17" t="s">
        <v>521</v>
      </c>
      <c r="G5" s="17" t="s">
        <v>521</v>
      </c>
      <c r="H5" s="17" t="s">
        <v>521</v>
      </c>
      <c r="I5" s="17" t="s">
        <v>521</v>
      </c>
      <c r="J5" s="317" t="s">
        <v>521</v>
      </c>
      <c r="K5" s="317" t="s">
        <v>521</v>
      </c>
    </row>
    <row r="6" spans="1:11 16384:16384" x14ac:dyDescent="0.25">
      <c r="A6" s="318" t="s">
        <v>80</v>
      </c>
      <c r="J6" s="317"/>
      <c r="K6" s="317"/>
    </row>
    <row r="7" spans="1:11 16384:16384" x14ac:dyDescent="0.25">
      <c r="A7" s="318" t="s">
        <v>102</v>
      </c>
      <c r="B7" s="17" t="s">
        <v>389</v>
      </c>
      <c r="C7" s="17" t="s">
        <v>389</v>
      </c>
      <c r="D7" s="17" t="s">
        <v>389</v>
      </c>
      <c r="E7" s="17" t="s">
        <v>389</v>
      </c>
      <c r="F7" s="17" t="s">
        <v>389</v>
      </c>
      <c r="G7" s="17" t="s">
        <v>389</v>
      </c>
      <c r="H7" s="17" t="s">
        <v>389</v>
      </c>
      <c r="I7" s="17" t="s">
        <v>389</v>
      </c>
      <c r="J7" s="317" t="s">
        <v>389</v>
      </c>
      <c r="K7" s="317" t="s">
        <v>389</v>
      </c>
    </row>
    <row r="8" spans="1:11 16384:16384" x14ac:dyDescent="0.25">
      <c r="A8" s="318" t="s">
        <v>390</v>
      </c>
      <c r="B8" s="17">
        <v>2</v>
      </c>
      <c r="C8" s="17">
        <v>2</v>
      </c>
      <c r="D8" s="17">
        <v>1</v>
      </c>
      <c r="E8" s="17">
        <v>2</v>
      </c>
      <c r="F8" s="17">
        <v>2</v>
      </c>
      <c r="G8" s="17">
        <v>2</v>
      </c>
      <c r="H8" s="17">
        <v>2</v>
      </c>
      <c r="I8" s="17">
        <v>2</v>
      </c>
      <c r="J8" s="317">
        <v>2</v>
      </c>
      <c r="K8" s="317">
        <v>2</v>
      </c>
    </row>
    <row r="9" spans="1:11 16384:16384" x14ac:dyDescent="0.25">
      <c r="A9" s="318" t="s">
        <v>391</v>
      </c>
      <c r="B9" s="17" t="s">
        <v>522</v>
      </c>
      <c r="C9" s="17" t="s">
        <v>522</v>
      </c>
      <c r="D9" s="17" t="s">
        <v>535</v>
      </c>
      <c r="E9" s="17" t="s">
        <v>522</v>
      </c>
      <c r="F9" s="17" t="s">
        <v>522</v>
      </c>
      <c r="G9" s="17" t="s">
        <v>522</v>
      </c>
      <c r="H9" s="17" t="s">
        <v>522</v>
      </c>
      <c r="I9" s="17" t="s">
        <v>522</v>
      </c>
      <c r="J9" s="317" t="s">
        <v>522</v>
      </c>
      <c r="K9" s="317" t="s">
        <v>522</v>
      </c>
    </row>
    <row r="10" spans="1:11 16384:16384" x14ac:dyDescent="0.25">
      <c r="A10" s="318" t="s">
        <v>393</v>
      </c>
      <c r="B10" s="17">
        <v>23</v>
      </c>
      <c r="C10" s="17">
        <v>23</v>
      </c>
      <c r="D10" s="17">
        <v>23</v>
      </c>
      <c r="E10" s="17">
        <v>35</v>
      </c>
      <c r="F10" s="17">
        <v>-7</v>
      </c>
      <c r="G10" s="17">
        <v>-17</v>
      </c>
      <c r="H10" s="17">
        <v>-7</v>
      </c>
      <c r="I10" s="17">
        <v>-17</v>
      </c>
      <c r="J10" s="317">
        <v>23</v>
      </c>
      <c r="K10" s="317">
        <v>23</v>
      </c>
    </row>
    <row r="11" spans="1:11 16384:16384" x14ac:dyDescent="0.25">
      <c r="A11" s="318" t="s">
        <v>497</v>
      </c>
      <c r="B11" s="243" t="e">
        <f>TestSummary!#REF!</f>
        <v>#REF!</v>
      </c>
      <c r="C11" s="243" t="e">
        <f>TestSummary!#REF!</f>
        <v>#REF!</v>
      </c>
      <c r="D11" s="243" t="e">
        <f>TestSummary!#REF!</f>
        <v>#REF!</v>
      </c>
      <c r="E11" s="243" t="e">
        <f>TestSummary!#REF!</f>
        <v>#REF!</v>
      </c>
      <c r="F11" s="243" t="e">
        <f>TestSummary!#REF!</f>
        <v>#REF!</v>
      </c>
      <c r="G11" s="243" t="e">
        <f>TestSummary!#REF!</f>
        <v>#REF!</v>
      </c>
      <c r="H11" s="243" t="e">
        <f>TestSummary!#REF!</f>
        <v>#REF!</v>
      </c>
      <c r="I11" s="243" t="e">
        <f>TestSummary!#REF!</f>
        <v>#REF!</v>
      </c>
      <c r="J11" s="322" t="e">
        <f>TestSummary!#REF!</f>
        <v>#REF!</v>
      </c>
      <c r="K11" s="322" t="e">
        <f>TestSummary!#REF!</f>
        <v>#REF!</v>
      </c>
    </row>
    <row r="12" spans="1:11 16384:16384" x14ac:dyDescent="0.25">
      <c r="A12" s="318" t="s">
        <v>498</v>
      </c>
      <c r="B12" s="243" t="e">
        <f>TestSummary!#REF!</f>
        <v>#REF!</v>
      </c>
      <c r="C12" s="243" t="e">
        <f>TestSummary!#REF!</f>
        <v>#REF!</v>
      </c>
      <c r="D12" s="243" t="e">
        <f>TestSummary!#REF!</f>
        <v>#REF!</v>
      </c>
      <c r="E12" s="243" t="e">
        <f>TestSummary!#REF!</f>
        <v>#REF!</v>
      </c>
      <c r="F12" s="243" t="e">
        <f>TestSummary!#REF!</f>
        <v>#REF!</v>
      </c>
      <c r="G12" s="243" t="e">
        <f>TestSummary!#REF!</f>
        <v>#REF!</v>
      </c>
      <c r="H12" s="243" t="e">
        <f>TestSummary!#REF!</f>
        <v>#REF!</v>
      </c>
      <c r="I12" s="243" t="e">
        <f>TestSummary!#REF!</f>
        <v>#REF!</v>
      </c>
      <c r="J12" s="322" t="e">
        <f>TestSummary!#REF!</f>
        <v>#REF!</v>
      </c>
      <c r="K12" s="322" t="e">
        <f>TestSummary!#REF!</f>
        <v>#REF!</v>
      </c>
    </row>
    <row r="13" spans="1:11 16384:16384" x14ac:dyDescent="0.25">
      <c r="A13" s="318" t="s">
        <v>530</v>
      </c>
      <c r="B13" s="243"/>
      <c r="C13" s="243" t="e">
        <f>TestSummary!#REF!</f>
        <v>#REF!</v>
      </c>
      <c r="D13" s="243" t="e">
        <f>TestSummary!#REF!</f>
        <v>#REF!</v>
      </c>
      <c r="E13" s="243" t="e">
        <f>TestSummary!#REF!</f>
        <v>#REF!</v>
      </c>
      <c r="F13" s="243" t="e">
        <f>TestSummary!#REF!</f>
        <v>#REF!</v>
      </c>
      <c r="G13" s="243" t="e">
        <f>TestSummary!#REF!</f>
        <v>#REF!</v>
      </c>
      <c r="H13" s="243" t="e">
        <f>TestSummary!#REF!</f>
        <v>#REF!</v>
      </c>
      <c r="I13" s="243" t="e">
        <f>TestSummary!#REF!</f>
        <v>#REF!</v>
      </c>
      <c r="J13" s="322"/>
      <c r="K13" s="322"/>
      <c r="XFD13" s="243"/>
    </row>
    <row r="14" spans="1:11 16384:16384" x14ac:dyDescent="0.25">
      <c r="A14" s="318" t="s">
        <v>529</v>
      </c>
      <c r="B14" s="243" t="e">
        <f>TestSummary!#REF!</f>
        <v>#REF!</v>
      </c>
      <c r="C14" s="243" t="e">
        <f>TestSummary!#REF!</f>
        <v>#REF!</v>
      </c>
      <c r="D14" s="243" t="e">
        <f>TestSummary!#REF!</f>
        <v>#REF!</v>
      </c>
      <c r="E14" s="243" t="e">
        <f>TestSummary!#REF!</f>
        <v>#REF!</v>
      </c>
      <c r="F14" s="243" t="e">
        <f>TestSummary!#REF!</f>
        <v>#REF!</v>
      </c>
      <c r="G14" s="243" t="e">
        <f>TestSummary!#REF!</f>
        <v>#REF!</v>
      </c>
      <c r="H14" s="243" t="e">
        <f>TestSummary!#REF!</f>
        <v>#REF!</v>
      </c>
      <c r="I14" s="243" t="e">
        <f>TestSummary!#REF!</f>
        <v>#REF!</v>
      </c>
      <c r="J14" s="322" t="e">
        <f>TestSummary!#REF!</f>
        <v>#REF!</v>
      </c>
      <c r="K14" s="322" t="e">
        <f>TestSummary!#REF!</f>
        <v>#REF!</v>
      </c>
    </row>
    <row r="15" spans="1:11 16384:16384" x14ac:dyDescent="0.25">
      <c r="A15" s="318" t="s">
        <v>524</v>
      </c>
      <c r="B15" s="17" t="e">
        <f>TestSummary!#REF!</f>
        <v>#REF!</v>
      </c>
      <c r="C15" s="17" t="e">
        <f>TestSummary!#REF!</f>
        <v>#REF!</v>
      </c>
      <c r="D15" s="17" t="e">
        <f>TestSummary!#REF!</f>
        <v>#REF!</v>
      </c>
      <c r="E15" s="17" t="e">
        <f>TestSummary!#REF!</f>
        <v>#REF!</v>
      </c>
      <c r="F15" s="17" t="e">
        <f>TestSummary!#REF!</f>
        <v>#REF!</v>
      </c>
      <c r="G15" s="17" t="e">
        <f>TestSummary!#REF!</f>
        <v>#REF!</v>
      </c>
      <c r="H15" s="17" t="e">
        <f>TestSummary!#REF!</f>
        <v>#REF!</v>
      </c>
      <c r="I15" s="17" t="e">
        <f>TestSummary!#REF!</f>
        <v>#REF!</v>
      </c>
      <c r="J15" s="317" t="e">
        <f>TestSummary!#REF!</f>
        <v>#REF!</v>
      </c>
      <c r="K15" s="317" t="e">
        <f>TestSummary!#REF!</f>
        <v>#REF!</v>
      </c>
    </row>
    <row r="16" spans="1:11 16384:16384" x14ac:dyDescent="0.25">
      <c r="A16" s="318" t="s">
        <v>523</v>
      </c>
      <c r="B16" s="17" t="e">
        <f>TestSummary!#REF!</f>
        <v>#REF!</v>
      </c>
      <c r="C16" s="17" t="e">
        <f>TestSummary!#REF!</f>
        <v>#REF!</v>
      </c>
      <c r="D16" s="17" t="e">
        <f>TestSummary!#REF!</f>
        <v>#REF!</v>
      </c>
      <c r="E16" s="17" t="e">
        <f>TestSummary!#REF!</f>
        <v>#REF!</v>
      </c>
      <c r="F16" s="17" t="e">
        <f>TestSummary!#REF!</f>
        <v>#REF!</v>
      </c>
      <c r="G16" s="17" t="e">
        <f>TestSummary!#REF!</f>
        <v>#REF!</v>
      </c>
      <c r="H16" s="17" t="e">
        <f>TestSummary!#REF!</f>
        <v>#REF!</v>
      </c>
      <c r="I16" s="17" t="e">
        <f>TestSummary!#REF!</f>
        <v>#REF!</v>
      </c>
      <c r="J16" s="317" t="e">
        <f>TestSummary!#REF!</f>
        <v>#REF!</v>
      </c>
      <c r="K16" s="317" t="e">
        <f>TestSummary!#REF!</f>
        <v>#REF!</v>
      </c>
    </row>
    <row r="17" spans="1:11 16384:16384" x14ac:dyDescent="0.25">
      <c r="A17" s="318" t="s">
        <v>525</v>
      </c>
      <c r="B17" s="17" t="e">
        <f>TestSummary!#REF!</f>
        <v>#REF!</v>
      </c>
      <c r="C17" s="17" t="e">
        <f>TestSummary!#REF!</f>
        <v>#REF!</v>
      </c>
      <c r="D17" s="17" t="e">
        <f>TestSummary!#REF!</f>
        <v>#REF!</v>
      </c>
      <c r="E17" s="17" t="e">
        <f>TestSummary!#REF!</f>
        <v>#REF!</v>
      </c>
      <c r="F17" s="17" t="e">
        <f>TestSummary!#REF!</f>
        <v>#REF!</v>
      </c>
      <c r="G17" s="17" t="e">
        <f>TestSummary!#REF!</f>
        <v>#REF!</v>
      </c>
      <c r="H17" s="17" t="e">
        <f>TestSummary!#REF!</f>
        <v>#REF!</v>
      </c>
      <c r="I17" s="17" t="e">
        <f>TestSummary!#REF!</f>
        <v>#REF!</v>
      </c>
      <c r="J17" s="317" t="e">
        <f>TestSummary!#REF!</f>
        <v>#REF!</v>
      </c>
      <c r="K17" s="317" t="e">
        <f>TestSummary!#REF!</f>
        <v>#REF!</v>
      </c>
    </row>
    <row r="18" spans="1:11 16384:16384" x14ac:dyDescent="0.25">
      <c r="A18" s="318" t="s">
        <v>526</v>
      </c>
      <c r="B18" s="17" t="e">
        <f>TestSummary!#REF!</f>
        <v>#REF!</v>
      </c>
      <c r="C18" s="17" t="e">
        <f>TestSummary!#REF!</f>
        <v>#REF!</v>
      </c>
      <c r="D18" s="17" t="e">
        <f>TestSummary!#REF!</f>
        <v>#REF!</v>
      </c>
      <c r="E18" s="17" t="e">
        <f>TestSummary!#REF!</f>
        <v>#REF!</v>
      </c>
      <c r="F18" s="17" t="e">
        <f>TestSummary!#REF!</f>
        <v>#REF!</v>
      </c>
      <c r="G18" s="17" t="e">
        <f>TestSummary!#REF!</f>
        <v>#REF!</v>
      </c>
      <c r="H18" s="17" t="e">
        <f>TestSummary!#REF!</f>
        <v>#REF!</v>
      </c>
      <c r="I18" s="17" t="e">
        <f>TestSummary!#REF!</f>
        <v>#REF!</v>
      </c>
      <c r="J18" s="317" t="e">
        <f>TestSummary!#REF!</f>
        <v>#REF!</v>
      </c>
      <c r="K18" s="317" t="e">
        <f>TestSummary!#REF!</f>
        <v>#REF!</v>
      </c>
    </row>
    <row r="19" spans="1:11 16384:16384" x14ac:dyDescent="0.25">
      <c r="A19" s="318" t="s">
        <v>528</v>
      </c>
      <c r="B19" s="17" t="e">
        <f>TestSummary!#REF!</f>
        <v>#REF!</v>
      </c>
      <c r="C19" s="17" t="e">
        <f>TestSummary!#REF!</f>
        <v>#REF!</v>
      </c>
      <c r="D19" s="17" t="e">
        <f>TestSummary!#REF!</f>
        <v>#REF!</v>
      </c>
      <c r="E19" s="17" t="e">
        <f>TestSummary!#REF!</f>
        <v>#REF!</v>
      </c>
      <c r="F19" s="17" t="e">
        <f>TestSummary!#REF!</f>
        <v>#REF!</v>
      </c>
      <c r="G19" s="17" t="e">
        <f>TestSummary!#REF!</f>
        <v>#REF!</v>
      </c>
      <c r="H19" s="17" t="e">
        <f>TestSummary!#REF!</f>
        <v>#REF!</v>
      </c>
      <c r="I19" s="17" t="e">
        <f>TestSummary!#REF!</f>
        <v>#REF!</v>
      </c>
      <c r="J19" s="317" t="e">
        <f>TestSummary!#REF!</f>
        <v>#REF!</v>
      </c>
      <c r="K19" s="317" t="e">
        <f>TestSummary!#REF!</f>
        <v>#REF!</v>
      </c>
    </row>
    <row r="20" spans="1:11 16384:16384" x14ac:dyDescent="0.25">
      <c r="A20" s="318" t="s">
        <v>527</v>
      </c>
      <c r="B20" s="17" t="e">
        <f>TestSummary!#REF!</f>
        <v>#REF!</v>
      </c>
      <c r="C20" s="17" t="e">
        <f>TestSummary!#REF!</f>
        <v>#REF!</v>
      </c>
      <c r="D20" s="17" t="e">
        <f>TestSummary!#REF!</f>
        <v>#REF!</v>
      </c>
      <c r="E20" s="17" t="e">
        <f>TestSummary!#REF!</f>
        <v>#REF!</v>
      </c>
      <c r="F20" s="17" t="e">
        <f>TestSummary!#REF!</f>
        <v>#REF!</v>
      </c>
      <c r="G20" s="17" t="e">
        <f>TestSummary!#REF!</f>
        <v>#REF!</v>
      </c>
      <c r="H20" s="17" t="e">
        <f>TestSummary!#REF!</f>
        <v>#REF!</v>
      </c>
      <c r="I20" s="17" t="e">
        <f>TestSummary!#REF!</f>
        <v>#REF!</v>
      </c>
      <c r="J20" s="317" t="e">
        <f>TestSummary!#REF!</f>
        <v>#REF!</v>
      </c>
      <c r="K20" s="317" t="e">
        <f>TestSummary!#REF!</f>
        <v>#REF!</v>
      </c>
    </row>
    <row r="21" spans="1:11 16384:16384" x14ac:dyDescent="0.25">
      <c r="A21" s="318" t="s">
        <v>407</v>
      </c>
      <c r="B21" s="17" t="e">
        <f>TestSummary!#REF!</f>
        <v>#REF!</v>
      </c>
      <c r="C21" s="17" t="e">
        <f>TestSummary!#REF!</f>
        <v>#REF!</v>
      </c>
      <c r="D21" s="17" t="e">
        <f>TestSummary!#REF!</f>
        <v>#REF!</v>
      </c>
      <c r="E21" s="17" t="e">
        <f>TestSummary!#REF!</f>
        <v>#REF!</v>
      </c>
      <c r="F21" s="17" t="e">
        <f>TestSummary!#REF!</f>
        <v>#REF!</v>
      </c>
      <c r="G21" s="17" t="e">
        <f>TestSummary!#REF!</f>
        <v>#REF!</v>
      </c>
      <c r="H21" s="17" t="e">
        <f>TestSummary!#REF!</f>
        <v>#REF!</v>
      </c>
      <c r="I21" s="17" t="e">
        <f>TestSummary!#REF!</f>
        <v>#REF!</v>
      </c>
      <c r="J21" s="317" t="e">
        <f>TestSummary!#REF!</f>
        <v>#REF!</v>
      </c>
      <c r="K21" s="317" t="e">
        <f>TestSummary!#REF!</f>
        <v>#REF!</v>
      </c>
    </row>
    <row r="22" spans="1:11 16384:16384" x14ac:dyDescent="0.25">
      <c r="A22" s="318" t="s">
        <v>395</v>
      </c>
      <c r="B22" s="17" t="e">
        <f>TestSummary!#REF!</f>
        <v>#REF!</v>
      </c>
      <c r="C22" s="17" t="e">
        <f>TestSummary!#REF!</f>
        <v>#REF!</v>
      </c>
      <c r="D22" s="17" t="e">
        <f>TestSummary!#REF!</f>
        <v>#REF!</v>
      </c>
      <c r="E22" s="17" t="e">
        <f>TestSummary!#REF!</f>
        <v>#REF!</v>
      </c>
      <c r="F22" s="17" t="e">
        <f>TestSummary!#REF!</f>
        <v>#REF!</v>
      </c>
      <c r="G22" s="17" t="e">
        <f>TestSummary!#REF!</f>
        <v>#REF!</v>
      </c>
      <c r="H22" s="17" t="e">
        <f>TestSummary!#REF!</f>
        <v>#REF!</v>
      </c>
      <c r="I22" s="17" t="e">
        <f>TestSummary!#REF!</f>
        <v>#REF!</v>
      </c>
      <c r="J22" s="317" t="e">
        <f>TestSummary!#REF!</f>
        <v>#REF!</v>
      </c>
      <c r="K22" s="317" t="e">
        <f>TestSummary!#REF!</f>
        <v>#REF!</v>
      </c>
    </row>
    <row r="23" spans="1:11 16384:16384" x14ac:dyDescent="0.25">
      <c r="A23" s="318" t="s">
        <v>534</v>
      </c>
      <c r="B23" s="17" t="e">
        <f>TestSummary!#REF!</f>
        <v>#REF!</v>
      </c>
      <c r="C23" s="17" t="e">
        <f>TestSummary!#REF!</f>
        <v>#REF!</v>
      </c>
      <c r="D23" s="17" t="e">
        <f>TestSummary!#REF!</f>
        <v>#REF!</v>
      </c>
      <c r="E23" s="17" t="e">
        <f>TestSummary!#REF!</f>
        <v>#REF!</v>
      </c>
      <c r="F23" s="17" t="e">
        <f>TestSummary!#REF!</f>
        <v>#REF!</v>
      </c>
      <c r="G23" s="17" t="e">
        <f>TestSummary!#REF!</f>
        <v>#REF!</v>
      </c>
      <c r="H23" s="17" t="e">
        <f>TestSummary!#REF!</f>
        <v>#REF!</v>
      </c>
      <c r="I23" s="17" t="e">
        <f>TestSummary!#REF!</f>
        <v>#REF!</v>
      </c>
      <c r="J23" s="317" t="e">
        <f>TestSummary!#REF!</f>
        <v>#REF!</v>
      </c>
      <c r="K23" s="317" t="e">
        <f>TestSummary!#REF!</f>
        <v>#REF!</v>
      </c>
    </row>
    <row r="24" spans="1:11 16384:16384" x14ac:dyDescent="0.25">
      <c r="J24" s="317"/>
      <c r="K24" s="317"/>
    </row>
    <row r="25" spans="1:11 16384:16384" x14ac:dyDescent="0.25">
      <c r="A25" s="318" t="s">
        <v>533</v>
      </c>
      <c r="B25" s="319" t="e">
        <f t="shared" ref="B25:I25" si="0">B16/B13</f>
        <v>#REF!</v>
      </c>
      <c r="C25" s="319" t="e">
        <f t="shared" si="0"/>
        <v>#REF!</v>
      </c>
      <c r="D25" s="319" t="e">
        <f t="shared" si="0"/>
        <v>#REF!</v>
      </c>
      <c r="E25" s="319" t="e">
        <f t="shared" si="0"/>
        <v>#REF!</v>
      </c>
      <c r="F25" s="319" t="e">
        <f t="shared" si="0"/>
        <v>#REF!</v>
      </c>
      <c r="G25" s="319" t="e">
        <f t="shared" si="0"/>
        <v>#REF!</v>
      </c>
      <c r="H25" s="319" t="e">
        <f t="shared" si="0"/>
        <v>#REF!</v>
      </c>
      <c r="I25" s="319" t="e">
        <f t="shared" si="0"/>
        <v>#REF!</v>
      </c>
      <c r="J25" s="323" t="e">
        <f>J16/J14</f>
        <v>#REF!</v>
      </c>
      <c r="K25" s="323" t="e">
        <f>K16/K14</f>
        <v>#REF!</v>
      </c>
      <c r="XFD25" s="17"/>
    </row>
    <row r="26" spans="1:11 16384:16384" x14ac:dyDescent="0.25">
      <c r="A26" s="318" t="s">
        <v>531</v>
      </c>
      <c r="B26" s="320" t="e">
        <f>-B15/B16</f>
        <v>#REF!</v>
      </c>
      <c r="C26" s="320" t="e">
        <f>-C15/C16</f>
        <v>#REF!</v>
      </c>
      <c r="D26" s="320" t="e">
        <f>-D15/D16</f>
        <v>#REF!</v>
      </c>
      <c r="E26" s="320" t="e">
        <f>-E15/E16</f>
        <v>#REF!</v>
      </c>
      <c r="F26" s="320" t="e">
        <f>-F15/F16</f>
        <v>#REF!</v>
      </c>
      <c r="G26" s="320" t="e">
        <f>-G15/G16</f>
        <v>#REF!</v>
      </c>
      <c r="H26" s="320" t="e">
        <f>-H15/H16</f>
        <v>#REF!</v>
      </c>
      <c r="I26" s="325" t="e">
        <f>-I15/I16</f>
        <v>#REF!</v>
      </c>
      <c r="J26" s="324" t="e">
        <f>-J15/J16</f>
        <v>#REF!</v>
      </c>
      <c r="K26" s="324" t="e">
        <f>-K15/K16</f>
        <v>#REF!</v>
      </c>
    </row>
    <row r="27" spans="1:11 16384:16384" x14ac:dyDescent="0.25">
      <c r="A27" s="318" t="s">
        <v>532</v>
      </c>
      <c r="B27" s="320" t="e">
        <f>B19/B16</f>
        <v>#REF!</v>
      </c>
      <c r="C27" s="320" t="e">
        <f t="shared" ref="C27:K27" si="1">C19/C16</f>
        <v>#REF!</v>
      </c>
      <c r="D27" s="320" t="e">
        <f t="shared" si="1"/>
        <v>#REF!</v>
      </c>
      <c r="E27" s="320" t="e">
        <f t="shared" si="1"/>
        <v>#REF!</v>
      </c>
      <c r="F27" s="320" t="e">
        <f t="shared" si="1"/>
        <v>#REF!</v>
      </c>
      <c r="G27" s="320" t="e">
        <f t="shared" si="1"/>
        <v>#REF!</v>
      </c>
      <c r="H27" s="320" t="e">
        <f t="shared" si="1"/>
        <v>#REF!</v>
      </c>
      <c r="I27" s="325" t="e">
        <f t="shared" si="1"/>
        <v>#REF!</v>
      </c>
      <c r="J27" s="324" t="e">
        <f t="shared" si="1"/>
        <v>#REF!</v>
      </c>
      <c r="K27" s="324" t="e">
        <f t="shared" si="1"/>
        <v>#REF!</v>
      </c>
    </row>
    <row r="28" spans="1:11 16384:16384" x14ac:dyDescent="0.25">
      <c r="A28" s="318" t="s">
        <v>537</v>
      </c>
      <c r="B28" s="320" t="e">
        <f t="shared" ref="B28:I28" si="2">B14/B19</f>
        <v>#REF!</v>
      </c>
      <c r="C28" s="320" t="e">
        <f t="shared" si="2"/>
        <v>#REF!</v>
      </c>
      <c r="D28" s="320" t="e">
        <f t="shared" si="2"/>
        <v>#REF!</v>
      </c>
      <c r="E28" s="320" t="e">
        <f t="shared" si="2"/>
        <v>#REF!</v>
      </c>
      <c r="F28" s="320" t="e">
        <f t="shared" si="2"/>
        <v>#REF!</v>
      </c>
      <c r="G28" s="320" t="e">
        <f t="shared" si="2"/>
        <v>#REF!</v>
      </c>
      <c r="H28" s="320" t="e">
        <f t="shared" si="2"/>
        <v>#REF!</v>
      </c>
      <c r="I28" s="320" t="e">
        <f t="shared" si="2"/>
        <v>#REF!</v>
      </c>
      <c r="J28" s="324"/>
      <c r="K28" s="324"/>
    </row>
    <row r="30" spans="1:11 16384:16384" x14ac:dyDescent="0.25">
      <c r="A30" s="318" t="s">
        <v>429</v>
      </c>
      <c r="C30" s="17" t="s">
        <v>536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TestPlan</vt:lpstr>
      <vt:lpstr>TestSummary</vt:lpstr>
      <vt:lpstr>TestSummary (2)</vt:lpstr>
      <vt:lpstr>J1634 Calcs</vt:lpstr>
      <vt:lpstr>J1634 Calcs  no precondition</vt:lpstr>
      <vt:lpstr>J1634ShortcutWorksheet</vt:lpstr>
      <vt:lpstr>AVTEReporting</vt:lpstr>
      <vt:lpstr>TestInfoInstru</vt:lpstr>
      <vt:lpstr>EPA Test Data</vt:lpstr>
      <vt:lpstr>Vehicle Distance</vt:lpstr>
      <vt:lpstr>Accessory Load</vt:lpstr>
      <vt:lpstr>Charge Summary</vt:lpstr>
      <vt:lpstr>'Accessory Load'!Print_Area</vt:lpstr>
      <vt:lpstr>TestPlan!Print_Area</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Michael Stutenberg</dc:creator>
  <cp:lastModifiedBy>Das, Debashis</cp:lastModifiedBy>
  <cp:lastPrinted>2020-10-08T13:15:22Z</cp:lastPrinted>
  <dcterms:created xsi:type="dcterms:W3CDTF">2011-08-29T21:53:01Z</dcterms:created>
  <dcterms:modified xsi:type="dcterms:W3CDTF">2024-07-08T16:55:46Z</dcterms:modified>
</cp:coreProperties>
</file>