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2.xml" ContentType="application/vnd.openxmlformats-officedocument.drawingml.chart+xml"/>
  <Override PartName="/xl/charts/chart11.xml" ContentType="application/vnd.openxmlformats-officedocument.drawingml.chart+xml"/>
  <Override PartName="/xl/charts/chart10.xml" ContentType="application/vnd.openxmlformats-officedocument.drawingml.chart+xml"/>
  <Override PartName="/xl/charts/chart9.xml" ContentType="application/vnd.openxmlformats-officedocument.drawingml.chart+xml"/>
  <Override PartName="/xl/charts/chart8.xml" ContentType="application/vnd.openxmlformats-officedocument.drawingml.chart+xml"/>
  <Override PartName="/xl/charts/chart7.xml" ContentType="application/vnd.openxmlformats-officedocument.drawingml.chart+xml"/>
  <Override PartName="/xl/charts/chart6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5.xml" ContentType="application/vnd.openxmlformats-officedocument.drawingml.chart+xml"/>
  <Override PartName="/xl/charts/chart16.xml" ContentType="application/vnd.openxmlformats-officedocument.drawingml.chart+xml"/>
  <Override PartName="/xl/charts/chart4.xml" ContentType="application/vnd.openxmlformats-officedocument.drawingml.chart+xml"/>
  <Override PartName="/xl/charts/chart15.xml" ContentType="application/vnd.openxmlformats-officedocument.drawingml.chart+xml"/>
  <Override PartName="/xl/charts/chart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3.xml" ContentType="application/vnd.openxmlformats-officedocument.drawingml.chart+xml"/>
  <Override PartName="/xl/media/image1.png" ContentType="image/png"/>
  <Override PartName="/xl/media/image2.png" ContentType="image/png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 Short Time Gap" sheetId="1" state="visible" r:id="rId2"/>
    <sheet name="Short Time Gap" sheetId="2" state="visible" r:id="rId3"/>
    <sheet name="Medium Time Gap" sheetId="3" state="visible" r:id="rId4"/>
    <sheet name="Long Time Gap" sheetId="4" state="visible" r:id="rId5"/>
    <sheet name="Extra Long Time Gap " sheetId="5" state="visible" r:id="rId6"/>
    <sheet name="Long Time Gap_xerrgain_0.1" sheetId="6" state="visible" r:id="rId7"/>
    <sheet name="Long Time Gap_vxgain_0.2" sheetId="7" state="visible" r:id="rId8"/>
    <sheet name="Long Time Gap_verrgain_0.1" sheetId="8" state="visible" r:id="rId9"/>
    <sheet name="Eco-Approach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<sst xmlns="http://schemas.openxmlformats.org/spreadsheetml/2006/main" count="111" uniqueCount="24">
  <si>
    <t xml:space="preserve">Time [s]</t>
  </si>
  <si>
    <t xml:space="preserve">Lead Speed [mps]</t>
  </si>
  <si>
    <t xml:space="preserve">Lead Speed [mph]</t>
  </si>
  <si>
    <t xml:space="preserve">Simulated Ego Spd [mps]</t>
  </si>
  <si>
    <t xml:space="preserve">Simulated Ego Spd [mph]</t>
  </si>
  <si>
    <t xml:space="preserve">Time Gap [s]</t>
  </si>
  <si>
    <t xml:space="preserve">Safe Theorical Dist [m]</t>
  </si>
  <si>
    <t xml:space="preserve">Acceleration [mps2]</t>
  </si>
  <si>
    <t xml:space="preserve">Grade [%]</t>
  </si>
  <si>
    <t xml:space="preserve">Simulated Dist [m]</t>
  </si>
  <si>
    <t xml:space="preserve">verr_gain</t>
  </si>
  <si>
    <t xml:space="preserve">xerr_gain</t>
  </si>
  <si>
    <t xml:space="preserve">vx_gain</t>
  </si>
  <si>
    <t xml:space="preserve">Distance_Trvl [m]</t>
  </si>
  <si>
    <t xml:space="preserve">Speed [mps]</t>
  </si>
  <si>
    <t xml:space="preserve">Speed [mph]</t>
  </si>
  <si>
    <t xml:space="preserve">Safe Theorical Gap [m]</t>
  </si>
  <si>
    <t xml:space="preserve">Simulated Gap [m]</t>
  </si>
  <si>
    <t xml:space="preserve">vh</t>
  </si>
  <si>
    <t xml:space="preserve">s</t>
  </si>
  <si>
    <t xml:space="preserve">d [m]</t>
  </si>
  <si>
    <t xml:space="preserve">T [s]</t>
  </si>
  <si>
    <t xml:space="preserve">a[m/s^2]</t>
  </si>
  <si>
    <t xml:space="preserve">vd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</si>
</sst>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General"/>
    <numFmt numFmtId="168" formatCode="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9"/>
      <color rgb="FF595959"/>
      <name val="Calibri"/>
      <family val="2"/>
    </font>
    <font>
      <sz val="14"/>
      <color rgb="FF595959"/>
      <name val="Calibri"/>
      <family val="2"/>
    </font>
    <font>
      <sz val="10"/>
      <color rgb="FF595959"/>
      <name val="Calibri"/>
      <family val="2"/>
    </font>
    <font>
      <sz val="10.5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6DCE5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'Extra Short Time Gap'!$C$1</c:f>
              <c:strCache>
                <c:ptCount val="1"/>
                <c:pt idx="0">
                  <c:v>Lead Speed [mph]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'Extra Short Time Gap'!$C$2:$C$200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2.00005696</c:v>
                </c:pt>
                <c:pt idx="12">
                  <c:v>4.00011392</c:v>
                </c:pt>
                <c:pt idx="13">
                  <c:v>6.00017088</c:v>
                </c:pt>
                <c:pt idx="14">
                  <c:v>8.00022784</c:v>
                </c:pt>
                <c:pt idx="15">
                  <c:v>10.0002848</c:v>
                </c:pt>
                <c:pt idx="16">
                  <c:v>12.00034176</c:v>
                </c:pt>
                <c:pt idx="17">
                  <c:v>14.00039872</c:v>
                </c:pt>
                <c:pt idx="18">
                  <c:v>16.00045568</c:v>
                </c:pt>
                <c:pt idx="19">
                  <c:v>18.00051264</c:v>
                </c:pt>
                <c:pt idx="20">
                  <c:v>20.0005696</c:v>
                </c:pt>
                <c:pt idx="21">
                  <c:v>20.0005696</c:v>
                </c:pt>
                <c:pt idx="22">
                  <c:v>20.0005696</c:v>
                </c:pt>
                <c:pt idx="23">
                  <c:v>20.0005696</c:v>
                </c:pt>
                <c:pt idx="24">
                  <c:v>20.0005696</c:v>
                </c:pt>
                <c:pt idx="25">
                  <c:v>20.0005696</c:v>
                </c:pt>
                <c:pt idx="26">
                  <c:v>20.0005696</c:v>
                </c:pt>
                <c:pt idx="27">
                  <c:v>20.0005696</c:v>
                </c:pt>
                <c:pt idx="28">
                  <c:v>20.0005696</c:v>
                </c:pt>
                <c:pt idx="29">
                  <c:v>20.0005696</c:v>
                </c:pt>
                <c:pt idx="30">
                  <c:v>20.0005696</c:v>
                </c:pt>
                <c:pt idx="31">
                  <c:v>20.0005696</c:v>
                </c:pt>
                <c:pt idx="32">
                  <c:v>20.0005696</c:v>
                </c:pt>
                <c:pt idx="33">
                  <c:v>20.0005696</c:v>
                </c:pt>
                <c:pt idx="34">
                  <c:v>20.0005696</c:v>
                </c:pt>
                <c:pt idx="35">
                  <c:v>20.0005696</c:v>
                </c:pt>
                <c:pt idx="36">
                  <c:v>22.00062656</c:v>
                </c:pt>
                <c:pt idx="37">
                  <c:v>24.00068352</c:v>
                </c:pt>
                <c:pt idx="38">
                  <c:v>26.00074048</c:v>
                </c:pt>
                <c:pt idx="39">
                  <c:v>28.00079744</c:v>
                </c:pt>
                <c:pt idx="40">
                  <c:v>30.0008544</c:v>
                </c:pt>
                <c:pt idx="41">
                  <c:v>32.00091136</c:v>
                </c:pt>
                <c:pt idx="42">
                  <c:v>34.00096832</c:v>
                </c:pt>
                <c:pt idx="43">
                  <c:v>36.00102528</c:v>
                </c:pt>
                <c:pt idx="44">
                  <c:v>38.00108224</c:v>
                </c:pt>
                <c:pt idx="45">
                  <c:v>40.0011392</c:v>
                </c:pt>
                <c:pt idx="46">
                  <c:v>40.0011392</c:v>
                </c:pt>
                <c:pt idx="47">
                  <c:v>40.0011392</c:v>
                </c:pt>
                <c:pt idx="48">
                  <c:v>40.0011392</c:v>
                </c:pt>
                <c:pt idx="49">
                  <c:v>40.0011392</c:v>
                </c:pt>
                <c:pt idx="50">
                  <c:v>40.0011392</c:v>
                </c:pt>
                <c:pt idx="51">
                  <c:v>40.0011392</c:v>
                </c:pt>
                <c:pt idx="52">
                  <c:v>40.0011392</c:v>
                </c:pt>
                <c:pt idx="53">
                  <c:v>40.0011392</c:v>
                </c:pt>
                <c:pt idx="54">
                  <c:v>40.0011392</c:v>
                </c:pt>
                <c:pt idx="55">
                  <c:v>40.0011392</c:v>
                </c:pt>
                <c:pt idx="56">
                  <c:v>40.0011392</c:v>
                </c:pt>
                <c:pt idx="57">
                  <c:v>40.0011392</c:v>
                </c:pt>
                <c:pt idx="58">
                  <c:v>40.0011392</c:v>
                </c:pt>
                <c:pt idx="59">
                  <c:v>40.0011392</c:v>
                </c:pt>
                <c:pt idx="60">
                  <c:v>40.0011392</c:v>
                </c:pt>
                <c:pt idx="61">
                  <c:v>38.00108224</c:v>
                </c:pt>
                <c:pt idx="62">
                  <c:v>36.00102528</c:v>
                </c:pt>
                <c:pt idx="63">
                  <c:v>34.00096832</c:v>
                </c:pt>
                <c:pt idx="64">
                  <c:v>32.00091136</c:v>
                </c:pt>
                <c:pt idx="65">
                  <c:v>30.0008544</c:v>
                </c:pt>
                <c:pt idx="66">
                  <c:v>28.00079744</c:v>
                </c:pt>
                <c:pt idx="67">
                  <c:v>26.00074048</c:v>
                </c:pt>
                <c:pt idx="68">
                  <c:v>24.00068352</c:v>
                </c:pt>
                <c:pt idx="69">
                  <c:v>22.00062656</c:v>
                </c:pt>
                <c:pt idx="70">
                  <c:v>20.0005696</c:v>
                </c:pt>
                <c:pt idx="71">
                  <c:v>20.0005696</c:v>
                </c:pt>
                <c:pt idx="72">
                  <c:v>20.0005696</c:v>
                </c:pt>
                <c:pt idx="73">
                  <c:v>20.0005696</c:v>
                </c:pt>
                <c:pt idx="74">
                  <c:v>20.0005696</c:v>
                </c:pt>
                <c:pt idx="75">
                  <c:v>20.0005696</c:v>
                </c:pt>
                <c:pt idx="76">
                  <c:v>20.0005696</c:v>
                </c:pt>
                <c:pt idx="77">
                  <c:v>20.0005696</c:v>
                </c:pt>
                <c:pt idx="78">
                  <c:v>20.0005696</c:v>
                </c:pt>
                <c:pt idx="79">
                  <c:v>20.0005696</c:v>
                </c:pt>
                <c:pt idx="80">
                  <c:v>20.0005696</c:v>
                </c:pt>
                <c:pt idx="81">
                  <c:v>20.0005696</c:v>
                </c:pt>
                <c:pt idx="82">
                  <c:v>20.0005696</c:v>
                </c:pt>
                <c:pt idx="83">
                  <c:v>20.0005696</c:v>
                </c:pt>
                <c:pt idx="84">
                  <c:v>20.0005696</c:v>
                </c:pt>
                <c:pt idx="85">
                  <c:v>20.0005696</c:v>
                </c:pt>
                <c:pt idx="86">
                  <c:v>23.3336996</c:v>
                </c:pt>
                <c:pt idx="87">
                  <c:v>26.6668296</c:v>
                </c:pt>
                <c:pt idx="88">
                  <c:v>29.9999596</c:v>
                </c:pt>
                <c:pt idx="89">
                  <c:v>33.3330896</c:v>
                </c:pt>
                <c:pt idx="90">
                  <c:v>36.6662196</c:v>
                </c:pt>
                <c:pt idx="91">
                  <c:v>39.9993496</c:v>
                </c:pt>
                <c:pt idx="92">
                  <c:v>39.9993496</c:v>
                </c:pt>
                <c:pt idx="93">
                  <c:v>39.9993496</c:v>
                </c:pt>
                <c:pt idx="94">
                  <c:v>39.9993496</c:v>
                </c:pt>
                <c:pt idx="95">
                  <c:v>39.9993496</c:v>
                </c:pt>
                <c:pt idx="96">
                  <c:v>39.9993496</c:v>
                </c:pt>
                <c:pt idx="97">
                  <c:v>39.9993496</c:v>
                </c:pt>
                <c:pt idx="98">
                  <c:v>39.9993496</c:v>
                </c:pt>
                <c:pt idx="99">
                  <c:v>39.9993496</c:v>
                </c:pt>
                <c:pt idx="100">
                  <c:v>39.9993496</c:v>
                </c:pt>
                <c:pt idx="101">
                  <c:v>39.9993496</c:v>
                </c:pt>
                <c:pt idx="102">
                  <c:v>39.9993496</c:v>
                </c:pt>
                <c:pt idx="103">
                  <c:v>39.9993496</c:v>
                </c:pt>
                <c:pt idx="104">
                  <c:v>39.9993496</c:v>
                </c:pt>
                <c:pt idx="105">
                  <c:v>36.6662196</c:v>
                </c:pt>
                <c:pt idx="106">
                  <c:v>33.3330896</c:v>
                </c:pt>
                <c:pt idx="107">
                  <c:v>29.9999596</c:v>
                </c:pt>
                <c:pt idx="108">
                  <c:v>26.6668296</c:v>
                </c:pt>
                <c:pt idx="109">
                  <c:v>23.3336996</c:v>
                </c:pt>
                <c:pt idx="110">
                  <c:v>20.0005696</c:v>
                </c:pt>
                <c:pt idx="111">
                  <c:v>20.0005696</c:v>
                </c:pt>
                <c:pt idx="112">
                  <c:v>20.0005696</c:v>
                </c:pt>
                <c:pt idx="113">
                  <c:v>20.0005696</c:v>
                </c:pt>
                <c:pt idx="114">
                  <c:v>20.0005696</c:v>
                </c:pt>
                <c:pt idx="115">
                  <c:v>20.0005696</c:v>
                </c:pt>
                <c:pt idx="116">
                  <c:v>20.0005696</c:v>
                </c:pt>
                <c:pt idx="117">
                  <c:v>20.0005696</c:v>
                </c:pt>
                <c:pt idx="118">
                  <c:v>20.0005696</c:v>
                </c:pt>
                <c:pt idx="119">
                  <c:v>20.0005696</c:v>
                </c:pt>
                <c:pt idx="120">
                  <c:v>20.0005696</c:v>
                </c:pt>
                <c:pt idx="121">
                  <c:v>20.0005696</c:v>
                </c:pt>
                <c:pt idx="122">
                  <c:v>20.0005696</c:v>
                </c:pt>
                <c:pt idx="123">
                  <c:v>20.0005696</c:v>
                </c:pt>
                <c:pt idx="124">
                  <c:v>24.4745696</c:v>
                </c:pt>
                <c:pt idx="125">
                  <c:v>28.9485696</c:v>
                </c:pt>
                <c:pt idx="126">
                  <c:v>33.4225696</c:v>
                </c:pt>
                <c:pt idx="127">
                  <c:v>37.8965696</c:v>
                </c:pt>
                <c:pt idx="128">
                  <c:v>42.3705696</c:v>
                </c:pt>
                <c:pt idx="129">
                  <c:v>42.3705696</c:v>
                </c:pt>
                <c:pt idx="130">
                  <c:v>42.3705696</c:v>
                </c:pt>
                <c:pt idx="131">
                  <c:v>42.3705696</c:v>
                </c:pt>
                <c:pt idx="132">
                  <c:v>42.3705696</c:v>
                </c:pt>
                <c:pt idx="133">
                  <c:v>42.3705696</c:v>
                </c:pt>
                <c:pt idx="134">
                  <c:v>42.3705696</c:v>
                </c:pt>
                <c:pt idx="135">
                  <c:v>42.3705696</c:v>
                </c:pt>
                <c:pt idx="136">
                  <c:v>42.3705696</c:v>
                </c:pt>
                <c:pt idx="137">
                  <c:v>42.3705696</c:v>
                </c:pt>
                <c:pt idx="138">
                  <c:v>42.3705696</c:v>
                </c:pt>
                <c:pt idx="139">
                  <c:v>42.3705696</c:v>
                </c:pt>
                <c:pt idx="140">
                  <c:v>42.3705696</c:v>
                </c:pt>
                <c:pt idx="141">
                  <c:v>42.3705696</c:v>
                </c:pt>
                <c:pt idx="142">
                  <c:v>37.8965696</c:v>
                </c:pt>
                <c:pt idx="143">
                  <c:v>33.4225696</c:v>
                </c:pt>
                <c:pt idx="144">
                  <c:v>28.9485696</c:v>
                </c:pt>
                <c:pt idx="145">
                  <c:v>24.4745696</c:v>
                </c:pt>
                <c:pt idx="146">
                  <c:v>20.0005696</c:v>
                </c:pt>
                <c:pt idx="147">
                  <c:v>20.0005696</c:v>
                </c:pt>
                <c:pt idx="148">
                  <c:v>20.0005696</c:v>
                </c:pt>
                <c:pt idx="149">
                  <c:v>20.0005696</c:v>
                </c:pt>
                <c:pt idx="150">
                  <c:v>20.0005696</c:v>
                </c:pt>
                <c:pt idx="151">
                  <c:v>20.0005696</c:v>
                </c:pt>
                <c:pt idx="152">
                  <c:v>20.0005696</c:v>
                </c:pt>
                <c:pt idx="153">
                  <c:v>20.0005696</c:v>
                </c:pt>
                <c:pt idx="154">
                  <c:v>20.0005696</c:v>
                </c:pt>
                <c:pt idx="155">
                  <c:v>20.0005696</c:v>
                </c:pt>
                <c:pt idx="156">
                  <c:v>20.0005696</c:v>
                </c:pt>
                <c:pt idx="157">
                  <c:v>20.0005696</c:v>
                </c:pt>
                <c:pt idx="158">
                  <c:v>20.0005696</c:v>
                </c:pt>
                <c:pt idx="159">
                  <c:v>18.00051264</c:v>
                </c:pt>
                <c:pt idx="160">
                  <c:v>16.00045568</c:v>
                </c:pt>
                <c:pt idx="161">
                  <c:v>14.00039872</c:v>
                </c:pt>
                <c:pt idx="162">
                  <c:v>12.00034176</c:v>
                </c:pt>
                <c:pt idx="163">
                  <c:v>10.0002848</c:v>
                </c:pt>
                <c:pt idx="164">
                  <c:v>8.00022783999999</c:v>
                </c:pt>
                <c:pt idx="165">
                  <c:v>6.00017087999999</c:v>
                </c:pt>
                <c:pt idx="166">
                  <c:v>4.00011391999999</c:v>
                </c:pt>
                <c:pt idx="167">
                  <c:v>2.00005695999999</c:v>
                </c:pt>
                <c:pt idx="168">
                  <c:v>-7.45070671825942E-015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'Extra Short Time Gap'!$E$1</c:f>
              <c:strCache>
                <c:ptCount val="1"/>
                <c:pt idx="0">
                  <c:v>Simulated Ego Spd [mph]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'Extra Short Time Gap'!$E$2:$E$170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0.274674489173334</c:v>
                </c:pt>
                <c:pt idx="12">
                  <c:v>1.13850709042517</c:v>
                </c:pt>
                <c:pt idx="13">
                  <c:v>2.580012425402</c:v>
                </c:pt>
                <c:pt idx="14">
                  <c:v>4.49855161403023</c:v>
                </c:pt>
                <c:pt idx="15">
                  <c:v>6.74992479578865</c:v>
                </c:pt>
                <c:pt idx="16">
                  <c:v>9.1839367283754</c:v>
                </c:pt>
                <c:pt idx="17">
                  <c:v>11.6705386770389</c:v>
                </c:pt>
                <c:pt idx="18">
                  <c:v>14.1141079405236</c:v>
                </c:pt>
                <c:pt idx="19">
                  <c:v>16.4574795404033</c:v>
                </c:pt>
                <c:pt idx="20">
                  <c:v>18.6784609285707</c:v>
                </c:pt>
                <c:pt idx="21">
                  <c:v>20.5071949021164</c:v>
                </c:pt>
                <c:pt idx="22">
                  <c:v>21.6513426677789</c:v>
                </c:pt>
                <c:pt idx="23">
                  <c:v>22.1525848811492</c:v>
                </c:pt>
                <c:pt idx="24">
                  <c:v>22.1422932038099</c:v>
                </c:pt>
                <c:pt idx="25">
                  <c:v>21.790815962029</c:v>
                </c:pt>
                <c:pt idx="26">
                  <c:v>21.2672173559579</c:v>
                </c:pt>
                <c:pt idx="27">
                  <c:v>20.7125003845747</c:v>
                </c:pt>
                <c:pt idx="28">
                  <c:v>20.2261749904139</c:v>
                </c:pt>
                <c:pt idx="29">
                  <c:v>19.8639315034254</c:v>
                </c:pt>
                <c:pt idx="30">
                  <c:v>19.6431314201281</c:v>
                </c:pt>
                <c:pt idx="31">
                  <c:v>19.5526541292399</c:v>
                </c:pt>
                <c:pt idx="32">
                  <c:v>19.5640788606868</c:v>
                </c:pt>
                <c:pt idx="33">
                  <c:v>19.6419624796439</c:v>
                </c:pt>
                <c:pt idx="34">
                  <c:v>19.7518577129577</c:v>
                </c:pt>
                <c:pt idx="35">
                  <c:v>19.8655269196007</c:v>
                </c:pt>
                <c:pt idx="36">
                  <c:v>20.2381119038505</c:v>
                </c:pt>
                <c:pt idx="37">
                  <c:v>21.17354045073</c:v>
                </c:pt>
                <c:pt idx="38">
                  <c:v>22.6574861433851</c:v>
                </c:pt>
                <c:pt idx="39">
                  <c:v>24.5920967847552</c:v>
                </c:pt>
                <c:pt idx="40">
                  <c:v>26.8392826750167</c:v>
                </c:pt>
                <c:pt idx="41">
                  <c:v>29.2562031442001</c:v>
                </c:pt>
                <c:pt idx="42">
                  <c:v>31.7198147932453</c:v>
                </c:pt>
                <c:pt idx="43">
                  <c:v>34.1401391097563</c:v>
                </c:pt>
                <c:pt idx="44">
                  <c:v>36.4638349460365</c:v>
                </c:pt>
                <c:pt idx="45">
                  <c:v>38.6706983283608</c:v>
                </c:pt>
                <c:pt idx="46">
                  <c:v>40.4913106590908</c:v>
                </c:pt>
                <c:pt idx="47">
                  <c:v>41.6326623597795</c:v>
                </c:pt>
                <c:pt idx="48">
                  <c:v>42.1351276845788</c:v>
                </c:pt>
                <c:pt idx="49">
                  <c:v>42.1285560749699</c:v>
                </c:pt>
                <c:pt idx="50">
                  <c:v>41.7818738989569</c:v>
                </c:pt>
                <c:pt idx="51">
                  <c:v>41.2630193734235</c:v>
                </c:pt>
                <c:pt idx="52">
                  <c:v>40.7122490412973</c:v>
                </c:pt>
                <c:pt idx="53">
                  <c:v>40.2287008531214</c:v>
                </c:pt>
                <c:pt idx="54">
                  <c:v>39.8680039703664</c:v>
                </c:pt>
                <c:pt idx="55">
                  <c:v>39.6476768832251</c:v>
                </c:pt>
                <c:pt idx="56">
                  <c:v>39.5568769326757</c:v>
                </c:pt>
                <c:pt idx="57">
                  <c:v>39.5674976506059</c:v>
                </c:pt>
                <c:pt idx="58">
                  <c:v>39.6443839988367</c:v>
                </c:pt>
                <c:pt idx="59">
                  <c:v>39.7533128859269</c:v>
                </c:pt>
                <c:pt idx="60">
                  <c:v>39.8661919470056</c:v>
                </c:pt>
                <c:pt idx="61">
                  <c:v>39.6888830265836</c:v>
                </c:pt>
                <c:pt idx="62">
                  <c:v>38.8963534686086</c:v>
                </c:pt>
                <c:pt idx="63">
                  <c:v>37.4972116257612</c:v>
                </c:pt>
                <c:pt idx="64">
                  <c:v>35.5948241838042</c:v>
                </c:pt>
                <c:pt idx="65">
                  <c:v>33.339436417852</c:v>
                </c:pt>
                <c:pt idx="66">
                  <c:v>30.8885398799755</c:v>
                </c:pt>
                <c:pt idx="67">
                  <c:v>28.3791440972675</c:v>
                </c:pt>
                <c:pt idx="68">
                  <c:v>25.9124877779437</c:v>
                </c:pt>
                <c:pt idx="69">
                  <c:v>23.5495470492239</c:v>
                </c:pt>
                <c:pt idx="70">
                  <c:v>21.3145027804626</c:v>
                </c:pt>
                <c:pt idx="71">
                  <c:v>19.4776588974922</c:v>
                </c:pt>
                <c:pt idx="72">
                  <c:v>18.3306958302872</c:v>
                </c:pt>
                <c:pt idx="73">
                  <c:v>17.8306398299719</c:v>
                </c:pt>
                <c:pt idx="74">
                  <c:v>17.8446087758718</c:v>
                </c:pt>
                <c:pt idx="75">
                  <c:v>18.2008412153169</c:v>
                </c:pt>
                <c:pt idx="76">
                  <c:v>18.7291524126229</c:v>
                </c:pt>
                <c:pt idx="77">
                  <c:v>19.2877952158975</c:v>
                </c:pt>
                <c:pt idx="78">
                  <c:v>19.7768875156233</c:v>
                </c:pt>
                <c:pt idx="79">
                  <c:v>20.1406760056371</c:v>
                </c:pt>
                <c:pt idx="80">
                  <c:v>20.3619535719038</c:v>
                </c:pt>
                <c:pt idx="81">
                  <c:v>20.4521160483932</c:v>
                </c:pt>
                <c:pt idx="82">
                  <c:v>20.4398961373832</c:v>
                </c:pt>
                <c:pt idx="83">
                  <c:v>20.3610233230117</c:v>
                </c:pt>
                <c:pt idx="84">
                  <c:v>20.2501680110996</c:v>
                </c:pt>
                <c:pt idx="85">
                  <c:v>20.1357127065744</c:v>
                </c:pt>
                <c:pt idx="86">
                  <c:v>20.495009047106</c:v>
                </c:pt>
                <c:pt idx="87">
                  <c:v>21.8627125465145</c:v>
                </c:pt>
                <c:pt idx="88">
                  <c:v>24.2224882187233</c:v>
                </c:pt>
                <c:pt idx="89">
                  <c:v>27.4037746034847</c:v>
                </c:pt>
                <c:pt idx="90">
                  <c:v>31.1600856741329</c:v>
                </c:pt>
                <c:pt idx="91">
                  <c:v>35.2337059353336</c:v>
                </c:pt>
                <c:pt idx="92">
                  <c:v>38.943107358667</c:v>
                </c:pt>
                <c:pt idx="93">
                  <c:v>41.5991682643332</c:v>
                </c:pt>
                <c:pt idx="94">
                  <c:v>43.1219262595581</c:v>
                </c:pt>
                <c:pt idx="95">
                  <c:v>43.6401246177979</c:v>
                </c:pt>
                <c:pt idx="96">
                  <c:v>43.4016724257012</c:v>
                </c:pt>
                <c:pt idx="97">
                  <c:v>42.6944605285521</c:v>
                </c:pt>
                <c:pt idx="98">
                  <c:v>41.7868579965356</c:v>
                </c:pt>
                <c:pt idx="99">
                  <c:v>40.8909723708349</c:v>
                </c:pt>
                <c:pt idx="100">
                  <c:v>40.1470777190131</c:v>
                </c:pt>
                <c:pt idx="101">
                  <c:v>39.6247351794441</c:v>
                </c:pt>
                <c:pt idx="102">
                  <c:v>39.3349208996982</c:v>
                </c:pt>
                <c:pt idx="103">
                  <c:v>39.2475801244324</c:v>
                </c:pt>
                <c:pt idx="104">
                  <c:v>39.3099937515678</c:v>
                </c:pt>
                <c:pt idx="105">
                  <c:v>39.0049845946132</c:v>
                </c:pt>
                <c:pt idx="106">
                  <c:v>37.7540980396188</c:v>
                </c:pt>
                <c:pt idx="107">
                  <c:v>35.5342535986974</c:v>
                </c:pt>
                <c:pt idx="108">
                  <c:v>32.4858767736138</c:v>
                </c:pt>
                <c:pt idx="109">
                  <c:v>28.836385510914</c:v>
                </c:pt>
                <c:pt idx="110">
                  <c:v>24.8349130060688</c:v>
                </c:pt>
                <c:pt idx="111">
                  <c:v>21.162813587267</c:v>
                </c:pt>
                <c:pt idx="112">
                  <c:v>18.5146988108477</c:v>
                </c:pt>
                <c:pt idx="113">
                  <c:v>16.9789335409956</c:v>
                </c:pt>
                <c:pt idx="114">
                  <c:v>16.4357771971835</c:v>
                </c:pt>
                <c:pt idx="115">
                  <c:v>16.6452772342284</c:v>
                </c:pt>
                <c:pt idx="116">
                  <c:v>17.3255180752386</c:v>
                </c:pt>
                <c:pt idx="117">
                  <c:v>18.2118166708862</c:v>
                </c:pt>
                <c:pt idx="118">
                  <c:v>19.0936241564754</c:v>
                </c:pt>
                <c:pt idx="119">
                  <c:v>19.8305485737309</c:v>
                </c:pt>
                <c:pt idx="120">
                  <c:v>20.3518061882778</c:v>
                </c:pt>
                <c:pt idx="121">
                  <c:v>20.6446545606246</c:v>
                </c:pt>
                <c:pt idx="122">
                  <c:v>20.7373019338481</c:v>
                </c:pt>
                <c:pt idx="123">
                  <c:v>20.6808642156118</c:v>
                </c:pt>
                <c:pt idx="124">
                  <c:v>21.1480158911887</c:v>
                </c:pt>
                <c:pt idx="125">
                  <c:v>22.8958891220153</c:v>
                </c:pt>
                <c:pt idx="126">
                  <c:v>25.9407339065118</c:v>
                </c:pt>
                <c:pt idx="127">
                  <c:v>30.08477304254</c:v>
                </c:pt>
                <c:pt idx="128">
                  <c:v>35.0186036962872</c:v>
                </c:pt>
                <c:pt idx="129">
                  <c:v>39.7933591998405</c:v>
                </c:pt>
                <c:pt idx="130">
                  <c:v>43.4081509617143</c:v>
                </c:pt>
                <c:pt idx="131">
                  <c:v>45.6639294168102</c:v>
                </c:pt>
                <c:pt idx="132">
                  <c:v>46.6459372641875</c:v>
                </c:pt>
                <c:pt idx="133">
                  <c:v>46.6162415928138</c:v>
                </c:pt>
                <c:pt idx="134">
                  <c:v>45.9132574444449</c:v>
                </c:pt>
                <c:pt idx="135">
                  <c:v>44.8721227353653</c:v>
                </c:pt>
                <c:pt idx="136">
                  <c:v>43.771859012568</c:v>
                </c:pt>
                <c:pt idx="137">
                  <c:v>42.8089859186443</c:v>
                </c:pt>
                <c:pt idx="138">
                  <c:v>42.0931106595395</c:v>
                </c:pt>
                <c:pt idx="139">
                  <c:v>41.6579552131914</c:v>
                </c:pt>
                <c:pt idx="140">
                  <c:v>41.4809560998277</c:v>
                </c:pt>
                <c:pt idx="141">
                  <c:v>41.505456288321</c:v>
                </c:pt>
                <c:pt idx="142">
                  <c:v>41.0466346452437</c:v>
                </c:pt>
                <c:pt idx="143">
                  <c:v>39.3327394522931</c:v>
                </c:pt>
                <c:pt idx="144">
                  <c:v>36.333595880071</c:v>
                </c:pt>
                <c:pt idx="145">
                  <c:v>32.2357622710505</c:v>
                </c:pt>
                <c:pt idx="146">
                  <c:v>27.3410411913511</c:v>
                </c:pt>
                <c:pt idx="147">
                  <c:v>22.594347100571</c:v>
                </c:pt>
                <c:pt idx="148">
                  <c:v>18.9956972587473</c:v>
                </c:pt>
                <c:pt idx="149">
                  <c:v>16.74547495922</c:v>
                </c:pt>
                <c:pt idx="150">
                  <c:v>15.7610345291201</c:v>
                </c:pt>
                <c:pt idx="151">
                  <c:v>15.7833347633725</c:v>
                </c:pt>
                <c:pt idx="152">
                  <c:v>16.4767871029778</c:v>
                </c:pt>
                <c:pt idx="153">
                  <c:v>17.5084917216653</c:v>
                </c:pt>
                <c:pt idx="154">
                  <c:v>18.6009107247488</c:v>
                </c:pt>
                <c:pt idx="155">
                  <c:v>19.5582637778559</c:v>
                </c:pt>
                <c:pt idx="156">
                  <c:v>20.2710651608345</c:v>
                </c:pt>
                <c:pt idx="157">
                  <c:v>20.7052807575055</c:v>
                </c:pt>
                <c:pt idx="158">
                  <c:v>20.8829215045113</c:v>
                </c:pt>
                <c:pt idx="159">
                  <c:v>20.5853451740275</c:v>
                </c:pt>
                <c:pt idx="160">
                  <c:v>19.5678872840758</c:v>
                </c:pt>
                <c:pt idx="161">
                  <c:v>17.9098595029973</c:v>
                </c:pt>
                <c:pt idx="162">
                  <c:v>15.7674788514349</c:v>
                </c:pt>
                <c:pt idx="163">
                  <c:v>13.3233724432751</c:v>
                </c:pt>
                <c:pt idx="164">
                  <c:v>10.7484853503532</c:v>
                </c:pt>
                <c:pt idx="165">
                  <c:v>8.17842991765172</c:v>
                </c:pt>
                <c:pt idx="166">
                  <c:v>5.70331919194172</c:v>
                </c:pt>
                <c:pt idx="167">
                  <c:v>0</c:v>
                </c:pt>
                <c:pt idx="168">
                  <c:v>0</c:v>
                </c:pt>
              </c:numCache>
            </c:numRef>
          </c:yVal>
          <c:smooth val="0"/>
        </c:ser>
        <c:axId val="95756612"/>
        <c:axId val="92343104"/>
      </c:scatterChart>
      <c:valAx>
        <c:axId val="9575661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343104"/>
        <c:crosses val="autoZero"/>
        <c:crossBetween val="midCat"/>
      </c:valAx>
      <c:valAx>
        <c:axId val="923431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75661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'Extra Short Time Gap'!$G$1</c:f>
              <c:strCache>
                <c:ptCount val="1"/>
                <c:pt idx="0">
                  <c:v>Safe Theorical Dist [m]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'Extra Short Time Gap'!$G$2:$G$170</c:f>
              <c:numCache>
                <c:formatCode>General</c:formatCode>
                <c:ptCount val="16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5.715264</c:v>
                </c:pt>
                <c:pt idx="12">
                  <c:v>6.430528</c:v>
                </c:pt>
                <c:pt idx="13">
                  <c:v>7.145792</c:v>
                </c:pt>
                <c:pt idx="14">
                  <c:v>7.861056</c:v>
                </c:pt>
                <c:pt idx="15">
                  <c:v>8.57632</c:v>
                </c:pt>
                <c:pt idx="16">
                  <c:v>9.291584</c:v>
                </c:pt>
                <c:pt idx="17">
                  <c:v>10.006848</c:v>
                </c:pt>
                <c:pt idx="18">
                  <c:v>10.722112</c:v>
                </c:pt>
                <c:pt idx="19">
                  <c:v>11.437376</c:v>
                </c:pt>
                <c:pt idx="20">
                  <c:v>12.15264</c:v>
                </c:pt>
                <c:pt idx="21">
                  <c:v>12.15264</c:v>
                </c:pt>
                <c:pt idx="22">
                  <c:v>12.15264</c:v>
                </c:pt>
                <c:pt idx="23">
                  <c:v>12.15264</c:v>
                </c:pt>
                <c:pt idx="24">
                  <c:v>12.15264</c:v>
                </c:pt>
                <c:pt idx="25">
                  <c:v>12.15264</c:v>
                </c:pt>
                <c:pt idx="26">
                  <c:v>12.15264</c:v>
                </c:pt>
                <c:pt idx="27">
                  <c:v>12.15264</c:v>
                </c:pt>
                <c:pt idx="28">
                  <c:v>12.15264</c:v>
                </c:pt>
                <c:pt idx="29">
                  <c:v>12.15264</c:v>
                </c:pt>
                <c:pt idx="30">
                  <c:v>12.15264</c:v>
                </c:pt>
                <c:pt idx="31">
                  <c:v>12.15264</c:v>
                </c:pt>
                <c:pt idx="32">
                  <c:v>12.15264</c:v>
                </c:pt>
                <c:pt idx="33">
                  <c:v>12.15264</c:v>
                </c:pt>
                <c:pt idx="34">
                  <c:v>12.15264</c:v>
                </c:pt>
                <c:pt idx="35">
                  <c:v>12.15264</c:v>
                </c:pt>
                <c:pt idx="36">
                  <c:v>12.867904</c:v>
                </c:pt>
                <c:pt idx="37">
                  <c:v>13.583168</c:v>
                </c:pt>
                <c:pt idx="38">
                  <c:v>14.298432</c:v>
                </c:pt>
                <c:pt idx="39">
                  <c:v>15.013696</c:v>
                </c:pt>
                <c:pt idx="40">
                  <c:v>15.72896</c:v>
                </c:pt>
                <c:pt idx="41">
                  <c:v>16.444224</c:v>
                </c:pt>
                <c:pt idx="42">
                  <c:v>17.159488</c:v>
                </c:pt>
                <c:pt idx="43">
                  <c:v>17.874752</c:v>
                </c:pt>
                <c:pt idx="44">
                  <c:v>18.590016</c:v>
                </c:pt>
                <c:pt idx="45">
                  <c:v>19.30528</c:v>
                </c:pt>
                <c:pt idx="46">
                  <c:v>19.30528</c:v>
                </c:pt>
                <c:pt idx="47">
                  <c:v>19.30528</c:v>
                </c:pt>
                <c:pt idx="48">
                  <c:v>19.30528</c:v>
                </c:pt>
                <c:pt idx="49">
                  <c:v>19.30528</c:v>
                </c:pt>
                <c:pt idx="50">
                  <c:v>19.30528</c:v>
                </c:pt>
                <c:pt idx="51">
                  <c:v>19.30528</c:v>
                </c:pt>
                <c:pt idx="52">
                  <c:v>19.30528</c:v>
                </c:pt>
                <c:pt idx="53">
                  <c:v>19.30528</c:v>
                </c:pt>
                <c:pt idx="54">
                  <c:v>19.30528</c:v>
                </c:pt>
                <c:pt idx="55">
                  <c:v>19.30528</c:v>
                </c:pt>
                <c:pt idx="56">
                  <c:v>19.30528</c:v>
                </c:pt>
                <c:pt idx="57">
                  <c:v>19.30528</c:v>
                </c:pt>
                <c:pt idx="58">
                  <c:v>19.30528</c:v>
                </c:pt>
                <c:pt idx="59">
                  <c:v>19.30528</c:v>
                </c:pt>
                <c:pt idx="60">
                  <c:v>19.30528</c:v>
                </c:pt>
                <c:pt idx="61">
                  <c:v>18.590016</c:v>
                </c:pt>
                <c:pt idx="62">
                  <c:v>17.874752</c:v>
                </c:pt>
                <c:pt idx="63">
                  <c:v>17.159488</c:v>
                </c:pt>
                <c:pt idx="64">
                  <c:v>16.444224</c:v>
                </c:pt>
                <c:pt idx="65">
                  <c:v>15.72896</c:v>
                </c:pt>
                <c:pt idx="66">
                  <c:v>15.013696</c:v>
                </c:pt>
                <c:pt idx="67">
                  <c:v>14.298432</c:v>
                </c:pt>
                <c:pt idx="68">
                  <c:v>13.583168</c:v>
                </c:pt>
                <c:pt idx="69">
                  <c:v>12.867904</c:v>
                </c:pt>
                <c:pt idx="70">
                  <c:v>12.15264</c:v>
                </c:pt>
                <c:pt idx="71">
                  <c:v>12.15264</c:v>
                </c:pt>
                <c:pt idx="72">
                  <c:v>12.15264</c:v>
                </c:pt>
                <c:pt idx="73">
                  <c:v>12.15264</c:v>
                </c:pt>
                <c:pt idx="74">
                  <c:v>12.15264</c:v>
                </c:pt>
                <c:pt idx="75">
                  <c:v>12.15264</c:v>
                </c:pt>
                <c:pt idx="76">
                  <c:v>12.15264</c:v>
                </c:pt>
                <c:pt idx="77">
                  <c:v>12.15264</c:v>
                </c:pt>
                <c:pt idx="78">
                  <c:v>12.15264</c:v>
                </c:pt>
                <c:pt idx="79">
                  <c:v>12.15264</c:v>
                </c:pt>
                <c:pt idx="80">
                  <c:v>12.15264</c:v>
                </c:pt>
                <c:pt idx="81">
                  <c:v>12.15264</c:v>
                </c:pt>
                <c:pt idx="82">
                  <c:v>12.15264</c:v>
                </c:pt>
                <c:pt idx="83">
                  <c:v>12.15264</c:v>
                </c:pt>
                <c:pt idx="84">
                  <c:v>12.15264</c:v>
                </c:pt>
                <c:pt idx="85">
                  <c:v>12.15264</c:v>
                </c:pt>
                <c:pt idx="86">
                  <c:v>13.34464</c:v>
                </c:pt>
                <c:pt idx="87">
                  <c:v>14.53664</c:v>
                </c:pt>
                <c:pt idx="88">
                  <c:v>15.72864</c:v>
                </c:pt>
                <c:pt idx="89">
                  <c:v>16.92064</c:v>
                </c:pt>
                <c:pt idx="90">
                  <c:v>18.11264</c:v>
                </c:pt>
                <c:pt idx="91">
                  <c:v>19.30464</c:v>
                </c:pt>
                <c:pt idx="92">
                  <c:v>19.30464</c:v>
                </c:pt>
                <c:pt idx="93">
                  <c:v>19.30464</c:v>
                </c:pt>
                <c:pt idx="94">
                  <c:v>19.30464</c:v>
                </c:pt>
                <c:pt idx="95">
                  <c:v>19.30464</c:v>
                </c:pt>
                <c:pt idx="96">
                  <c:v>19.30464</c:v>
                </c:pt>
                <c:pt idx="97">
                  <c:v>19.30464</c:v>
                </c:pt>
                <c:pt idx="98">
                  <c:v>19.30464</c:v>
                </c:pt>
                <c:pt idx="99">
                  <c:v>19.30464</c:v>
                </c:pt>
                <c:pt idx="100">
                  <c:v>19.30464</c:v>
                </c:pt>
                <c:pt idx="101">
                  <c:v>19.30464</c:v>
                </c:pt>
                <c:pt idx="102">
                  <c:v>19.30464</c:v>
                </c:pt>
                <c:pt idx="103">
                  <c:v>19.30464</c:v>
                </c:pt>
                <c:pt idx="104">
                  <c:v>19.30464</c:v>
                </c:pt>
                <c:pt idx="105">
                  <c:v>18.11264</c:v>
                </c:pt>
                <c:pt idx="106">
                  <c:v>16.92064</c:v>
                </c:pt>
                <c:pt idx="107">
                  <c:v>15.72864</c:v>
                </c:pt>
                <c:pt idx="108">
                  <c:v>14.53664</c:v>
                </c:pt>
                <c:pt idx="109">
                  <c:v>13.34464</c:v>
                </c:pt>
                <c:pt idx="110">
                  <c:v>12.15264</c:v>
                </c:pt>
                <c:pt idx="111">
                  <c:v>12.15264</c:v>
                </c:pt>
                <c:pt idx="112">
                  <c:v>12.15264</c:v>
                </c:pt>
                <c:pt idx="113">
                  <c:v>12.15264</c:v>
                </c:pt>
                <c:pt idx="114">
                  <c:v>12.15264</c:v>
                </c:pt>
                <c:pt idx="115">
                  <c:v>12.15264</c:v>
                </c:pt>
                <c:pt idx="116">
                  <c:v>12.15264</c:v>
                </c:pt>
                <c:pt idx="117">
                  <c:v>12.15264</c:v>
                </c:pt>
                <c:pt idx="118">
                  <c:v>12.15264</c:v>
                </c:pt>
                <c:pt idx="119">
                  <c:v>12.15264</c:v>
                </c:pt>
                <c:pt idx="120">
                  <c:v>12.15264</c:v>
                </c:pt>
                <c:pt idx="121">
                  <c:v>12.15264</c:v>
                </c:pt>
                <c:pt idx="122">
                  <c:v>12.15264</c:v>
                </c:pt>
                <c:pt idx="123">
                  <c:v>12.15264</c:v>
                </c:pt>
                <c:pt idx="124">
                  <c:v>13.75264</c:v>
                </c:pt>
                <c:pt idx="125">
                  <c:v>15.35264</c:v>
                </c:pt>
                <c:pt idx="126">
                  <c:v>16.95264</c:v>
                </c:pt>
                <c:pt idx="127">
                  <c:v>18.55264</c:v>
                </c:pt>
                <c:pt idx="128">
                  <c:v>20.15264</c:v>
                </c:pt>
                <c:pt idx="129">
                  <c:v>20.15264</c:v>
                </c:pt>
                <c:pt idx="130">
                  <c:v>20.15264</c:v>
                </c:pt>
                <c:pt idx="131">
                  <c:v>20.15264</c:v>
                </c:pt>
                <c:pt idx="132">
                  <c:v>20.15264</c:v>
                </c:pt>
                <c:pt idx="133">
                  <c:v>20.15264</c:v>
                </c:pt>
                <c:pt idx="134">
                  <c:v>20.15264</c:v>
                </c:pt>
                <c:pt idx="135">
                  <c:v>20.15264</c:v>
                </c:pt>
                <c:pt idx="136">
                  <c:v>20.15264</c:v>
                </c:pt>
                <c:pt idx="137">
                  <c:v>20.15264</c:v>
                </c:pt>
                <c:pt idx="138">
                  <c:v>20.15264</c:v>
                </c:pt>
                <c:pt idx="139">
                  <c:v>20.15264</c:v>
                </c:pt>
                <c:pt idx="140">
                  <c:v>20.15264</c:v>
                </c:pt>
                <c:pt idx="141">
                  <c:v>20.15264</c:v>
                </c:pt>
                <c:pt idx="142">
                  <c:v>18.55264</c:v>
                </c:pt>
                <c:pt idx="143">
                  <c:v>16.95264</c:v>
                </c:pt>
                <c:pt idx="144">
                  <c:v>15.35264</c:v>
                </c:pt>
                <c:pt idx="145">
                  <c:v>13.75264</c:v>
                </c:pt>
                <c:pt idx="146">
                  <c:v>12.15264</c:v>
                </c:pt>
                <c:pt idx="147">
                  <c:v>12.15264</c:v>
                </c:pt>
                <c:pt idx="148">
                  <c:v>12.15264</c:v>
                </c:pt>
                <c:pt idx="149">
                  <c:v>12.15264</c:v>
                </c:pt>
                <c:pt idx="150">
                  <c:v>12.15264</c:v>
                </c:pt>
                <c:pt idx="151">
                  <c:v>12.15264</c:v>
                </c:pt>
                <c:pt idx="152">
                  <c:v>12.15264</c:v>
                </c:pt>
                <c:pt idx="153">
                  <c:v>12.15264</c:v>
                </c:pt>
                <c:pt idx="154">
                  <c:v>12.15264</c:v>
                </c:pt>
                <c:pt idx="155">
                  <c:v>12.15264</c:v>
                </c:pt>
                <c:pt idx="156">
                  <c:v>12.15264</c:v>
                </c:pt>
                <c:pt idx="157">
                  <c:v>12.15264</c:v>
                </c:pt>
                <c:pt idx="158">
                  <c:v>12.15264</c:v>
                </c:pt>
                <c:pt idx="159">
                  <c:v>11.437376</c:v>
                </c:pt>
                <c:pt idx="160">
                  <c:v>10.722112</c:v>
                </c:pt>
                <c:pt idx="161">
                  <c:v>10.006848</c:v>
                </c:pt>
                <c:pt idx="162">
                  <c:v>9.291584</c:v>
                </c:pt>
                <c:pt idx="163">
                  <c:v>8.57632</c:v>
                </c:pt>
                <c:pt idx="164">
                  <c:v>7.861056</c:v>
                </c:pt>
                <c:pt idx="165">
                  <c:v>7.145792</c:v>
                </c:pt>
                <c:pt idx="166">
                  <c:v>6.430528</c:v>
                </c:pt>
                <c:pt idx="167">
                  <c:v>5.715264</c:v>
                </c:pt>
                <c:pt idx="168">
                  <c:v>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'Extra Short Time Gap'!$J$1</c:f>
              <c:strCache>
                <c:ptCount val="1"/>
                <c:pt idx="0">
                  <c:v>Simulated Dist [m]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'Extra Short Time Gap'!$J$2:$J$170</c:f>
              <c:numCache>
                <c:formatCode>General</c:formatCode>
                <c:ptCount val="16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5.4112768</c:v>
                </c:pt>
                <c:pt idx="12">
                  <c:v>6.46079161457778</c:v>
                </c:pt>
                <c:pt idx="13">
                  <c:v>7.88429048742495</c:v>
                </c:pt>
                <c:pt idx="14">
                  <c:v>9.44449466511637</c:v>
                </c:pt>
                <c:pt idx="15">
                  <c:v>10.9603802896437</c:v>
                </c:pt>
                <c:pt idx="16">
                  <c:v>12.3177515113932</c:v>
                </c:pt>
                <c:pt idx="17">
                  <c:v>13.4655749404037</c:v>
                </c:pt>
                <c:pt idx="18">
                  <c:v>14.4033607761912</c:v>
                </c:pt>
                <c:pt idx="19">
                  <c:v>15.1645734585851</c:v>
                </c:pt>
                <c:pt idx="20">
                  <c:v>15.8000502572705</c:v>
                </c:pt>
                <c:pt idx="21">
                  <c:v>15.9528161467308</c:v>
                </c:pt>
                <c:pt idx="22">
                  <c:v>15.4437971228151</c:v>
                </c:pt>
                <c:pt idx="23">
                  <c:v>14.5731306488044</c:v>
                </c:pt>
                <c:pt idx="24">
                  <c:v>13.6001605787265</c:v>
                </c:pt>
                <c:pt idx="25">
                  <c:v>12.7151644386481</c:v>
                </c:pt>
                <c:pt idx="26">
                  <c:v>12.0315164270797</c:v>
                </c:pt>
                <c:pt idx="27">
                  <c:v>11.5928077746139</c:v>
                </c:pt>
                <c:pt idx="28">
                  <c:v>11.3888462713568</c:v>
                </c:pt>
                <c:pt idx="29">
                  <c:v>11.3750326637377</c:v>
                </c:pt>
                <c:pt idx="30">
                  <c:v>11.4908828572654</c:v>
                </c:pt>
                <c:pt idx="31">
                  <c:v>11.6749976028253</c:v>
                </c:pt>
                <c:pt idx="32">
                  <c:v>11.875242751306</c:v>
                </c:pt>
                <c:pt idx="33">
                  <c:v>12.0540816348331</c:v>
                </c:pt>
                <c:pt idx="34">
                  <c:v>12.1898003746329</c:v>
                </c:pt>
                <c:pt idx="35">
                  <c:v>12.2747833986332</c:v>
                </c:pt>
                <c:pt idx="36">
                  <c:v>12.7233661941387</c:v>
                </c:pt>
                <c:pt idx="37">
                  <c:v>13.7722306800694</c:v>
                </c:pt>
                <c:pt idx="38">
                  <c:v>15.169744683002</c:v>
                </c:pt>
                <c:pt idx="39">
                  <c:v>16.6911648950801</c:v>
                </c:pt>
                <c:pt idx="40">
                  <c:v>18.1659282247666</c:v>
                </c:pt>
                <c:pt idx="41">
                  <c:v>19.4872260717896</c:v>
                </c:pt>
                <c:pt idx="42">
                  <c:v>20.6081638297109</c:v>
                </c:pt>
                <c:pt idx="43">
                  <c:v>21.5295474033064</c:v>
                </c:pt>
                <c:pt idx="44">
                  <c:v>22.2840229788554</c:v>
                </c:pt>
                <c:pt idx="45">
                  <c:v>22.9203243982252</c:v>
                </c:pt>
                <c:pt idx="46">
                  <c:v>23.0788502738928</c:v>
                </c:pt>
                <c:pt idx="47">
                  <c:v>22.5779723100517</c:v>
                </c:pt>
                <c:pt idx="48">
                  <c:v>21.7157329386246</c:v>
                </c:pt>
                <c:pt idx="49">
                  <c:v>20.7500258560049</c:v>
                </c:pt>
                <c:pt idx="50">
                  <c:v>19.8703439535764</c:v>
                </c:pt>
                <c:pt idx="51">
                  <c:v>19.1898490824399</c:v>
                </c:pt>
                <c:pt idx="52">
                  <c:v>18.7523378497657</c:v>
                </c:pt>
                <c:pt idx="53">
                  <c:v>18.5480703473266</c:v>
                </c:pt>
                <c:pt idx="54">
                  <c:v>18.5329923475887</c:v>
                </c:pt>
                <c:pt idx="55">
                  <c:v>18.6471392393967</c:v>
                </c:pt>
                <c:pt idx="56">
                  <c:v>18.82953055859</c:v>
                </c:pt>
                <c:pt idx="57">
                  <c:v>19.0283160728718</c:v>
                </c:pt>
                <c:pt idx="58">
                  <c:v>19.2061069604973</c:v>
                </c:pt>
                <c:pt idx="59">
                  <c:v>19.3412222044259</c:v>
                </c:pt>
                <c:pt idx="60">
                  <c:v>19.4259967421335</c:v>
                </c:pt>
                <c:pt idx="61">
                  <c:v>19.0521157386717</c:v>
                </c:pt>
                <c:pt idx="62">
                  <c:v>18.0022258672851</c:v>
                </c:pt>
                <c:pt idx="63">
                  <c:v>16.553097414837</c:v>
                </c:pt>
                <c:pt idx="64">
                  <c:v>14.9544610297426</c:v>
                </c:pt>
                <c:pt idx="65">
                  <c:v>13.3977459073029</c:v>
                </c:pt>
                <c:pt idx="66">
                  <c:v>12.0045074828217</c:v>
                </c:pt>
                <c:pt idx="67">
                  <c:v>10.8299133259776</c:v>
                </c:pt>
                <c:pt idx="68">
                  <c:v>9.87576053463329</c:v>
                </c:pt>
                <c:pt idx="69">
                  <c:v>9.10778699735135</c:v>
                </c:pt>
                <c:pt idx="70">
                  <c:v>8.47307531234583</c:v>
                </c:pt>
                <c:pt idx="71">
                  <c:v>8.32599550965358</c:v>
                </c:pt>
                <c:pt idx="72">
                  <c:v>8.84308393767378</c:v>
                </c:pt>
                <c:pt idx="73">
                  <c:v>9.72211889056996</c:v>
                </c:pt>
                <c:pt idx="74">
                  <c:v>10.7023114908283</c:v>
                </c:pt>
                <c:pt idx="75">
                  <c:v>11.5926000959437</c:v>
                </c:pt>
                <c:pt idx="76">
                  <c:v>12.2793955011803</c:v>
                </c:pt>
                <c:pt idx="77">
                  <c:v>12.7193074921445</c:v>
                </c:pt>
                <c:pt idx="78">
                  <c:v>12.9229757811302</c:v>
                </c:pt>
                <c:pt idx="79">
                  <c:v>12.935540326473</c:v>
                </c:pt>
                <c:pt idx="80">
                  <c:v>12.8180014003368</c:v>
                </c:pt>
                <c:pt idx="81">
                  <c:v>12.6321749436545</c:v>
                </c:pt>
                <c:pt idx="82">
                  <c:v>12.4304780786412</c:v>
                </c:pt>
                <c:pt idx="83">
                  <c:v>12.2505952977931</c:v>
                </c:pt>
                <c:pt idx="84">
                  <c:v>12.1142739416508</c:v>
                </c:pt>
                <c:pt idx="85">
                  <c:v>12.0290810118996</c:v>
                </c:pt>
                <c:pt idx="86">
                  <c:v>12.6772620855119</c:v>
                </c:pt>
                <c:pt idx="87">
                  <c:v>14.4272193584238</c:v>
                </c:pt>
                <c:pt idx="88">
                  <c:v>16.8258423983358</c:v>
                </c:pt>
                <c:pt idx="89">
                  <c:v>19.4650834098867</c:v>
                </c:pt>
                <c:pt idx="90">
                  <c:v>22.0327469347933</c:v>
                </c:pt>
                <c:pt idx="91">
                  <c:v>24.3311086615329</c:v>
                </c:pt>
                <c:pt idx="92">
                  <c:v>25.5855770297321</c:v>
                </c:pt>
                <c:pt idx="93">
                  <c:v>25.4158166272795</c:v>
                </c:pt>
                <c:pt idx="94">
                  <c:v>24.3188190157356</c:v>
                </c:pt>
                <c:pt idx="95">
                  <c:v>22.7768611482225</c:v>
                </c:pt>
                <c:pt idx="96">
                  <c:v>21.1847649171708</c:v>
                </c:pt>
                <c:pt idx="97">
                  <c:v>19.8152154343077</c:v>
                </c:pt>
                <c:pt idx="98">
                  <c:v>18.81516702214</c:v>
                </c:pt>
                <c:pt idx="99">
                  <c:v>18.2236631165563</c:v>
                </c:pt>
                <c:pt idx="100">
                  <c:v>18.0011412241947</c:v>
                </c:pt>
                <c:pt idx="101">
                  <c:v>18.0617205767103</c:v>
                </c:pt>
                <c:pt idx="102">
                  <c:v>18.3022941299655</c:v>
                </c:pt>
                <c:pt idx="103">
                  <c:v>18.6247981847482</c:v>
                </c:pt>
                <c:pt idx="104">
                  <c:v>18.9503265632964</c:v>
                </c:pt>
                <c:pt idx="105">
                  <c:v>18.5401080117131</c:v>
                </c:pt>
                <c:pt idx="106">
                  <c:v>16.988237346812</c:v>
                </c:pt>
                <c:pt idx="107">
                  <c:v>14.7291052569378</c:v>
                </c:pt>
                <c:pt idx="108">
                  <c:v>12.1676405393637</c:v>
                </c:pt>
                <c:pt idx="109">
                  <c:v>9.62387743298518</c:v>
                </c:pt>
                <c:pt idx="110">
                  <c:v>7.30946200402536</c:v>
                </c:pt>
                <c:pt idx="111">
                  <c:v>6.01474465632396</c:v>
                </c:pt>
                <c:pt idx="112">
                  <c:v>6.13451548035823</c:v>
                </c:pt>
                <c:pt idx="113">
                  <c:v>7.18303791536005</c:v>
                </c:pt>
                <c:pt idx="114">
                  <c:v>8.68533470941452</c:v>
                </c:pt>
                <c:pt idx="115">
                  <c:v>10.2500583008039</c:v>
                </c:pt>
                <c:pt idx="116">
                  <c:v>11.6048750789923</c:v>
                </c:pt>
                <c:pt idx="117">
                  <c:v>12.6010326802871</c:v>
                </c:pt>
                <c:pt idx="118">
                  <c:v>13.1965382413932</c:v>
                </c:pt>
                <c:pt idx="119">
                  <c:v>13.4277076737326</c:v>
                </c:pt>
                <c:pt idx="120">
                  <c:v>13.3774983431001</c:v>
                </c:pt>
                <c:pt idx="121">
                  <c:v>13.1467808360796</c:v>
                </c:pt>
                <c:pt idx="122">
                  <c:v>12.8322026213029</c:v>
                </c:pt>
                <c:pt idx="123">
                  <c:v>12.5120312360607</c:v>
                </c:pt>
                <c:pt idx="124">
                  <c:v>13.1596232021057</c:v>
                </c:pt>
                <c:pt idx="125">
                  <c:v>15.3107524312761</c:v>
                </c:pt>
                <c:pt idx="126">
                  <c:v>18.3809151768171</c:v>
                </c:pt>
                <c:pt idx="127">
                  <c:v>21.8305017573807</c:v>
                </c:pt>
                <c:pt idx="128">
                  <c:v>25.2368086939666</c:v>
                </c:pt>
                <c:pt idx="129">
                  <c:v>27.4034939353692</c:v>
                </c:pt>
                <c:pt idx="130">
                  <c:v>27.6890726995609</c:v>
                </c:pt>
                <c:pt idx="131">
                  <c:v>26.6679456502989</c:v>
                </c:pt>
                <c:pt idx="132">
                  <c:v>24.935323323323</c:v>
                </c:pt>
                <c:pt idx="133">
                  <c:v>23.0046007312687</c:v>
                </c:pt>
                <c:pt idx="134">
                  <c:v>21.251738751919</c:v>
                </c:pt>
                <c:pt idx="135">
                  <c:v>19.900098923895</c:v>
                </c:pt>
                <c:pt idx="136">
                  <c:v>19.0348309278461</c:v>
                </c:pt>
                <c:pt idx="137">
                  <c:v>18.6347521483251</c:v>
                </c:pt>
                <c:pt idx="138">
                  <c:v>18.6108217495646</c:v>
                </c:pt>
                <c:pt idx="139">
                  <c:v>18.8428444897099</c:v>
                </c:pt>
                <c:pt idx="140">
                  <c:v>19.2090828305384</c:v>
                </c:pt>
                <c:pt idx="141">
                  <c:v>19.6063517697894</c:v>
                </c:pt>
                <c:pt idx="142">
                  <c:v>19.0405019474458</c:v>
                </c:pt>
                <c:pt idx="143">
                  <c:v>16.961076366526</c:v>
                </c:pt>
                <c:pt idx="144">
                  <c:v>13.9443529262107</c:v>
                </c:pt>
                <c:pt idx="145">
                  <c:v>10.5273666918624</c:v>
                </c:pt>
                <c:pt idx="146">
                  <c:v>7.13444833459516</c:v>
                </c:pt>
                <c:pt idx="147">
                  <c:v>4.96612144575852</c:v>
                </c:pt>
                <c:pt idx="148">
                  <c:v>4.66909156498969</c:v>
                </c:pt>
                <c:pt idx="149">
                  <c:v>5.67403533088941</c:v>
                </c:pt>
                <c:pt idx="150">
                  <c:v>7.38990648164258</c:v>
                </c:pt>
                <c:pt idx="151">
                  <c:v>9.30619236118992</c:v>
                </c:pt>
                <c:pt idx="152">
                  <c:v>11.0484915396817</c:v>
                </c:pt>
                <c:pt idx="153">
                  <c:v>12.3938643858155</c:v>
                </c:pt>
                <c:pt idx="154">
                  <c:v>13.2567528410621</c:v>
                </c:pt>
                <c:pt idx="155">
                  <c:v>13.657440370861</c:v>
                </c:pt>
                <c:pt idx="156">
                  <c:v>13.6838843978321</c:v>
                </c:pt>
                <c:pt idx="157">
                  <c:v>13.4552475625687</c:v>
                </c:pt>
                <c:pt idx="158">
                  <c:v>13.0924349913566</c:v>
                </c:pt>
                <c:pt idx="159">
                  <c:v>12.286790571686</c:v>
                </c:pt>
                <c:pt idx="160">
                  <c:v>10.88520861088</c:v>
                </c:pt>
                <c:pt idx="161">
                  <c:v>9.19463700108713</c:v>
                </c:pt>
                <c:pt idx="162">
                  <c:v>7.46729426421553</c:v>
                </c:pt>
                <c:pt idx="163">
                  <c:v>5.87813892428289</c:v>
                </c:pt>
                <c:pt idx="164">
                  <c:v>4.52219925530108</c:v>
                </c:pt>
                <c:pt idx="165">
                  <c:v>3.42564350808198</c:v>
                </c:pt>
                <c:pt idx="166">
                  <c:v>2.56427823486774</c:v>
                </c:pt>
                <c:pt idx="167">
                  <c:v>1.88404891529922</c:v>
                </c:pt>
                <c:pt idx="168">
                  <c:v>1.31958424630011</c:v>
                </c:pt>
              </c:numCache>
            </c:numRef>
          </c:yVal>
          <c:smooth val="0"/>
        </c:ser>
        <c:axId val="99750313"/>
        <c:axId val="92935208"/>
      </c:scatterChart>
      <c:valAx>
        <c:axId val="9975031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935208"/>
        <c:crosses val="autoZero"/>
        <c:crossBetween val="midCat"/>
      </c:valAx>
      <c:valAx>
        <c:axId val="929352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75031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'Short Time Gap'!$D$1</c:f>
              <c:strCache>
                <c:ptCount val="1"/>
                <c:pt idx="0">
                  <c:v>Speed [mph]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'Short Time Gap'!$D$2:$D$170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2.00005696</c:v>
                </c:pt>
                <c:pt idx="12">
                  <c:v>4.00011392</c:v>
                </c:pt>
                <c:pt idx="13">
                  <c:v>6.00017088</c:v>
                </c:pt>
                <c:pt idx="14">
                  <c:v>8.00022784</c:v>
                </c:pt>
                <c:pt idx="15">
                  <c:v>10.0002848</c:v>
                </c:pt>
                <c:pt idx="16">
                  <c:v>12.00034176</c:v>
                </c:pt>
                <c:pt idx="17">
                  <c:v>14.00039872</c:v>
                </c:pt>
                <c:pt idx="18">
                  <c:v>16.00045568</c:v>
                </c:pt>
                <c:pt idx="19">
                  <c:v>18.00051264</c:v>
                </c:pt>
                <c:pt idx="20">
                  <c:v>20.0005696</c:v>
                </c:pt>
                <c:pt idx="21">
                  <c:v>20.0005696</c:v>
                </c:pt>
                <c:pt idx="22">
                  <c:v>20.0005696</c:v>
                </c:pt>
                <c:pt idx="23">
                  <c:v>20.0005696</c:v>
                </c:pt>
                <c:pt idx="24">
                  <c:v>20.0005696</c:v>
                </c:pt>
                <c:pt idx="25">
                  <c:v>20.0005696</c:v>
                </c:pt>
                <c:pt idx="26">
                  <c:v>20.0005696</c:v>
                </c:pt>
                <c:pt idx="27">
                  <c:v>20.0005696</c:v>
                </c:pt>
                <c:pt idx="28">
                  <c:v>20.0005696</c:v>
                </c:pt>
                <c:pt idx="29">
                  <c:v>20.0005696</c:v>
                </c:pt>
                <c:pt idx="30">
                  <c:v>20.0005696</c:v>
                </c:pt>
                <c:pt idx="31">
                  <c:v>20.0005696</c:v>
                </c:pt>
                <c:pt idx="32">
                  <c:v>20.0005696</c:v>
                </c:pt>
                <c:pt idx="33">
                  <c:v>20.0005696</c:v>
                </c:pt>
                <c:pt idx="34">
                  <c:v>20.0005696</c:v>
                </c:pt>
                <c:pt idx="35">
                  <c:v>20.0005696</c:v>
                </c:pt>
                <c:pt idx="36">
                  <c:v>22.00062656</c:v>
                </c:pt>
                <c:pt idx="37">
                  <c:v>24.00068352</c:v>
                </c:pt>
                <c:pt idx="38">
                  <c:v>26.00074048</c:v>
                </c:pt>
                <c:pt idx="39">
                  <c:v>28.00079744</c:v>
                </c:pt>
                <c:pt idx="40">
                  <c:v>30.0008544</c:v>
                </c:pt>
                <c:pt idx="41">
                  <c:v>32.00091136</c:v>
                </c:pt>
                <c:pt idx="42">
                  <c:v>34.00096832</c:v>
                </c:pt>
                <c:pt idx="43">
                  <c:v>36.00102528</c:v>
                </c:pt>
                <c:pt idx="44">
                  <c:v>38.00108224</c:v>
                </c:pt>
                <c:pt idx="45">
                  <c:v>40.0011392</c:v>
                </c:pt>
                <c:pt idx="46">
                  <c:v>40.0011392</c:v>
                </c:pt>
                <c:pt idx="47">
                  <c:v>40.0011392</c:v>
                </c:pt>
                <c:pt idx="48">
                  <c:v>40.0011392</c:v>
                </c:pt>
                <c:pt idx="49">
                  <c:v>40.0011392</c:v>
                </c:pt>
                <c:pt idx="50">
                  <c:v>40.0011392</c:v>
                </c:pt>
                <c:pt idx="51">
                  <c:v>40.0011392</c:v>
                </c:pt>
                <c:pt idx="52">
                  <c:v>40.0011392</c:v>
                </c:pt>
                <c:pt idx="53">
                  <c:v>40.0011392</c:v>
                </c:pt>
                <c:pt idx="54">
                  <c:v>40.0011392</c:v>
                </c:pt>
                <c:pt idx="55">
                  <c:v>40.0011392</c:v>
                </c:pt>
                <c:pt idx="56">
                  <c:v>40.0011392</c:v>
                </c:pt>
                <c:pt idx="57">
                  <c:v>40.0011392</c:v>
                </c:pt>
                <c:pt idx="58">
                  <c:v>40.0011392</c:v>
                </c:pt>
                <c:pt idx="59">
                  <c:v>40.0011392</c:v>
                </c:pt>
                <c:pt idx="60">
                  <c:v>40.0011392</c:v>
                </c:pt>
                <c:pt idx="61">
                  <c:v>38.00108224</c:v>
                </c:pt>
                <c:pt idx="62">
                  <c:v>36.00102528</c:v>
                </c:pt>
                <c:pt idx="63">
                  <c:v>34.00096832</c:v>
                </c:pt>
                <c:pt idx="64">
                  <c:v>32.00091136</c:v>
                </c:pt>
                <c:pt idx="65">
                  <c:v>30.0008544</c:v>
                </c:pt>
                <c:pt idx="66">
                  <c:v>28.00079744</c:v>
                </c:pt>
                <c:pt idx="67">
                  <c:v>26.00074048</c:v>
                </c:pt>
                <c:pt idx="68">
                  <c:v>24.00068352</c:v>
                </c:pt>
                <c:pt idx="69">
                  <c:v>22.00062656</c:v>
                </c:pt>
                <c:pt idx="70">
                  <c:v>20.0005696</c:v>
                </c:pt>
                <c:pt idx="71">
                  <c:v>20.0005696</c:v>
                </c:pt>
                <c:pt idx="72">
                  <c:v>20.0005696</c:v>
                </c:pt>
                <c:pt idx="73">
                  <c:v>20.0005696</c:v>
                </c:pt>
                <c:pt idx="74">
                  <c:v>20.0005696</c:v>
                </c:pt>
                <c:pt idx="75">
                  <c:v>20.0005696</c:v>
                </c:pt>
                <c:pt idx="76">
                  <c:v>20.0005696</c:v>
                </c:pt>
                <c:pt idx="77">
                  <c:v>20.0005696</c:v>
                </c:pt>
                <c:pt idx="78">
                  <c:v>20.0005696</c:v>
                </c:pt>
                <c:pt idx="79">
                  <c:v>20.0005696</c:v>
                </c:pt>
                <c:pt idx="80">
                  <c:v>20.0005696</c:v>
                </c:pt>
                <c:pt idx="81">
                  <c:v>20.0005696</c:v>
                </c:pt>
                <c:pt idx="82">
                  <c:v>20.0005696</c:v>
                </c:pt>
                <c:pt idx="83">
                  <c:v>20.0005696</c:v>
                </c:pt>
                <c:pt idx="84">
                  <c:v>20.0005696</c:v>
                </c:pt>
                <c:pt idx="85">
                  <c:v>20.0005696</c:v>
                </c:pt>
                <c:pt idx="86">
                  <c:v>23.3336996</c:v>
                </c:pt>
                <c:pt idx="87">
                  <c:v>26.6668296</c:v>
                </c:pt>
                <c:pt idx="88">
                  <c:v>29.9999596</c:v>
                </c:pt>
                <c:pt idx="89">
                  <c:v>33.3330896</c:v>
                </c:pt>
                <c:pt idx="90">
                  <c:v>36.6662196</c:v>
                </c:pt>
                <c:pt idx="91">
                  <c:v>39.9993496</c:v>
                </c:pt>
                <c:pt idx="92">
                  <c:v>39.9993496</c:v>
                </c:pt>
                <c:pt idx="93">
                  <c:v>39.9993496</c:v>
                </c:pt>
                <c:pt idx="94">
                  <c:v>39.9993496</c:v>
                </c:pt>
                <c:pt idx="95">
                  <c:v>39.9993496</c:v>
                </c:pt>
                <c:pt idx="96">
                  <c:v>39.9993496</c:v>
                </c:pt>
                <c:pt idx="97">
                  <c:v>39.9993496</c:v>
                </c:pt>
                <c:pt idx="98">
                  <c:v>39.9993496</c:v>
                </c:pt>
                <c:pt idx="99">
                  <c:v>39.9993496</c:v>
                </c:pt>
                <c:pt idx="100">
                  <c:v>39.9993496</c:v>
                </c:pt>
                <c:pt idx="101">
                  <c:v>39.9993496</c:v>
                </c:pt>
                <c:pt idx="102">
                  <c:v>39.9993496</c:v>
                </c:pt>
                <c:pt idx="103">
                  <c:v>39.9993496</c:v>
                </c:pt>
                <c:pt idx="104">
                  <c:v>39.9993496</c:v>
                </c:pt>
                <c:pt idx="105">
                  <c:v>36.6662196</c:v>
                </c:pt>
                <c:pt idx="106">
                  <c:v>33.3330896</c:v>
                </c:pt>
                <c:pt idx="107">
                  <c:v>29.9999596</c:v>
                </c:pt>
                <c:pt idx="108">
                  <c:v>26.6668296</c:v>
                </c:pt>
                <c:pt idx="109">
                  <c:v>23.3336996</c:v>
                </c:pt>
                <c:pt idx="110">
                  <c:v>20.0005696</c:v>
                </c:pt>
                <c:pt idx="111">
                  <c:v>20.0005696</c:v>
                </c:pt>
                <c:pt idx="112">
                  <c:v>20.0005696</c:v>
                </c:pt>
                <c:pt idx="113">
                  <c:v>20.0005696</c:v>
                </c:pt>
                <c:pt idx="114">
                  <c:v>20.0005696</c:v>
                </c:pt>
                <c:pt idx="115">
                  <c:v>20.0005696</c:v>
                </c:pt>
                <c:pt idx="116">
                  <c:v>20.0005696</c:v>
                </c:pt>
                <c:pt idx="117">
                  <c:v>20.0005696</c:v>
                </c:pt>
                <c:pt idx="118">
                  <c:v>20.0005696</c:v>
                </c:pt>
                <c:pt idx="119">
                  <c:v>20.0005696</c:v>
                </c:pt>
                <c:pt idx="120">
                  <c:v>20.0005696</c:v>
                </c:pt>
                <c:pt idx="121">
                  <c:v>20.0005696</c:v>
                </c:pt>
                <c:pt idx="122">
                  <c:v>20.0005696</c:v>
                </c:pt>
                <c:pt idx="123">
                  <c:v>20.0005696</c:v>
                </c:pt>
                <c:pt idx="124">
                  <c:v>24.4745696</c:v>
                </c:pt>
                <c:pt idx="125">
                  <c:v>28.9485696</c:v>
                </c:pt>
                <c:pt idx="126">
                  <c:v>33.4225696</c:v>
                </c:pt>
                <c:pt idx="127">
                  <c:v>37.8965696</c:v>
                </c:pt>
                <c:pt idx="128">
                  <c:v>42.3705696</c:v>
                </c:pt>
                <c:pt idx="129">
                  <c:v>42.3705696</c:v>
                </c:pt>
                <c:pt idx="130">
                  <c:v>42.3705696</c:v>
                </c:pt>
                <c:pt idx="131">
                  <c:v>42.3705696</c:v>
                </c:pt>
                <c:pt idx="132">
                  <c:v>42.3705696</c:v>
                </c:pt>
                <c:pt idx="133">
                  <c:v>42.3705696</c:v>
                </c:pt>
                <c:pt idx="134">
                  <c:v>42.3705696</c:v>
                </c:pt>
                <c:pt idx="135">
                  <c:v>42.3705696</c:v>
                </c:pt>
                <c:pt idx="136">
                  <c:v>42.3705696</c:v>
                </c:pt>
                <c:pt idx="137">
                  <c:v>42.3705696</c:v>
                </c:pt>
                <c:pt idx="138">
                  <c:v>42.3705696</c:v>
                </c:pt>
                <c:pt idx="139">
                  <c:v>42.3705696</c:v>
                </c:pt>
                <c:pt idx="140">
                  <c:v>42.3705696</c:v>
                </c:pt>
                <c:pt idx="141">
                  <c:v>42.3705696</c:v>
                </c:pt>
                <c:pt idx="142">
                  <c:v>37.8965696</c:v>
                </c:pt>
                <c:pt idx="143">
                  <c:v>33.4225696</c:v>
                </c:pt>
                <c:pt idx="144">
                  <c:v>28.9485696</c:v>
                </c:pt>
                <c:pt idx="145">
                  <c:v>24.4745696</c:v>
                </c:pt>
                <c:pt idx="146">
                  <c:v>20.0005696</c:v>
                </c:pt>
                <c:pt idx="147">
                  <c:v>20.0005696</c:v>
                </c:pt>
                <c:pt idx="148">
                  <c:v>20.0005696</c:v>
                </c:pt>
                <c:pt idx="149">
                  <c:v>20.0005696</c:v>
                </c:pt>
                <c:pt idx="150">
                  <c:v>20.0005696</c:v>
                </c:pt>
                <c:pt idx="151">
                  <c:v>20.0005696</c:v>
                </c:pt>
                <c:pt idx="152">
                  <c:v>20.0005696</c:v>
                </c:pt>
                <c:pt idx="153">
                  <c:v>20.0005696</c:v>
                </c:pt>
                <c:pt idx="154">
                  <c:v>20.0005696</c:v>
                </c:pt>
                <c:pt idx="155">
                  <c:v>20.0005696</c:v>
                </c:pt>
                <c:pt idx="156">
                  <c:v>20.0005696</c:v>
                </c:pt>
                <c:pt idx="157">
                  <c:v>20.0005696</c:v>
                </c:pt>
                <c:pt idx="158">
                  <c:v>20.0005696</c:v>
                </c:pt>
                <c:pt idx="159">
                  <c:v>18.00051264</c:v>
                </c:pt>
                <c:pt idx="160">
                  <c:v>16.00045568</c:v>
                </c:pt>
                <c:pt idx="161">
                  <c:v>14.00039872</c:v>
                </c:pt>
                <c:pt idx="162">
                  <c:v>12.00034176</c:v>
                </c:pt>
                <c:pt idx="163">
                  <c:v>10.0002848</c:v>
                </c:pt>
                <c:pt idx="164">
                  <c:v>8.00022783999999</c:v>
                </c:pt>
                <c:pt idx="165">
                  <c:v>6.00017087999999</c:v>
                </c:pt>
                <c:pt idx="166">
                  <c:v>4.00011391999999</c:v>
                </c:pt>
                <c:pt idx="167">
                  <c:v>2.00005695999999</c:v>
                </c:pt>
                <c:pt idx="168">
                  <c:v>-7.45070671825942E-015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'Short Time Gap'!$F$1</c:f>
              <c:strCache>
                <c:ptCount val="1"/>
                <c:pt idx="0">
                  <c:v>Simulated Ego Spd [mph]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'Short Time Gap'!$F$2:$F$200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0.2400068352</c:v>
                </c:pt>
                <c:pt idx="12">
                  <c:v>1.02182465629298</c:v>
                </c:pt>
                <c:pt idx="13">
                  <c:v>2.36277738183526</c:v>
                </c:pt>
                <c:pt idx="14">
                  <c:v>4.18451729350345</c:v>
                </c:pt>
                <c:pt idx="15">
                  <c:v>6.35718069324894</c:v>
                </c:pt>
                <c:pt idx="16">
                  <c:v>8.73727035469788</c:v>
                </c:pt>
                <c:pt idx="17">
                  <c:v>11.1952386671354</c:v>
                </c:pt>
                <c:pt idx="18">
                  <c:v>13.6317301333988</c:v>
                </c:pt>
                <c:pt idx="19">
                  <c:v>15.9836098773076</c:v>
                </c:pt>
                <c:pt idx="20">
                  <c:v>18.2221765878451</c:v>
                </c:pt>
                <c:pt idx="21">
                  <c:v>20.1064179813964</c:v>
                </c:pt>
                <c:pt idx="22">
                  <c:v>21.3522486069119</c:v>
                </c:pt>
                <c:pt idx="23">
                  <c:v>21.9697618437009</c:v>
                </c:pt>
                <c:pt idx="24">
                  <c:v>22.0668117854156</c:v>
                </c:pt>
                <c:pt idx="25">
                  <c:v>21.7994214036313</c:v>
                </c:pt>
                <c:pt idx="26">
                  <c:v>21.330795159789</c:v>
                </c:pt>
                <c:pt idx="27">
                  <c:v>20.8026929249633</c:v>
                </c:pt>
                <c:pt idx="28">
                  <c:v>20.3196943410727</c:v>
                </c:pt>
                <c:pt idx="29">
                  <c:v>19.9446343318392</c:v>
                </c:pt>
                <c:pt idx="30">
                  <c:v>19.7022601421281</c:v>
                </c:pt>
                <c:pt idx="31">
                  <c:v>19.5878102513127</c:v>
                </c:pt>
                <c:pt idx="32">
                  <c:v>19.5775117841461</c:v>
                </c:pt>
                <c:pt idx="33">
                  <c:v>19.6386748245248</c:v>
                </c:pt>
                <c:pt idx="34">
                  <c:v>19.7378925016861</c:v>
                </c:pt>
                <c:pt idx="35">
                  <c:v>19.8466522202412</c:v>
                </c:pt>
                <c:pt idx="36">
                  <c:v>20.1843158319095</c:v>
                </c:pt>
                <c:pt idx="37">
                  <c:v>21.0406371006938</c:v>
                </c:pt>
                <c:pt idx="38">
                  <c:v>22.4285886215452</c:v>
                </c:pt>
                <c:pt idx="39">
                  <c:v>24.2713315153249</c:v>
                </c:pt>
                <c:pt idx="40">
                  <c:v>26.444195779037</c:v>
                </c:pt>
                <c:pt idx="41">
                  <c:v>28.8105119458221</c:v>
                </c:pt>
                <c:pt idx="42">
                  <c:v>31.2475568401528</c:v>
                </c:pt>
                <c:pt idx="43">
                  <c:v>33.661699196222</c:v>
                </c:pt>
                <c:pt idx="44">
                  <c:v>35.9938700229242</c:v>
                </c:pt>
                <c:pt idx="45">
                  <c:v>38.2176682780567</c:v>
                </c:pt>
                <c:pt idx="46">
                  <c:v>40.0928285038717</c:v>
                </c:pt>
                <c:pt idx="47">
                  <c:v>41.334850767217</c:v>
                </c:pt>
                <c:pt idx="48">
                  <c:v>41.9527023164582</c:v>
                </c:pt>
                <c:pt idx="49">
                  <c:v>42.0528153333905</c:v>
                </c:pt>
                <c:pt idx="50">
                  <c:v>41.7898214086111</c:v>
                </c:pt>
                <c:pt idx="51">
                  <c:v>41.3257779427958</c:v>
                </c:pt>
                <c:pt idx="52">
                  <c:v>40.8016460444217</c:v>
                </c:pt>
                <c:pt idx="53">
                  <c:v>40.321568542009</c:v>
                </c:pt>
                <c:pt idx="54">
                  <c:v>39.9482564106997</c:v>
                </c:pt>
                <c:pt idx="55">
                  <c:v>39.7065625776831</c:v>
                </c:pt>
                <c:pt idx="56">
                  <c:v>39.5919681052784</c:v>
                </c:pt>
                <c:pt idx="57">
                  <c:v>39.5809954261243</c:v>
                </c:pt>
                <c:pt idx="58">
                  <c:v>39.6412377576702</c:v>
                </c:pt>
                <c:pt idx="59">
                  <c:v>39.7395176501568</c:v>
                </c:pt>
                <c:pt idx="60">
                  <c:v>39.8474790185626</c:v>
                </c:pt>
                <c:pt idx="61">
                  <c:v>39.7045525074675</c:v>
                </c:pt>
                <c:pt idx="62">
                  <c:v>38.99690314731</c:v>
                </c:pt>
                <c:pt idx="63">
                  <c:v>37.7028299615841</c:v>
                </c:pt>
                <c:pt idx="64">
                  <c:v>35.9021375513047</c:v>
                </c:pt>
                <c:pt idx="65">
                  <c:v>33.7298221376366</c:v>
                </c:pt>
                <c:pt idx="66">
                  <c:v>31.3361512000204</c:v>
                </c:pt>
                <c:pt idx="67">
                  <c:v>28.8574509867528</c:v>
                </c:pt>
                <c:pt idx="68">
                  <c:v>26.3987706445962</c:v>
                </c:pt>
                <c:pt idx="69">
                  <c:v>24.027295471318</c:v>
                </c:pt>
                <c:pt idx="70">
                  <c:v>21.7740242037623</c:v>
                </c:pt>
                <c:pt idx="71">
                  <c:v>19.8807220243684</c:v>
                </c:pt>
                <c:pt idx="72">
                  <c:v>18.6310709736363</c:v>
                </c:pt>
                <c:pt idx="73">
                  <c:v>18.0138641817428</c:v>
                </c:pt>
                <c:pt idx="74">
                  <c:v>17.9198373014022</c:v>
                </c:pt>
                <c:pt idx="75">
                  <c:v>18.1915851043083</c:v>
                </c:pt>
                <c:pt idx="76">
                  <c:v>18.6647620261851</c:v>
                </c:pt>
                <c:pt idx="77">
                  <c:v>19.1968123105901</c:v>
                </c:pt>
                <c:pt idx="78">
                  <c:v>19.6827198517674</c:v>
                </c:pt>
                <c:pt idx="79">
                  <c:v>20.0595243766366</c:v>
                </c:pt>
                <c:pt idx="80">
                  <c:v>20.30258197413</c:v>
                </c:pt>
                <c:pt idx="81">
                  <c:v>20.4168941419456</c:v>
                </c:pt>
                <c:pt idx="82">
                  <c:v>20.4265267041151</c:v>
                </c:pt>
                <c:pt idx="83">
                  <c:v>20.3644508961427</c:v>
                </c:pt>
                <c:pt idx="84">
                  <c:v>20.2643018527533</c:v>
                </c:pt>
                <c:pt idx="85">
                  <c:v>20.1547481492298</c:v>
                </c:pt>
                <c:pt idx="86">
                  <c:v>20.4564928071255</c:v>
                </c:pt>
                <c:pt idx="87">
                  <c:v>21.6845680085154</c:v>
                </c:pt>
                <c:pt idx="88">
                  <c:v>23.8721704528769</c:v>
                </c:pt>
                <c:pt idx="89">
                  <c:v>26.8871720339238</c:v>
                </c:pt>
                <c:pt idx="90">
                  <c:v>30.5078982308742</c:v>
                </c:pt>
                <c:pt idx="91">
                  <c:v>34.4883234933741</c:v>
                </c:pt>
                <c:pt idx="92">
                  <c:v>38.2057088473513</c:v>
                </c:pt>
                <c:pt idx="93">
                  <c:v>40.9857599879095</c:v>
                </c:pt>
                <c:pt idx="94">
                  <c:v>42.6903095699268</c:v>
                </c:pt>
                <c:pt idx="95">
                  <c:v>43.3997910190684</c:v>
                </c:pt>
                <c:pt idx="96">
                  <c:v>43.3282080108918</c:v>
                </c:pt>
                <c:pt idx="97">
                  <c:v>42.7446551570816</c:v>
                </c:pt>
                <c:pt idx="98">
                  <c:v>41.9118559058772</c:v>
                </c:pt>
                <c:pt idx="99">
                  <c:v>41.0459943265245</c:v>
                </c:pt>
                <c:pt idx="100">
                  <c:v>40.297281147562</c:v>
                </c:pt>
                <c:pt idx="101">
                  <c:v>39.7475430612983</c:v>
                </c:pt>
                <c:pt idx="102">
                  <c:v>39.4196092537091</c:v>
                </c:pt>
                <c:pt idx="103">
                  <c:v>39.2930945086037</c:v>
                </c:pt>
                <c:pt idx="104">
                  <c:v>39.3219301119219</c:v>
                </c:pt>
                <c:pt idx="105">
                  <c:v>39.0502700428058</c:v>
                </c:pt>
                <c:pt idx="106">
                  <c:v>37.9217015785732</c:v>
                </c:pt>
                <c:pt idx="107">
                  <c:v>35.8641246095483</c:v>
                </c:pt>
                <c:pt idx="108">
                  <c:v>32.9786831861056</c:v>
                </c:pt>
                <c:pt idx="109">
                  <c:v>29.4663604906736</c:v>
                </c:pt>
                <c:pt idx="110">
                  <c:v>25.5627181497246</c:v>
                </c:pt>
                <c:pt idx="111">
                  <c:v>21.8885693829906</c:v>
                </c:pt>
                <c:pt idx="112">
                  <c:v>19.1223150444674</c:v>
                </c:pt>
                <c:pt idx="113">
                  <c:v>17.4096113140717</c:v>
                </c:pt>
                <c:pt idx="114">
                  <c:v>16.6785756136582</c:v>
                </c:pt>
                <c:pt idx="115">
                  <c:v>16.7230911633613</c:v>
                </c:pt>
                <c:pt idx="116">
                  <c:v>17.280236338035</c:v>
                </c:pt>
                <c:pt idx="117">
                  <c:v>18.0913188110302</c:v>
                </c:pt>
                <c:pt idx="118">
                  <c:v>18.9421015465342</c:v>
                </c:pt>
                <c:pt idx="119">
                  <c:v>19.6826107911985</c:v>
                </c:pt>
                <c:pt idx="120">
                  <c:v>20.230072582194</c:v>
                </c:pt>
                <c:pt idx="121">
                  <c:v>20.5600691605349</c:v>
                </c:pt>
                <c:pt idx="122">
                  <c:v>20.6912229379681</c:v>
                </c:pt>
                <c:pt idx="123">
                  <c:v>20.6680066659791</c:v>
                </c:pt>
                <c:pt idx="124">
                  <c:v>21.0819433966263</c:v>
                </c:pt>
                <c:pt idx="125">
                  <c:v>22.6608177412651</c:v>
                </c:pt>
                <c:pt idx="126">
                  <c:v>25.4862527121885</c:v>
                </c:pt>
                <c:pt idx="127">
                  <c:v>29.4123961119841</c:v>
                </c:pt>
                <c:pt idx="128">
                  <c:v>34.1644028006746</c:v>
                </c:pt>
                <c:pt idx="129">
                  <c:v>38.8883132308529</c:v>
                </c:pt>
                <c:pt idx="130">
                  <c:v>42.6146393350041</c:v>
                </c:pt>
                <c:pt idx="131">
                  <c:v>45.0728377887769</c:v>
                </c:pt>
                <c:pt idx="132">
                  <c:v>46.2856120927555</c:v>
                </c:pt>
                <c:pt idx="133">
                  <c:v>46.4685535452099</c:v>
                </c:pt>
                <c:pt idx="134">
                  <c:v>45.9318448883813</c:v>
                </c:pt>
                <c:pt idx="135">
                  <c:v>44.9991611955405</c:v>
                </c:pt>
                <c:pt idx="136">
                  <c:v>43.9511446771451</c:v>
                </c:pt>
                <c:pt idx="137">
                  <c:v>42.9944437492934</c:v>
                </c:pt>
                <c:pt idx="138">
                  <c:v>42.2528671087401</c:v>
                </c:pt>
                <c:pt idx="139">
                  <c:v>41.7747829877988</c:v>
                </c:pt>
                <c:pt idx="140">
                  <c:v>41.5502158319044</c:v>
                </c:pt>
                <c:pt idx="141">
                  <c:v>41.5316917398875</c:v>
                </c:pt>
                <c:pt idx="142">
                  <c:v>41.1173626085982</c:v>
                </c:pt>
                <c:pt idx="143">
                  <c:v>39.5658713201107</c:v>
                </c:pt>
                <c:pt idx="144">
                  <c:v>36.7820295042358</c:v>
                </c:pt>
                <c:pt idx="145">
                  <c:v>32.9003113070476</c:v>
                </c:pt>
                <c:pt idx="146">
                  <c:v>28.1874804006874</c:v>
                </c:pt>
                <c:pt idx="147">
                  <c:v>23.4929245266252</c:v>
                </c:pt>
                <c:pt idx="148">
                  <c:v>19.7846477526145</c:v>
                </c:pt>
                <c:pt idx="149">
                  <c:v>17.3340176786347</c:v>
                </c:pt>
                <c:pt idx="150">
                  <c:v>16.1205695204004</c:v>
                </c:pt>
                <c:pt idx="151">
                  <c:v>15.9315385009328</c:v>
                </c:pt>
                <c:pt idx="152">
                  <c:v>16.4595076033795</c:v>
                </c:pt>
                <c:pt idx="153">
                  <c:v>17.383081758609</c:v>
                </c:pt>
                <c:pt idx="154">
                  <c:v>18.4232063917955</c:v>
                </c:pt>
                <c:pt idx="155">
                  <c:v>19.3741012487802</c:v>
                </c:pt>
                <c:pt idx="156">
                  <c:v>20.11220390988</c:v>
                </c:pt>
                <c:pt idx="157">
                  <c:v>20.588935995552</c:v>
                </c:pt>
                <c:pt idx="158">
                  <c:v>20.8137908177758</c:v>
                </c:pt>
                <c:pt idx="159">
                  <c:v>20.5936484230552</c:v>
                </c:pt>
                <c:pt idx="160">
                  <c:v>19.6911099654976</c:v>
                </c:pt>
                <c:pt idx="161">
                  <c:v>18.1546359698768</c:v>
                </c:pt>
                <c:pt idx="162">
                  <c:v>16.1186989411428</c:v>
                </c:pt>
                <c:pt idx="163">
                  <c:v>13.7537833928296</c:v>
                </c:pt>
                <c:pt idx="164">
                  <c:v>11.2270808229361</c:v>
                </c:pt>
                <c:pt idx="165">
                  <c:v>8.67667642292618</c:v>
                </c:pt>
                <c:pt idx="166">
                  <c:v>6.19893131779096</c:v>
                </c:pt>
                <c:pt idx="167">
                  <c:v>3.84673880163795</c:v>
                </c:pt>
                <c:pt idx="168">
                  <c:v>1.63534911904608</c:v>
                </c:pt>
                <c:pt idx="169">
                  <c:v>-0.207663453417554</c:v>
                </c:pt>
                <c:pt idx="170">
                  <c:v>-1.40948069303445</c:v>
                </c:pt>
                <c:pt idx="171">
                  <c:v>-1.98819553146284</c:v>
                </c:pt>
                <c:pt idx="172">
                  <c:v>-2.05618450655639</c:v>
                </c:pt>
                <c:pt idx="173">
                  <c:v>-1.77093498791976</c:v>
                </c:pt>
                <c:pt idx="174">
                  <c:v>-1.29483065915043</c:v>
                </c:pt>
                <c:pt idx="175">
                  <c:v>-0.767411091863075</c:v>
                </c:pt>
                <c:pt idx="176">
                  <c:v>-0.290454859541348</c:v>
                </c:pt>
                <c:pt idx="177">
                  <c:v>0.0759427660120072</c:v>
                </c:pt>
                <c:pt idx="178">
                  <c:v>0.309292249584509</c:v>
                </c:pt>
                <c:pt idx="179">
                  <c:v>0.415926572641285</c:v>
                </c:pt>
                <c:pt idx="180">
                  <c:v>0.420477301473966</c:v>
                </c:pt>
                <c:pt idx="181">
                  <c:v>0.355877175227788</c:v>
                </c:pt>
                <c:pt idx="182">
                  <c:v>0.255324051755887</c:v>
                </c:pt>
                <c:pt idx="183">
                  <c:v>0.146852310897559</c:v>
                </c:pt>
                <c:pt idx="184">
                  <c:v>0.0505252345600856</c:v>
                </c:pt>
                <c:pt idx="185">
                  <c:v>-0.0221642614521805</c:v>
                </c:pt>
                <c:pt idx="186">
                  <c:v>-0.0673163936036794</c:v>
                </c:pt>
                <c:pt idx="187">
                  <c:v>-0.0867478961814577</c:v>
                </c:pt>
                <c:pt idx="188">
                  <c:v>-0.085814548390136</c:v>
                </c:pt>
                <c:pt idx="189">
                  <c:v>-0.0713823906183878</c:v>
                </c:pt>
                <c:pt idx="190">
                  <c:v>-0.0502250042522742</c:v>
                </c:pt>
                <c:pt idx="191">
                  <c:v>-0.0279642086169781</c:v>
                </c:pt>
                <c:pt idx="192">
                  <c:v>-0.00854539824479001</c:v>
                </c:pt>
                <c:pt idx="193">
                  <c:v>0.00584437962445196</c:v>
                </c:pt>
                <c:pt idx="194">
                  <c:v>0.0145484327812262</c:v>
                </c:pt>
                <c:pt idx="195">
                  <c:v>0.0180414014450616</c:v>
                </c:pt>
                <c:pt idx="196">
                  <c:v>0.0174798056325793</c:v>
                </c:pt>
                <c:pt idx="197">
                  <c:v>0.0142911051329268</c:v>
                </c:pt>
                <c:pt idx="198">
                  <c:v>0.00985468717217334</c:v>
                </c:pt>
              </c:numCache>
            </c:numRef>
          </c:yVal>
          <c:smooth val="0"/>
        </c:ser>
        <c:axId val="36519282"/>
        <c:axId val="48195109"/>
      </c:scatterChart>
      <c:valAx>
        <c:axId val="36519282"/>
        <c:scaling>
          <c:orientation val="minMax"/>
          <c:max val="22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195109"/>
        <c:crosses val="autoZero"/>
        <c:crossBetween val="midCat"/>
      </c:valAx>
      <c:valAx>
        <c:axId val="4819510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51928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'Short Time Gap'!$H$1</c:f>
              <c:strCache>
                <c:ptCount val="1"/>
                <c:pt idx="0">
                  <c:v>Safe Theorical Gap [m]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'Short Time Gap'!$H$2:$H$200</c:f>
              <c:numCache>
                <c:formatCode>General</c:formatCode>
                <c:ptCount val="1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5.89408</c:v>
                </c:pt>
                <c:pt idx="12">
                  <c:v>6.78816</c:v>
                </c:pt>
                <c:pt idx="13">
                  <c:v>7.68224</c:v>
                </c:pt>
                <c:pt idx="14">
                  <c:v>8.57632</c:v>
                </c:pt>
                <c:pt idx="15">
                  <c:v>9.4704</c:v>
                </c:pt>
                <c:pt idx="16">
                  <c:v>10.36448</c:v>
                </c:pt>
                <c:pt idx="17">
                  <c:v>11.25856</c:v>
                </c:pt>
                <c:pt idx="18">
                  <c:v>12.15264</c:v>
                </c:pt>
                <c:pt idx="19">
                  <c:v>13.04672</c:v>
                </c:pt>
                <c:pt idx="20">
                  <c:v>13.9408</c:v>
                </c:pt>
                <c:pt idx="21">
                  <c:v>13.9408</c:v>
                </c:pt>
                <c:pt idx="22">
                  <c:v>13.9408</c:v>
                </c:pt>
                <c:pt idx="23">
                  <c:v>13.9408</c:v>
                </c:pt>
                <c:pt idx="24">
                  <c:v>13.9408</c:v>
                </c:pt>
                <c:pt idx="25">
                  <c:v>13.9408</c:v>
                </c:pt>
                <c:pt idx="26">
                  <c:v>13.9408</c:v>
                </c:pt>
                <c:pt idx="27">
                  <c:v>13.9408</c:v>
                </c:pt>
                <c:pt idx="28">
                  <c:v>13.9408</c:v>
                </c:pt>
                <c:pt idx="29">
                  <c:v>13.9408</c:v>
                </c:pt>
                <c:pt idx="30">
                  <c:v>13.9408</c:v>
                </c:pt>
                <c:pt idx="31">
                  <c:v>13.9408</c:v>
                </c:pt>
                <c:pt idx="32">
                  <c:v>13.9408</c:v>
                </c:pt>
                <c:pt idx="33">
                  <c:v>13.9408</c:v>
                </c:pt>
                <c:pt idx="34">
                  <c:v>13.9408</c:v>
                </c:pt>
                <c:pt idx="35">
                  <c:v>13.9408</c:v>
                </c:pt>
                <c:pt idx="36">
                  <c:v>14.83488</c:v>
                </c:pt>
                <c:pt idx="37">
                  <c:v>15.72896</c:v>
                </c:pt>
                <c:pt idx="38">
                  <c:v>16.62304</c:v>
                </c:pt>
                <c:pt idx="39">
                  <c:v>17.51712</c:v>
                </c:pt>
                <c:pt idx="40">
                  <c:v>18.4112</c:v>
                </c:pt>
                <c:pt idx="41">
                  <c:v>19.30528</c:v>
                </c:pt>
                <c:pt idx="42">
                  <c:v>20.19936</c:v>
                </c:pt>
                <c:pt idx="43">
                  <c:v>21.09344</c:v>
                </c:pt>
                <c:pt idx="44">
                  <c:v>21.98752</c:v>
                </c:pt>
                <c:pt idx="45">
                  <c:v>22.8816</c:v>
                </c:pt>
                <c:pt idx="46">
                  <c:v>22.8816</c:v>
                </c:pt>
                <c:pt idx="47">
                  <c:v>22.8816</c:v>
                </c:pt>
                <c:pt idx="48">
                  <c:v>22.8816</c:v>
                </c:pt>
                <c:pt idx="49">
                  <c:v>22.8816</c:v>
                </c:pt>
                <c:pt idx="50">
                  <c:v>22.8816</c:v>
                </c:pt>
                <c:pt idx="51">
                  <c:v>22.8816</c:v>
                </c:pt>
                <c:pt idx="52">
                  <c:v>22.8816</c:v>
                </c:pt>
                <c:pt idx="53">
                  <c:v>22.8816</c:v>
                </c:pt>
                <c:pt idx="54">
                  <c:v>22.8816</c:v>
                </c:pt>
                <c:pt idx="55">
                  <c:v>22.8816</c:v>
                </c:pt>
                <c:pt idx="56">
                  <c:v>22.8816</c:v>
                </c:pt>
                <c:pt idx="57">
                  <c:v>22.8816</c:v>
                </c:pt>
                <c:pt idx="58">
                  <c:v>22.8816</c:v>
                </c:pt>
                <c:pt idx="59">
                  <c:v>22.8816</c:v>
                </c:pt>
                <c:pt idx="60">
                  <c:v>22.8816</c:v>
                </c:pt>
                <c:pt idx="61">
                  <c:v>21.98752</c:v>
                </c:pt>
                <c:pt idx="62">
                  <c:v>21.09344</c:v>
                </c:pt>
                <c:pt idx="63">
                  <c:v>20.19936</c:v>
                </c:pt>
                <c:pt idx="64">
                  <c:v>19.30528</c:v>
                </c:pt>
                <c:pt idx="65">
                  <c:v>18.4112</c:v>
                </c:pt>
                <c:pt idx="66">
                  <c:v>17.51712</c:v>
                </c:pt>
                <c:pt idx="67">
                  <c:v>16.62304</c:v>
                </c:pt>
                <c:pt idx="68">
                  <c:v>15.72896</c:v>
                </c:pt>
                <c:pt idx="69">
                  <c:v>14.83488</c:v>
                </c:pt>
                <c:pt idx="70">
                  <c:v>13.9408</c:v>
                </c:pt>
                <c:pt idx="71">
                  <c:v>13.9408</c:v>
                </c:pt>
                <c:pt idx="72">
                  <c:v>13.9408</c:v>
                </c:pt>
                <c:pt idx="73">
                  <c:v>13.9408</c:v>
                </c:pt>
                <c:pt idx="74">
                  <c:v>13.9408</c:v>
                </c:pt>
                <c:pt idx="75">
                  <c:v>13.9408</c:v>
                </c:pt>
                <c:pt idx="76">
                  <c:v>13.9408</c:v>
                </c:pt>
                <c:pt idx="77">
                  <c:v>13.9408</c:v>
                </c:pt>
                <c:pt idx="78">
                  <c:v>13.9408</c:v>
                </c:pt>
                <c:pt idx="79">
                  <c:v>13.9408</c:v>
                </c:pt>
                <c:pt idx="80">
                  <c:v>13.9408</c:v>
                </c:pt>
                <c:pt idx="81">
                  <c:v>13.9408</c:v>
                </c:pt>
                <c:pt idx="82">
                  <c:v>13.9408</c:v>
                </c:pt>
                <c:pt idx="83">
                  <c:v>13.9408</c:v>
                </c:pt>
                <c:pt idx="84">
                  <c:v>13.9408</c:v>
                </c:pt>
                <c:pt idx="85">
                  <c:v>13.9408</c:v>
                </c:pt>
                <c:pt idx="86">
                  <c:v>15.4308</c:v>
                </c:pt>
                <c:pt idx="87">
                  <c:v>16.9208</c:v>
                </c:pt>
                <c:pt idx="88">
                  <c:v>18.4108</c:v>
                </c:pt>
                <c:pt idx="89">
                  <c:v>19.9008</c:v>
                </c:pt>
                <c:pt idx="90">
                  <c:v>21.3908</c:v>
                </c:pt>
                <c:pt idx="91">
                  <c:v>22.8808</c:v>
                </c:pt>
                <c:pt idx="92">
                  <c:v>22.8808</c:v>
                </c:pt>
                <c:pt idx="93">
                  <c:v>22.8808</c:v>
                </c:pt>
                <c:pt idx="94">
                  <c:v>22.8808</c:v>
                </c:pt>
                <c:pt idx="95">
                  <c:v>22.8808</c:v>
                </c:pt>
                <c:pt idx="96">
                  <c:v>22.8808</c:v>
                </c:pt>
                <c:pt idx="97">
                  <c:v>22.8808</c:v>
                </c:pt>
                <c:pt idx="98">
                  <c:v>22.8808</c:v>
                </c:pt>
                <c:pt idx="99">
                  <c:v>22.8808</c:v>
                </c:pt>
                <c:pt idx="100">
                  <c:v>22.8808</c:v>
                </c:pt>
                <c:pt idx="101">
                  <c:v>22.8808</c:v>
                </c:pt>
                <c:pt idx="102">
                  <c:v>22.8808</c:v>
                </c:pt>
                <c:pt idx="103">
                  <c:v>22.8808</c:v>
                </c:pt>
                <c:pt idx="104">
                  <c:v>22.8808</c:v>
                </c:pt>
                <c:pt idx="105">
                  <c:v>21.3908</c:v>
                </c:pt>
                <c:pt idx="106">
                  <c:v>19.9008</c:v>
                </c:pt>
                <c:pt idx="107">
                  <c:v>18.4108</c:v>
                </c:pt>
                <c:pt idx="108">
                  <c:v>16.9208</c:v>
                </c:pt>
                <c:pt idx="109">
                  <c:v>15.4308</c:v>
                </c:pt>
                <c:pt idx="110">
                  <c:v>13.9408</c:v>
                </c:pt>
                <c:pt idx="111">
                  <c:v>13.9408</c:v>
                </c:pt>
                <c:pt idx="112">
                  <c:v>13.9408</c:v>
                </c:pt>
                <c:pt idx="113">
                  <c:v>13.9408</c:v>
                </c:pt>
                <c:pt idx="114">
                  <c:v>13.9408</c:v>
                </c:pt>
                <c:pt idx="115">
                  <c:v>13.9408</c:v>
                </c:pt>
                <c:pt idx="116">
                  <c:v>13.9408</c:v>
                </c:pt>
                <c:pt idx="117">
                  <c:v>13.9408</c:v>
                </c:pt>
                <c:pt idx="118">
                  <c:v>13.9408</c:v>
                </c:pt>
                <c:pt idx="119">
                  <c:v>13.9408</c:v>
                </c:pt>
                <c:pt idx="120">
                  <c:v>13.9408</c:v>
                </c:pt>
                <c:pt idx="121">
                  <c:v>13.9408</c:v>
                </c:pt>
                <c:pt idx="122">
                  <c:v>13.9408</c:v>
                </c:pt>
                <c:pt idx="123">
                  <c:v>13.9408</c:v>
                </c:pt>
                <c:pt idx="124">
                  <c:v>15.9408</c:v>
                </c:pt>
                <c:pt idx="125">
                  <c:v>17.9408</c:v>
                </c:pt>
                <c:pt idx="126">
                  <c:v>19.9408</c:v>
                </c:pt>
                <c:pt idx="127">
                  <c:v>21.9408</c:v>
                </c:pt>
                <c:pt idx="128">
                  <c:v>23.9408</c:v>
                </c:pt>
                <c:pt idx="129">
                  <c:v>23.9408</c:v>
                </c:pt>
                <c:pt idx="130">
                  <c:v>23.9408</c:v>
                </c:pt>
                <c:pt idx="131">
                  <c:v>23.9408</c:v>
                </c:pt>
                <c:pt idx="132">
                  <c:v>23.9408</c:v>
                </c:pt>
                <c:pt idx="133">
                  <c:v>23.9408</c:v>
                </c:pt>
                <c:pt idx="134">
                  <c:v>23.9408</c:v>
                </c:pt>
                <c:pt idx="135">
                  <c:v>23.9408</c:v>
                </c:pt>
                <c:pt idx="136">
                  <c:v>23.9408</c:v>
                </c:pt>
                <c:pt idx="137">
                  <c:v>23.9408</c:v>
                </c:pt>
                <c:pt idx="138">
                  <c:v>23.9408</c:v>
                </c:pt>
                <c:pt idx="139">
                  <c:v>23.9408</c:v>
                </c:pt>
                <c:pt idx="140">
                  <c:v>23.9408</c:v>
                </c:pt>
                <c:pt idx="141">
                  <c:v>23.9408</c:v>
                </c:pt>
                <c:pt idx="142">
                  <c:v>21.9408</c:v>
                </c:pt>
                <c:pt idx="143">
                  <c:v>19.9408</c:v>
                </c:pt>
                <c:pt idx="144">
                  <c:v>17.9408</c:v>
                </c:pt>
                <c:pt idx="145">
                  <c:v>15.9408</c:v>
                </c:pt>
                <c:pt idx="146">
                  <c:v>13.9408</c:v>
                </c:pt>
                <c:pt idx="147">
                  <c:v>13.9408</c:v>
                </c:pt>
                <c:pt idx="148">
                  <c:v>13.9408</c:v>
                </c:pt>
                <c:pt idx="149">
                  <c:v>13.9408</c:v>
                </c:pt>
                <c:pt idx="150">
                  <c:v>13.9408</c:v>
                </c:pt>
                <c:pt idx="151">
                  <c:v>13.9408</c:v>
                </c:pt>
                <c:pt idx="152">
                  <c:v>13.9408</c:v>
                </c:pt>
                <c:pt idx="153">
                  <c:v>13.9408</c:v>
                </c:pt>
                <c:pt idx="154">
                  <c:v>13.9408</c:v>
                </c:pt>
                <c:pt idx="155">
                  <c:v>13.9408</c:v>
                </c:pt>
                <c:pt idx="156">
                  <c:v>13.9408</c:v>
                </c:pt>
                <c:pt idx="157">
                  <c:v>13.9408</c:v>
                </c:pt>
                <c:pt idx="158">
                  <c:v>13.9408</c:v>
                </c:pt>
                <c:pt idx="159">
                  <c:v>13.04672</c:v>
                </c:pt>
                <c:pt idx="160">
                  <c:v>12.15264</c:v>
                </c:pt>
                <c:pt idx="161">
                  <c:v>11.25856</c:v>
                </c:pt>
                <c:pt idx="162">
                  <c:v>10.36448</c:v>
                </c:pt>
                <c:pt idx="163">
                  <c:v>9.4704</c:v>
                </c:pt>
                <c:pt idx="164">
                  <c:v>8.57632</c:v>
                </c:pt>
                <c:pt idx="165">
                  <c:v>7.68224</c:v>
                </c:pt>
                <c:pt idx="166">
                  <c:v>6.78816</c:v>
                </c:pt>
                <c:pt idx="167">
                  <c:v>5.89408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'Short Time Gap'!$K$1</c:f>
              <c:strCache>
                <c:ptCount val="1"/>
                <c:pt idx="0">
                  <c:v>Simulated Gap [m]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'Short Time Gap'!$K$2:$K$200</c:f>
              <c:numCache>
                <c:formatCode>General</c:formatCode>
                <c:ptCount val="1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5.41723733333333</c:v>
                </c:pt>
                <c:pt idx="12">
                  <c:v>6.49998808177778</c:v>
                </c:pt>
                <c:pt idx="13">
                  <c:v>7.99842568313363</c:v>
                </c:pt>
                <c:pt idx="14">
                  <c:v>9.67823142782263</c:v>
                </c:pt>
                <c:pt idx="15">
                  <c:v>11.3531795905423</c:v>
                </c:pt>
                <c:pt idx="16">
                  <c:v>12.8992390828111</c:v>
                </c:pt>
                <c:pt idx="17">
                  <c:v>14.2540182678617</c:v>
                </c:pt>
                <c:pt idx="18">
                  <c:v>15.4064757603463</c:v>
                </c:pt>
                <c:pt idx="19">
                  <c:v>16.3817626907558</c:v>
                </c:pt>
                <c:pt idx="20">
                  <c:v>17.2252406805353</c:v>
                </c:pt>
                <c:pt idx="21">
                  <c:v>17.5712813570837</c:v>
                </c:pt>
                <c:pt idx="22">
                  <c:v>17.2191013966261</c:v>
                </c:pt>
                <c:pt idx="23">
                  <c:v>16.4556202917601</c:v>
                </c:pt>
                <c:pt idx="24">
                  <c:v>15.5393116465356</c:v>
                </c:pt>
                <c:pt idx="25">
                  <c:v>14.6679984674047</c:v>
                </c:pt>
                <c:pt idx="26">
                  <c:v>13.9670268588137</c:v>
                </c:pt>
                <c:pt idx="27">
                  <c:v>13.4930004994155</c:v>
                </c:pt>
                <c:pt idx="28">
                  <c:v>13.2473434635218</c:v>
                </c:pt>
                <c:pt idx="29">
                  <c:v>13.1942681106673</c:v>
                </c:pt>
                <c:pt idx="30">
                  <c:v>13.2788045159268</c:v>
                </c:pt>
                <c:pt idx="31">
                  <c:v>13.4419704112005</c:v>
                </c:pt>
                <c:pt idx="32">
                  <c:v>13.6315839584086</c:v>
                </c:pt>
                <c:pt idx="33">
                  <c:v>13.8084165967401</c:v>
                </c:pt>
                <c:pt idx="34">
                  <c:v>13.9482327792218</c:v>
                </c:pt>
                <c:pt idx="35">
                  <c:v>14.040744840157</c:v>
                </c:pt>
                <c:pt idx="36">
                  <c:v>14.5039057982697</c:v>
                </c:pt>
                <c:pt idx="37">
                  <c:v>15.5939669653187</c:v>
                </c:pt>
                <c:pt idx="38">
                  <c:v>17.0726593913029</c:v>
                </c:pt>
                <c:pt idx="39">
                  <c:v>18.7177634796285</c:v>
                </c:pt>
                <c:pt idx="40">
                  <c:v>20.3535689309927</c:v>
                </c:pt>
                <c:pt idx="41">
                  <c:v>21.8638068454984</c:v>
                </c:pt>
                <c:pt idx="42">
                  <c:v>23.1907536441669</c:v>
                </c:pt>
                <c:pt idx="43">
                  <c:v>24.3252112055908</c:v>
                </c:pt>
                <c:pt idx="44">
                  <c:v>25.2919841239034</c:v>
                </c:pt>
                <c:pt idx="45">
                  <c:v>26.13467558522</c:v>
                </c:pt>
                <c:pt idx="46">
                  <c:v>26.4852354082493</c:v>
                </c:pt>
                <c:pt idx="47">
                  <c:v>26.1404034950679</c:v>
                </c:pt>
                <c:pt idx="48">
                  <c:v>25.3849842104936</c:v>
                </c:pt>
                <c:pt idx="49">
                  <c:v>24.4759187147884</c:v>
                </c:pt>
                <c:pt idx="50">
                  <c:v>23.6101346515542</c:v>
                </c:pt>
                <c:pt idx="51">
                  <c:v>22.9126538021232</c:v>
                </c:pt>
                <c:pt idx="52">
                  <c:v>22.4401904255407</c:v>
                </c:pt>
                <c:pt idx="53">
                  <c:v>22.1945528673486</c:v>
                </c:pt>
                <c:pt idx="54">
                  <c:v>22.1404593670225</c:v>
                </c:pt>
                <c:pt idx="55">
                  <c:v>22.2234459939763</c:v>
                </c:pt>
                <c:pt idx="56">
                  <c:v>22.3849551422549</c:v>
                </c:pt>
                <c:pt idx="57">
                  <c:v>22.5731068018584</c:v>
                </c:pt>
                <c:pt idx="58">
                  <c:v>22.7488433531515</c:v>
                </c:pt>
                <c:pt idx="59">
                  <c:v>22.887984964489</c:v>
                </c:pt>
                <c:pt idx="60">
                  <c:v>22.9802134946009</c:v>
                </c:pt>
                <c:pt idx="61">
                  <c:v>22.6089239560957</c:v>
                </c:pt>
                <c:pt idx="62">
                  <c:v>21.5337101355747</c:v>
                </c:pt>
                <c:pt idx="63">
                  <c:v>20.0158530376085</c:v>
                </c:pt>
                <c:pt idx="64">
                  <c:v>18.3016853827876</c:v>
                </c:pt>
                <c:pt idx="65">
                  <c:v>16.5878890218813</c:v>
                </c:pt>
                <c:pt idx="66">
                  <c:v>15.0062247649179</c:v>
                </c:pt>
                <c:pt idx="67">
                  <c:v>13.6237430474063</c:v>
                </c:pt>
                <c:pt idx="68">
                  <c:v>12.4533363037758</c:v>
                </c:pt>
                <c:pt idx="69">
                  <c:v>11.4695248231707</c:v>
                </c:pt>
                <c:pt idx="70">
                  <c:v>10.6252104326194</c:v>
                </c:pt>
                <c:pt idx="71">
                  <c:v>10.2836206914818</c:v>
                </c:pt>
                <c:pt idx="72">
                  <c:v>10.6430791715031</c:v>
                </c:pt>
                <c:pt idx="73">
                  <c:v>11.4145628727423</c:v>
                </c:pt>
                <c:pt idx="74">
                  <c:v>12.3380718778693</c:v>
                </c:pt>
                <c:pt idx="75">
                  <c:v>13.2148892822884</c:v>
                </c:pt>
                <c:pt idx="76">
                  <c:v>13.9193427603664</c:v>
                </c:pt>
                <c:pt idx="77">
                  <c:v>14.3949353673393</c:v>
                </c:pt>
                <c:pt idx="78">
                  <c:v>14.6406227666007</c:v>
                </c:pt>
                <c:pt idx="79">
                  <c:v>14.6926942139681</c:v>
                </c:pt>
                <c:pt idx="80">
                  <c:v>14.6066222304897</c:v>
                </c:pt>
                <c:pt idx="81">
                  <c:v>14.4418114755907</c:v>
                </c:pt>
                <c:pt idx="82">
                  <c:v>14.2507444655678</c:v>
                </c:pt>
                <c:pt idx="83">
                  <c:v>14.0728204888344</c:v>
                </c:pt>
                <c:pt idx="84">
                  <c:v>13.9323312560024</c:v>
                </c:pt>
                <c:pt idx="85">
                  <c:v>13.8395347769874</c:v>
                </c:pt>
                <c:pt idx="86">
                  <c:v>14.4889662971545</c:v>
                </c:pt>
                <c:pt idx="87">
                  <c:v>16.2863025339732</c:v>
                </c:pt>
                <c:pt idx="88">
                  <c:v>18.8035430352285</c:v>
                </c:pt>
                <c:pt idx="89">
                  <c:v>21.638007789513</c:v>
                </c:pt>
                <c:pt idx="90">
                  <c:v>24.4687738471386</c:v>
                </c:pt>
                <c:pt idx="91">
                  <c:v>27.0813465947986</c:v>
                </c:pt>
                <c:pt idx="92">
                  <c:v>28.6717385219782</c:v>
                </c:pt>
                <c:pt idx="93">
                  <c:v>28.805956869192</c:v>
                </c:pt>
                <c:pt idx="94">
                  <c:v>27.9426210829479</c:v>
                </c:pt>
                <c:pt idx="95">
                  <c:v>26.5496034839775</c:v>
                </c:pt>
                <c:pt idx="96">
                  <c:v>25.0257024171121</c:v>
                </c:pt>
                <c:pt idx="97">
                  <c:v>23.6592590909664</c:v>
                </c:pt>
                <c:pt idx="98">
                  <c:v>22.6181929901852</c:v>
                </c:pt>
                <c:pt idx="99">
                  <c:v>21.9626979046629</c:v>
                </c:pt>
                <c:pt idx="100">
                  <c:v>21.6710829577937</c:v>
                </c:pt>
                <c:pt idx="101">
                  <c:v>21.6702661708603</c:v>
                </c:pt>
                <c:pt idx="102">
                  <c:v>21.8644801848393</c:v>
                </c:pt>
                <c:pt idx="103">
                  <c:v>22.158161298692</c:v>
                </c:pt>
                <c:pt idx="104">
                  <c:v>22.4712574451646</c:v>
                </c:pt>
                <c:pt idx="105">
                  <c:v>22.0516589534896</c:v>
                </c:pt>
                <c:pt idx="106">
                  <c:v>20.4535676349965</c:v>
                </c:pt>
                <c:pt idx="107">
                  <c:v>18.0830149273716</c:v>
                </c:pt>
                <c:pt idx="108">
                  <c:v>15.3364125776795</c:v>
                </c:pt>
                <c:pt idx="109">
                  <c:v>12.5399467570326</c:v>
                </c:pt>
                <c:pt idx="110">
                  <c:v>9.92025716432977</c:v>
                </c:pt>
                <c:pt idx="111">
                  <c:v>8.29613476464851</c:v>
                </c:pt>
                <c:pt idx="112">
                  <c:v>8.11577575863862</c:v>
                </c:pt>
                <c:pt idx="113">
                  <c:v>8.93207682277648</c:v>
                </c:pt>
                <c:pt idx="114">
                  <c:v>10.2850278427209</c:v>
                </c:pt>
                <c:pt idx="115">
                  <c:v>11.7799788022814</c:v>
                </c:pt>
                <c:pt idx="116">
                  <c:v>13.1295802780999</c:v>
                </c:pt>
                <c:pt idx="117">
                  <c:v>14.1646294180387</c:v>
                </c:pt>
                <c:pt idx="118">
                  <c:v>14.8223306863488</c:v>
                </c:pt>
                <c:pt idx="119">
                  <c:v>15.1213081993058</c:v>
                </c:pt>
                <c:pt idx="120">
                  <c:v>15.1317589199239</c:v>
                </c:pt>
                <c:pt idx="121">
                  <c:v>14.9471511677816</c:v>
                </c:pt>
                <c:pt idx="122">
                  <c:v>14.6615122286848</c:v>
                </c:pt>
                <c:pt idx="123">
                  <c:v>14.3541160744885</c:v>
                </c:pt>
                <c:pt idx="124">
                  <c:v>15.0149277102696</c:v>
                </c:pt>
                <c:pt idx="125">
                  <c:v>17.2316698061097</c:v>
                </c:pt>
                <c:pt idx="126">
                  <c:v>20.4563596775388</c:v>
                </c:pt>
                <c:pt idx="127">
                  <c:v>24.1595595543592</c:v>
                </c:pt>
                <c:pt idx="128">
                  <c:v>27.9094415346115</c:v>
                </c:pt>
                <c:pt idx="129">
                  <c:v>30.4757409971407</c:v>
                </c:pt>
                <c:pt idx="130">
                  <c:v>31.1443325298205</c:v>
                </c:pt>
                <c:pt idx="131">
                  <c:v>30.4334690878143</c:v>
                </c:pt>
                <c:pt idx="132">
                  <c:v>28.9124342965547</c:v>
                </c:pt>
                <c:pt idx="133">
                  <c:v>27.0931222607449</c:v>
                </c:pt>
                <c:pt idx="134">
                  <c:v>25.3666052792378</c:v>
                </c:pt>
                <c:pt idx="135">
                  <c:v>23.9800590040393</c:v>
                </c:pt>
                <c:pt idx="136">
                  <c:v>23.0444485407231</c:v>
                </c:pt>
                <c:pt idx="137">
                  <c:v>22.5615946072021</c:v>
                </c:pt>
                <c:pt idx="138">
                  <c:v>22.4598739940657</c:v>
                </c:pt>
                <c:pt idx="139">
                  <c:v>22.6299631183051</c:v>
                </c:pt>
                <c:pt idx="140">
                  <c:v>22.9548597185392</c:v>
                </c:pt>
                <c:pt idx="141">
                  <c:v>23.3312394763357</c:v>
                </c:pt>
                <c:pt idx="142">
                  <c:v>22.748235736035</c:v>
                </c:pt>
                <c:pt idx="143">
                  <c:v>20.6026973463381</c:v>
                </c:pt>
                <c:pt idx="144">
                  <c:v>17.4333290214327</c:v>
                </c:pt>
                <c:pt idx="145">
                  <c:v>13.7659054926701</c:v>
                </c:pt>
                <c:pt idx="146">
                  <c:v>10.0329442172388</c:v>
                </c:pt>
                <c:pt idx="147">
                  <c:v>7.4682056350207</c:v>
                </c:pt>
                <c:pt idx="148">
                  <c:v>6.79062935863749</c:v>
                </c:pt>
                <c:pt idx="149">
                  <c:v>7.48688569080969</c:v>
                </c:pt>
                <c:pt idx="150">
                  <c:v>8.99189525918428</c:v>
                </c:pt>
                <c:pt idx="151">
                  <c:v>10.7968099015327</c:v>
                </c:pt>
                <c:pt idx="152">
                  <c:v>12.512336877669</c:v>
                </c:pt>
                <c:pt idx="153">
                  <c:v>13.891945024468</c:v>
                </c:pt>
                <c:pt idx="154">
                  <c:v>14.8244492851416</c:v>
                </c:pt>
                <c:pt idx="155">
                  <c:v>15.3072650113081</c:v>
                </c:pt>
                <c:pt idx="156">
                  <c:v>15.4110098028484</c:v>
                </c:pt>
                <c:pt idx="157">
                  <c:v>15.2440014459646</c:v>
                </c:pt>
                <c:pt idx="158">
                  <c:v>14.9223981012447</c:v>
                </c:pt>
                <c:pt idx="159">
                  <c:v>14.1316868316944</c:v>
                </c:pt>
                <c:pt idx="160">
                  <c:v>12.7007851305589</c:v>
                </c:pt>
                <c:pt idx="161">
                  <c:v>10.9271822227479</c:v>
                </c:pt>
                <c:pt idx="162">
                  <c:v>9.06539881403069</c:v>
                </c:pt>
                <c:pt idx="163">
                  <c:v>7.30020760024195</c:v>
                </c:pt>
                <c:pt idx="164">
                  <c:v>5.73990673727258</c:v>
                </c:pt>
                <c:pt idx="165">
                  <c:v>4.42411547493907</c:v>
                </c:pt>
                <c:pt idx="166">
                  <c:v>3.34004863692712</c:v>
                </c:pt>
                <c:pt idx="167">
                  <c:v>2.44185542879836</c:v>
                </c:pt>
                <c:pt idx="168">
                  <c:v>1.668900627428</c:v>
                </c:pt>
                <c:pt idx="169">
                  <c:v>1.37763302405233</c:v>
                </c:pt>
                <c:pt idx="170">
                  <c:v>1.76521760156447</c:v>
                </c:pt>
                <c:pt idx="171">
                  <c:v>2.5454259442854</c:v>
                </c:pt>
                <c:pt idx="172">
                  <c:v>3.46325260605954</c:v>
                </c:pt>
                <c:pt idx="173">
                  <c:v>4.32564601164268</c:v>
                </c:pt>
                <c:pt idx="174">
                  <c:v>5.01213730026689</c:v>
                </c:pt>
                <c:pt idx="175">
                  <c:v>5.47028626051088</c:v>
                </c:pt>
                <c:pt idx="176">
                  <c:v>5.70168404084097</c:v>
                </c:pt>
                <c:pt idx="177">
                  <c:v>5.74387880970926</c:v>
                </c:pt>
                <c:pt idx="178">
                  <c:v>5.65247684630413</c:v>
                </c:pt>
                <c:pt idx="179">
                  <c:v>5.48624094444767</c:v>
                </c:pt>
                <c:pt idx="180">
                  <c:v>5.29659518360791</c:v>
                </c:pt>
                <c:pt idx="181">
                  <c:v>5.12177151080232</c:v>
                </c:pt>
                <c:pt idx="182">
                  <c:v>4.98500911724614</c:v>
                </c:pt>
                <c:pt idx="183">
                  <c:v>4.89575978839025</c:v>
                </c:pt>
                <c:pt idx="184">
                  <c:v>4.85271399669614</c:v>
                </c:pt>
                <c:pt idx="185">
                  <c:v>4.84756043194989</c:v>
                </c:pt>
                <c:pt idx="186">
                  <c:v>4.86863223105956</c:v>
                </c:pt>
                <c:pt idx="187">
                  <c:v>4.90389063346584</c:v>
                </c:pt>
                <c:pt idx="188">
                  <c:v>4.94298452747194</c:v>
                </c:pt>
                <c:pt idx="189">
                  <c:v>4.97835928001268</c:v>
                </c:pt>
                <c:pt idx="190">
                  <c:v>5.0055499766645</c:v>
                </c:pt>
                <c:pt idx="191">
                  <c:v>5.02288085621944</c:v>
                </c:pt>
                <c:pt idx="192">
                  <c:v>5.0308151212937</c:v>
                </c:pt>
                <c:pt idx="193">
                  <c:v>5.03117503143767</c:v>
                </c:pt>
                <c:pt idx="194">
                  <c:v>5.02640053504501</c:v>
                </c:pt>
                <c:pt idx="195">
                  <c:v>5.0189530087132</c:v>
                </c:pt>
                <c:pt idx="196">
                  <c:v>5.01091218255215</c:v>
                </c:pt>
                <c:pt idx="197">
                  <c:v>5.0037673932477</c:v>
                </c:pt>
                <c:pt idx="198">
                  <c:v>4.99837266496911</c:v>
                </c:pt>
              </c:numCache>
            </c:numRef>
          </c:yVal>
          <c:smooth val="0"/>
        </c:ser>
        <c:axId val="5046363"/>
        <c:axId val="48289105"/>
      </c:scatterChart>
      <c:valAx>
        <c:axId val="504636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289105"/>
        <c:crosses val="autoZero"/>
        <c:crossBetween val="midCat"/>
      </c:valAx>
      <c:valAx>
        <c:axId val="482891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04636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Speed vs Distance</a:t>
            </a:r>
          </a:p>
        </c:rich>
      </c:tx>
      <c:layout>
        <c:manualLayout>
          <c:xMode val="edge"/>
          <c:yMode val="edge"/>
          <c:x val="0.421266161390994"/>
          <c:y val="0.030368296360112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'Short Time Gap'!$D$1</c:f>
              <c:strCache>
                <c:ptCount val="1"/>
                <c:pt idx="0">
                  <c:v>Speed [mph]</c:v>
                </c:pt>
              </c:strCache>
            </c:strRef>
          </c:tx>
          <c:spPr>
            <a:solidFill>
              <a:srgbClr val="808080"/>
            </a:solidFill>
            <a:ln cap="rnd" w="1908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'Short Time Gap'!$B$2:$B$201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0.89408</c:v>
                </c:pt>
                <c:pt idx="12">
                  <c:v>2.68224</c:v>
                </c:pt>
                <c:pt idx="13">
                  <c:v>5.36448</c:v>
                </c:pt>
                <c:pt idx="14">
                  <c:v>8.9408</c:v>
                </c:pt>
                <c:pt idx="15">
                  <c:v>13.4112</c:v>
                </c:pt>
                <c:pt idx="16">
                  <c:v>18.77568</c:v>
                </c:pt>
                <c:pt idx="17">
                  <c:v>25.03424</c:v>
                </c:pt>
                <c:pt idx="18">
                  <c:v>32.18688</c:v>
                </c:pt>
                <c:pt idx="19">
                  <c:v>40.2336</c:v>
                </c:pt>
                <c:pt idx="20">
                  <c:v>49.1744</c:v>
                </c:pt>
                <c:pt idx="21">
                  <c:v>58.1152</c:v>
                </c:pt>
                <c:pt idx="22">
                  <c:v>67.056</c:v>
                </c:pt>
                <c:pt idx="23">
                  <c:v>75.9968</c:v>
                </c:pt>
                <c:pt idx="24">
                  <c:v>84.9376</c:v>
                </c:pt>
                <c:pt idx="25">
                  <c:v>93.8784</c:v>
                </c:pt>
                <c:pt idx="26">
                  <c:v>102.8192</c:v>
                </c:pt>
                <c:pt idx="27">
                  <c:v>111.76</c:v>
                </c:pt>
                <c:pt idx="28">
                  <c:v>120.7008</c:v>
                </c:pt>
                <c:pt idx="29">
                  <c:v>129.6416</c:v>
                </c:pt>
                <c:pt idx="30">
                  <c:v>138.5824</c:v>
                </c:pt>
                <c:pt idx="31">
                  <c:v>147.5232</c:v>
                </c:pt>
                <c:pt idx="32">
                  <c:v>156.464</c:v>
                </c:pt>
                <c:pt idx="33">
                  <c:v>165.4048</c:v>
                </c:pt>
                <c:pt idx="34">
                  <c:v>174.3456</c:v>
                </c:pt>
                <c:pt idx="35">
                  <c:v>183.2864</c:v>
                </c:pt>
                <c:pt idx="36">
                  <c:v>193.12128</c:v>
                </c:pt>
                <c:pt idx="37">
                  <c:v>203.85024</c:v>
                </c:pt>
                <c:pt idx="38">
                  <c:v>215.47328</c:v>
                </c:pt>
                <c:pt idx="39">
                  <c:v>227.9904</c:v>
                </c:pt>
                <c:pt idx="40">
                  <c:v>241.4016</c:v>
                </c:pt>
                <c:pt idx="41">
                  <c:v>255.70688</c:v>
                </c:pt>
                <c:pt idx="42">
                  <c:v>270.90624</c:v>
                </c:pt>
                <c:pt idx="43">
                  <c:v>286.99968</c:v>
                </c:pt>
                <c:pt idx="44">
                  <c:v>303.9872</c:v>
                </c:pt>
                <c:pt idx="45">
                  <c:v>321.8688</c:v>
                </c:pt>
                <c:pt idx="46">
                  <c:v>339.7504</c:v>
                </c:pt>
                <c:pt idx="47">
                  <c:v>357.632</c:v>
                </c:pt>
                <c:pt idx="48">
                  <c:v>375.5136</c:v>
                </c:pt>
                <c:pt idx="49">
                  <c:v>393.3952</c:v>
                </c:pt>
                <c:pt idx="50">
                  <c:v>411.2768</c:v>
                </c:pt>
                <c:pt idx="51">
                  <c:v>429.1584</c:v>
                </c:pt>
                <c:pt idx="52">
                  <c:v>447.04</c:v>
                </c:pt>
                <c:pt idx="53">
                  <c:v>464.9216</c:v>
                </c:pt>
                <c:pt idx="54">
                  <c:v>482.8032</c:v>
                </c:pt>
                <c:pt idx="55">
                  <c:v>500.6848</c:v>
                </c:pt>
                <c:pt idx="56">
                  <c:v>518.5664</c:v>
                </c:pt>
                <c:pt idx="57">
                  <c:v>536.448</c:v>
                </c:pt>
                <c:pt idx="58">
                  <c:v>554.3296</c:v>
                </c:pt>
                <c:pt idx="59">
                  <c:v>572.2112</c:v>
                </c:pt>
                <c:pt idx="60">
                  <c:v>590.0928</c:v>
                </c:pt>
                <c:pt idx="61">
                  <c:v>607.08032</c:v>
                </c:pt>
                <c:pt idx="62">
                  <c:v>623.17376</c:v>
                </c:pt>
                <c:pt idx="63">
                  <c:v>638.37312</c:v>
                </c:pt>
                <c:pt idx="64">
                  <c:v>652.6784</c:v>
                </c:pt>
                <c:pt idx="65">
                  <c:v>666.0896</c:v>
                </c:pt>
                <c:pt idx="66">
                  <c:v>678.60672</c:v>
                </c:pt>
                <c:pt idx="67">
                  <c:v>690.22976</c:v>
                </c:pt>
                <c:pt idx="68">
                  <c:v>700.95872</c:v>
                </c:pt>
                <c:pt idx="69">
                  <c:v>710.7936</c:v>
                </c:pt>
                <c:pt idx="70">
                  <c:v>719.7344</c:v>
                </c:pt>
                <c:pt idx="71">
                  <c:v>728.6752</c:v>
                </c:pt>
                <c:pt idx="72">
                  <c:v>737.616</c:v>
                </c:pt>
                <c:pt idx="73">
                  <c:v>746.5568</c:v>
                </c:pt>
                <c:pt idx="74">
                  <c:v>755.4976</c:v>
                </c:pt>
                <c:pt idx="75">
                  <c:v>764.4384</c:v>
                </c:pt>
                <c:pt idx="76">
                  <c:v>773.3792</c:v>
                </c:pt>
                <c:pt idx="77">
                  <c:v>782.32</c:v>
                </c:pt>
                <c:pt idx="78">
                  <c:v>791.2608</c:v>
                </c:pt>
                <c:pt idx="79">
                  <c:v>800.2016</c:v>
                </c:pt>
                <c:pt idx="80">
                  <c:v>809.1424</c:v>
                </c:pt>
                <c:pt idx="81">
                  <c:v>818.0832</c:v>
                </c:pt>
                <c:pt idx="82">
                  <c:v>827.024</c:v>
                </c:pt>
                <c:pt idx="83">
                  <c:v>835.9648</c:v>
                </c:pt>
                <c:pt idx="84">
                  <c:v>844.9056</c:v>
                </c:pt>
                <c:pt idx="85">
                  <c:v>853.8464</c:v>
                </c:pt>
                <c:pt idx="86">
                  <c:v>864.2772</c:v>
                </c:pt>
                <c:pt idx="87">
                  <c:v>876.198</c:v>
                </c:pt>
                <c:pt idx="88">
                  <c:v>889.6088</c:v>
                </c:pt>
                <c:pt idx="89">
                  <c:v>904.5096</c:v>
                </c:pt>
                <c:pt idx="90">
                  <c:v>920.9004</c:v>
                </c:pt>
                <c:pt idx="91">
                  <c:v>938.7812</c:v>
                </c:pt>
                <c:pt idx="92">
                  <c:v>956.662</c:v>
                </c:pt>
                <c:pt idx="93">
                  <c:v>974.5428</c:v>
                </c:pt>
                <c:pt idx="94">
                  <c:v>992.4236</c:v>
                </c:pt>
                <c:pt idx="95">
                  <c:v>1010.3044</c:v>
                </c:pt>
                <c:pt idx="96">
                  <c:v>1028.1852</c:v>
                </c:pt>
                <c:pt idx="97">
                  <c:v>1046.066</c:v>
                </c:pt>
                <c:pt idx="98">
                  <c:v>1063.9468</c:v>
                </c:pt>
                <c:pt idx="99">
                  <c:v>1081.8276</c:v>
                </c:pt>
                <c:pt idx="100">
                  <c:v>1099.7084</c:v>
                </c:pt>
                <c:pt idx="101">
                  <c:v>1117.5892</c:v>
                </c:pt>
                <c:pt idx="102">
                  <c:v>1135.47</c:v>
                </c:pt>
                <c:pt idx="103">
                  <c:v>1153.3508</c:v>
                </c:pt>
                <c:pt idx="104">
                  <c:v>1171.2316</c:v>
                </c:pt>
                <c:pt idx="105">
                  <c:v>1187.6224</c:v>
                </c:pt>
                <c:pt idx="106">
                  <c:v>1202.5232</c:v>
                </c:pt>
                <c:pt idx="107">
                  <c:v>1215.934</c:v>
                </c:pt>
                <c:pt idx="108">
                  <c:v>1227.8548</c:v>
                </c:pt>
                <c:pt idx="109">
                  <c:v>1238.2856</c:v>
                </c:pt>
                <c:pt idx="110">
                  <c:v>1247.2264</c:v>
                </c:pt>
                <c:pt idx="111">
                  <c:v>1256.1672</c:v>
                </c:pt>
                <c:pt idx="112">
                  <c:v>1265.108</c:v>
                </c:pt>
                <c:pt idx="113">
                  <c:v>1274.0488</c:v>
                </c:pt>
                <c:pt idx="114">
                  <c:v>1282.9896</c:v>
                </c:pt>
                <c:pt idx="115">
                  <c:v>1291.9304</c:v>
                </c:pt>
                <c:pt idx="116">
                  <c:v>1300.8712</c:v>
                </c:pt>
                <c:pt idx="117">
                  <c:v>1309.812</c:v>
                </c:pt>
                <c:pt idx="118">
                  <c:v>1318.7528</c:v>
                </c:pt>
                <c:pt idx="119">
                  <c:v>1327.6936</c:v>
                </c:pt>
                <c:pt idx="120">
                  <c:v>1336.6344</c:v>
                </c:pt>
                <c:pt idx="121">
                  <c:v>1345.5752</c:v>
                </c:pt>
                <c:pt idx="122">
                  <c:v>1354.516</c:v>
                </c:pt>
                <c:pt idx="123">
                  <c:v>1363.4568</c:v>
                </c:pt>
                <c:pt idx="124">
                  <c:v>1374.3976</c:v>
                </c:pt>
                <c:pt idx="125">
                  <c:v>1387.3384</c:v>
                </c:pt>
                <c:pt idx="126">
                  <c:v>1402.2792</c:v>
                </c:pt>
                <c:pt idx="127">
                  <c:v>1419.22</c:v>
                </c:pt>
                <c:pt idx="128">
                  <c:v>1438.1608</c:v>
                </c:pt>
                <c:pt idx="129">
                  <c:v>1457.1016</c:v>
                </c:pt>
                <c:pt idx="130">
                  <c:v>1476.0424</c:v>
                </c:pt>
                <c:pt idx="131">
                  <c:v>1494.9832</c:v>
                </c:pt>
                <c:pt idx="132">
                  <c:v>1513.924</c:v>
                </c:pt>
                <c:pt idx="133">
                  <c:v>1532.8648</c:v>
                </c:pt>
                <c:pt idx="134">
                  <c:v>1551.8056</c:v>
                </c:pt>
                <c:pt idx="135">
                  <c:v>1570.7464</c:v>
                </c:pt>
                <c:pt idx="136">
                  <c:v>1589.6872</c:v>
                </c:pt>
                <c:pt idx="137">
                  <c:v>1608.628</c:v>
                </c:pt>
                <c:pt idx="138">
                  <c:v>1627.5688</c:v>
                </c:pt>
                <c:pt idx="139">
                  <c:v>1646.5096</c:v>
                </c:pt>
                <c:pt idx="140">
                  <c:v>1665.4504</c:v>
                </c:pt>
                <c:pt idx="141">
                  <c:v>1684.3912</c:v>
                </c:pt>
                <c:pt idx="142">
                  <c:v>1701.332</c:v>
                </c:pt>
                <c:pt idx="143">
                  <c:v>1716.2728</c:v>
                </c:pt>
                <c:pt idx="144">
                  <c:v>1729.2136</c:v>
                </c:pt>
                <c:pt idx="145">
                  <c:v>1740.1544</c:v>
                </c:pt>
                <c:pt idx="146">
                  <c:v>1749.0952</c:v>
                </c:pt>
                <c:pt idx="147">
                  <c:v>1758.036</c:v>
                </c:pt>
                <c:pt idx="148">
                  <c:v>1766.9768</c:v>
                </c:pt>
                <c:pt idx="149">
                  <c:v>1775.9176</c:v>
                </c:pt>
                <c:pt idx="150">
                  <c:v>1784.8584</c:v>
                </c:pt>
                <c:pt idx="151">
                  <c:v>1793.7992</c:v>
                </c:pt>
                <c:pt idx="152">
                  <c:v>1802.74</c:v>
                </c:pt>
                <c:pt idx="153">
                  <c:v>1811.6808</c:v>
                </c:pt>
                <c:pt idx="154">
                  <c:v>1820.6216</c:v>
                </c:pt>
                <c:pt idx="155">
                  <c:v>1829.5624</c:v>
                </c:pt>
                <c:pt idx="156">
                  <c:v>1838.5032</c:v>
                </c:pt>
                <c:pt idx="157">
                  <c:v>1847.444</c:v>
                </c:pt>
                <c:pt idx="158">
                  <c:v>1856.3848</c:v>
                </c:pt>
                <c:pt idx="159">
                  <c:v>1864.43152</c:v>
                </c:pt>
                <c:pt idx="160">
                  <c:v>1871.58416</c:v>
                </c:pt>
                <c:pt idx="161">
                  <c:v>1877.84272</c:v>
                </c:pt>
                <c:pt idx="162">
                  <c:v>1883.2072</c:v>
                </c:pt>
                <c:pt idx="163">
                  <c:v>1887.6776</c:v>
                </c:pt>
                <c:pt idx="164">
                  <c:v>1891.25392</c:v>
                </c:pt>
                <c:pt idx="165">
                  <c:v>1893.93616</c:v>
                </c:pt>
                <c:pt idx="166">
                  <c:v>1895.72432</c:v>
                </c:pt>
                <c:pt idx="167">
                  <c:v>1896.6184</c:v>
                </c:pt>
                <c:pt idx="168">
                  <c:v>1896.6184</c:v>
                </c:pt>
                <c:pt idx="169">
                  <c:v>1896.6184</c:v>
                </c:pt>
                <c:pt idx="170">
                  <c:v>1896.6184</c:v>
                </c:pt>
                <c:pt idx="171">
                  <c:v>1896.6184</c:v>
                </c:pt>
                <c:pt idx="172">
                  <c:v>1896.6184</c:v>
                </c:pt>
                <c:pt idx="173">
                  <c:v>1896.6184</c:v>
                </c:pt>
                <c:pt idx="174">
                  <c:v>1896.6184</c:v>
                </c:pt>
                <c:pt idx="175">
                  <c:v>1896.6184</c:v>
                </c:pt>
                <c:pt idx="176">
                  <c:v>1896.6184</c:v>
                </c:pt>
                <c:pt idx="177">
                  <c:v>1896.6184</c:v>
                </c:pt>
                <c:pt idx="178">
                  <c:v>1896.6184</c:v>
                </c:pt>
                <c:pt idx="179">
                  <c:v>1896.6184</c:v>
                </c:pt>
                <c:pt idx="180">
                  <c:v>1896.6184</c:v>
                </c:pt>
                <c:pt idx="181">
                  <c:v>1896.6184</c:v>
                </c:pt>
                <c:pt idx="182">
                  <c:v>1896.6184</c:v>
                </c:pt>
                <c:pt idx="183">
                  <c:v>1896.6184</c:v>
                </c:pt>
                <c:pt idx="184">
                  <c:v>1896.6184</c:v>
                </c:pt>
                <c:pt idx="185">
                  <c:v>1896.6184</c:v>
                </c:pt>
                <c:pt idx="186">
                  <c:v>1896.6184</c:v>
                </c:pt>
                <c:pt idx="187">
                  <c:v>1896.6184</c:v>
                </c:pt>
                <c:pt idx="188">
                  <c:v>1896.6184</c:v>
                </c:pt>
                <c:pt idx="189">
                  <c:v>1896.6184</c:v>
                </c:pt>
                <c:pt idx="190">
                  <c:v>1896.6184</c:v>
                </c:pt>
                <c:pt idx="191">
                  <c:v>1896.6184</c:v>
                </c:pt>
                <c:pt idx="192">
                  <c:v>1896.6184</c:v>
                </c:pt>
                <c:pt idx="193">
                  <c:v>1896.6184</c:v>
                </c:pt>
                <c:pt idx="194">
                  <c:v>1896.6184</c:v>
                </c:pt>
                <c:pt idx="195">
                  <c:v>1896.6184</c:v>
                </c:pt>
                <c:pt idx="196">
                  <c:v>1896.6184</c:v>
                </c:pt>
                <c:pt idx="197">
                  <c:v>1896.6184</c:v>
                </c:pt>
                <c:pt idx="198">
                  <c:v>1896.6184</c:v>
                </c:pt>
                <c:pt idx="199">
                  <c:v>1897</c:v>
                </c:pt>
              </c:numCache>
            </c:numRef>
          </c:xVal>
          <c:yVal>
            <c:numRef>
              <c:f>'Short Time Gap'!$D$2:$D$201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2.00005696</c:v>
                </c:pt>
                <c:pt idx="12">
                  <c:v>4.00011392</c:v>
                </c:pt>
                <c:pt idx="13">
                  <c:v>6.00017088</c:v>
                </c:pt>
                <c:pt idx="14">
                  <c:v>8.00022784</c:v>
                </c:pt>
                <c:pt idx="15">
                  <c:v>10.0002848</c:v>
                </c:pt>
                <c:pt idx="16">
                  <c:v>12.00034176</c:v>
                </c:pt>
                <c:pt idx="17">
                  <c:v>14.00039872</c:v>
                </c:pt>
                <c:pt idx="18">
                  <c:v>16.00045568</c:v>
                </c:pt>
                <c:pt idx="19">
                  <c:v>18.00051264</c:v>
                </c:pt>
                <c:pt idx="20">
                  <c:v>20.0005696</c:v>
                </c:pt>
                <c:pt idx="21">
                  <c:v>20.0005696</c:v>
                </c:pt>
                <c:pt idx="22">
                  <c:v>20.0005696</c:v>
                </c:pt>
                <c:pt idx="23">
                  <c:v>20.0005696</c:v>
                </c:pt>
                <c:pt idx="24">
                  <c:v>20.0005696</c:v>
                </c:pt>
                <c:pt idx="25">
                  <c:v>20.0005696</c:v>
                </c:pt>
                <c:pt idx="26">
                  <c:v>20.0005696</c:v>
                </c:pt>
                <c:pt idx="27">
                  <c:v>20.0005696</c:v>
                </c:pt>
                <c:pt idx="28">
                  <c:v>20.0005696</c:v>
                </c:pt>
                <c:pt idx="29">
                  <c:v>20.0005696</c:v>
                </c:pt>
                <c:pt idx="30">
                  <c:v>20.0005696</c:v>
                </c:pt>
                <c:pt idx="31">
                  <c:v>20.0005696</c:v>
                </c:pt>
                <c:pt idx="32">
                  <c:v>20.0005696</c:v>
                </c:pt>
                <c:pt idx="33">
                  <c:v>20.0005696</c:v>
                </c:pt>
                <c:pt idx="34">
                  <c:v>20.0005696</c:v>
                </c:pt>
                <c:pt idx="35">
                  <c:v>20.0005696</c:v>
                </c:pt>
                <c:pt idx="36">
                  <c:v>22.00062656</c:v>
                </c:pt>
                <c:pt idx="37">
                  <c:v>24.00068352</c:v>
                </c:pt>
                <c:pt idx="38">
                  <c:v>26.00074048</c:v>
                </c:pt>
                <c:pt idx="39">
                  <c:v>28.00079744</c:v>
                </c:pt>
                <c:pt idx="40">
                  <c:v>30.0008544</c:v>
                </c:pt>
                <c:pt idx="41">
                  <c:v>32.00091136</c:v>
                </c:pt>
                <c:pt idx="42">
                  <c:v>34.00096832</c:v>
                </c:pt>
                <c:pt idx="43">
                  <c:v>36.00102528</c:v>
                </c:pt>
                <c:pt idx="44">
                  <c:v>38.00108224</c:v>
                </c:pt>
                <c:pt idx="45">
                  <c:v>40.0011392</c:v>
                </c:pt>
                <c:pt idx="46">
                  <c:v>40.0011392</c:v>
                </c:pt>
                <c:pt idx="47">
                  <c:v>40.0011392</c:v>
                </c:pt>
                <c:pt idx="48">
                  <c:v>40.0011392</c:v>
                </c:pt>
                <c:pt idx="49">
                  <c:v>40.0011392</c:v>
                </c:pt>
                <c:pt idx="50">
                  <c:v>40.0011392</c:v>
                </c:pt>
                <c:pt idx="51">
                  <c:v>40.0011392</c:v>
                </c:pt>
                <c:pt idx="52">
                  <c:v>40.0011392</c:v>
                </c:pt>
                <c:pt idx="53">
                  <c:v>40.0011392</c:v>
                </c:pt>
                <c:pt idx="54">
                  <c:v>40.0011392</c:v>
                </c:pt>
                <c:pt idx="55">
                  <c:v>40.0011392</c:v>
                </c:pt>
                <c:pt idx="56">
                  <c:v>40.0011392</c:v>
                </c:pt>
                <c:pt idx="57">
                  <c:v>40.0011392</c:v>
                </c:pt>
                <c:pt idx="58">
                  <c:v>40.0011392</c:v>
                </c:pt>
                <c:pt idx="59">
                  <c:v>40.0011392</c:v>
                </c:pt>
                <c:pt idx="60">
                  <c:v>40.0011392</c:v>
                </c:pt>
                <c:pt idx="61">
                  <c:v>38.00108224</c:v>
                </c:pt>
                <c:pt idx="62">
                  <c:v>36.00102528</c:v>
                </c:pt>
                <c:pt idx="63">
                  <c:v>34.00096832</c:v>
                </c:pt>
                <c:pt idx="64">
                  <c:v>32.00091136</c:v>
                </c:pt>
                <c:pt idx="65">
                  <c:v>30.0008544</c:v>
                </c:pt>
                <c:pt idx="66">
                  <c:v>28.00079744</c:v>
                </c:pt>
                <c:pt idx="67">
                  <c:v>26.00074048</c:v>
                </c:pt>
                <c:pt idx="68">
                  <c:v>24.00068352</c:v>
                </c:pt>
                <c:pt idx="69">
                  <c:v>22.00062656</c:v>
                </c:pt>
                <c:pt idx="70">
                  <c:v>20.0005696</c:v>
                </c:pt>
                <c:pt idx="71">
                  <c:v>20.0005696</c:v>
                </c:pt>
                <c:pt idx="72">
                  <c:v>20.0005696</c:v>
                </c:pt>
                <c:pt idx="73">
                  <c:v>20.0005696</c:v>
                </c:pt>
                <c:pt idx="74">
                  <c:v>20.0005696</c:v>
                </c:pt>
                <c:pt idx="75">
                  <c:v>20.0005696</c:v>
                </c:pt>
                <c:pt idx="76">
                  <c:v>20.0005696</c:v>
                </c:pt>
                <c:pt idx="77">
                  <c:v>20.0005696</c:v>
                </c:pt>
                <c:pt idx="78">
                  <c:v>20.0005696</c:v>
                </c:pt>
                <c:pt idx="79">
                  <c:v>20.0005696</c:v>
                </c:pt>
                <c:pt idx="80">
                  <c:v>20.0005696</c:v>
                </c:pt>
                <c:pt idx="81">
                  <c:v>20.0005696</c:v>
                </c:pt>
                <c:pt idx="82">
                  <c:v>20.0005696</c:v>
                </c:pt>
                <c:pt idx="83">
                  <c:v>20.0005696</c:v>
                </c:pt>
                <c:pt idx="84">
                  <c:v>20.0005696</c:v>
                </c:pt>
                <c:pt idx="85">
                  <c:v>20.0005696</c:v>
                </c:pt>
                <c:pt idx="86">
                  <c:v>23.3336996</c:v>
                </c:pt>
                <c:pt idx="87">
                  <c:v>26.6668296</c:v>
                </c:pt>
                <c:pt idx="88">
                  <c:v>29.9999596</c:v>
                </c:pt>
                <c:pt idx="89">
                  <c:v>33.3330896</c:v>
                </c:pt>
                <c:pt idx="90">
                  <c:v>36.6662196</c:v>
                </c:pt>
                <c:pt idx="91">
                  <c:v>39.9993496</c:v>
                </c:pt>
                <c:pt idx="92">
                  <c:v>39.9993496</c:v>
                </c:pt>
                <c:pt idx="93">
                  <c:v>39.9993496</c:v>
                </c:pt>
                <c:pt idx="94">
                  <c:v>39.9993496</c:v>
                </c:pt>
                <c:pt idx="95">
                  <c:v>39.9993496</c:v>
                </c:pt>
                <c:pt idx="96">
                  <c:v>39.9993496</c:v>
                </c:pt>
                <c:pt idx="97">
                  <c:v>39.9993496</c:v>
                </c:pt>
                <c:pt idx="98">
                  <c:v>39.9993496</c:v>
                </c:pt>
                <c:pt idx="99">
                  <c:v>39.9993496</c:v>
                </c:pt>
                <c:pt idx="100">
                  <c:v>39.9993496</c:v>
                </c:pt>
                <c:pt idx="101">
                  <c:v>39.9993496</c:v>
                </c:pt>
                <c:pt idx="102">
                  <c:v>39.9993496</c:v>
                </c:pt>
                <c:pt idx="103">
                  <c:v>39.9993496</c:v>
                </c:pt>
                <c:pt idx="104">
                  <c:v>39.9993496</c:v>
                </c:pt>
                <c:pt idx="105">
                  <c:v>36.6662196</c:v>
                </c:pt>
                <c:pt idx="106">
                  <c:v>33.3330896</c:v>
                </c:pt>
                <c:pt idx="107">
                  <c:v>29.9999596</c:v>
                </c:pt>
                <c:pt idx="108">
                  <c:v>26.6668296</c:v>
                </c:pt>
                <c:pt idx="109">
                  <c:v>23.3336996</c:v>
                </c:pt>
                <c:pt idx="110">
                  <c:v>20.0005696</c:v>
                </c:pt>
                <c:pt idx="111">
                  <c:v>20.0005696</c:v>
                </c:pt>
                <c:pt idx="112">
                  <c:v>20.0005696</c:v>
                </c:pt>
                <c:pt idx="113">
                  <c:v>20.0005696</c:v>
                </c:pt>
                <c:pt idx="114">
                  <c:v>20.0005696</c:v>
                </c:pt>
                <c:pt idx="115">
                  <c:v>20.0005696</c:v>
                </c:pt>
                <c:pt idx="116">
                  <c:v>20.0005696</c:v>
                </c:pt>
                <c:pt idx="117">
                  <c:v>20.0005696</c:v>
                </c:pt>
                <c:pt idx="118">
                  <c:v>20.0005696</c:v>
                </c:pt>
                <c:pt idx="119">
                  <c:v>20.0005696</c:v>
                </c:pt>
                <c:pt idx="120">
                  <c:v>20.0005696</c:v>
                </c:pt>
                <c:pt idx="121">
                  <c:v>20.0005696</c:v>
                </c:pt>
                <c:pt idx="122">
                  <c:v>20.0005696</c:v>
                </c:pt>
                <c:pt idx="123">
                  <c:v>20.0005696</c:v>
                </c:pt>
                <c:pt idx="124">
                  <c:v>24.4745696</c:v>
                </c:pt>
                <c:pt idx="125">
                  <c:v>28.9485696</c:v>
                </c:pt>
                <c:pt idx="126">
                  <c:v>33.4225696</c:v>
                </c:pt>
                <c:pt idx="127">
                  <c:v>37.8965696</c:v>
                </c:pt>
                <c:pt idx="128">
                  <c:v>42.3705696</c:v>
                </c:pt>
                <c:pt idx="129">
                  <c:v>42.3705696</c:v>
                </c:pt>
                <c:pt idx="130">
                  <c:v>42.3705696</c:v>
                </c:pt>
                <c:pt idx="131">
                  <c:v>42.3705696</c:v>
                </c:pt>
                <c:pt idx="132">
                  <c:v>42.3705696</c:v>
                </c:pt>
                <c:pt idx="133">
                  <c:v>42.3705696</c:v>
                </c:pt>
                <c:pt idx="134">
                  <c:v>42.3705696</c:v>
                </c:pt>
                <c:pt idx="135">
                  <c:v>42.3705696</c:v>
                </c:pt>
                <c:pt idx="136">
                  <c:v>42.3705696</c:v>
                </c:pt>
                <c:pt idx="137">
                  <c:v>42.3705696</c:v>
                </c:pt>
                <c:pt idx="138">
                  <c:v>42.3705696</c:v>
                </c:pt>
                <c:pt idx="139">
                  <c:v>42.3705696</c:v>
                </c:pt>
                <c:pt idx="140">
                  <c:v>42.3705696</c:v>
                </c:pt>
                <c:pt idx="141">
                  <c:v>42.3705696</c:v>
                </c:pt>
                <c:pt idx="142">
                  <c:v>37.8965696</c:v>
                </c:pt>
                <c:pt idx="143">
                  <c:v>33.4225696</c:v>
                </c:pt>
                <c:pt idx="144">
                  <c:v>28.9485696</c:v>
                </c:pt>
                <c:pt idx="145">
                  <c:v>24.4745696</c:v>
                </c:pt>
                <c:pt idx="146">
                  <c:v>20.0005696</c:v>
                </c:pt>
                <c:pt idx="147">
                  <c:v>20.0005696</c:v>
                </c:pt>
                <c:pt idx="148">
                  <c:v>20.0005696</c:v>
                </c:pt>
                <c:pt idx="149">
                  <c:v>20.0005696</c:v>
                </c:pt>
                <c:pt idx="150">
                  <c:v>20.0005696</c:v>
                </c:pt>
                <c:pt idx="151">
                  <c:v>20.0005696</c:v>
                </c:pt>
                <c:pt idx="152">
                  <c:v>20.0005696</c:v>
                </c:pt>
                <c:pt idx="153">
                  <c:v>20.0005696</c:v>
                </c:pt>
                <c:pt idx="154">
                  <c:v>20.0005696</c:v>
                </c:pt>
                <c:pt idx="155">
                  <c:v>20.0005696</c:v>
                </c:pt>
                <c:pt idx="156">
                  <c:v>20.0005696</c:v>
                </c:pt>
                <c:pt idx="157">
                  <c:v>20.0005696</c:v>
                </c:pt>
                <c:pt idx="158">
                  <c:v>20.0005696</c:v>
                </c:pt>
                <c:pt idx="159">
                  <c:v>18.00051264</c:v>
                </c:pt>
                <c:pt idx="160">
                  <c:v>16.00045568</c:v>
                </c:pt>
                <c:pt idx="161">
                  <c:v>14.00039872</c:v>
                </c:pt>
                <c:pt idx="162">
                  <c:v>12.00034176</c:v>
                </c:pt>
                <c:pt idx="163">
                  <c:v>10.0002848</c:v>
                </c:pt>
                <c:pt idx="164">
                  <c:v>8.00022783999999</c:v>
                </c:pt>
                <c:pt idx="165">
                  <c:v>6.00017087999999</c:v>
                </c:pt>
                <c:pt idx="166">
                  <c:v>4.00011391999999</c:v>
                </c:pt>
                <c:pt idx="167">
                  <c:v>2.00005695999999</c:v>
                </c:pt>
                <c:pt idx="168">
                  <c:v>-7.45070671825942E-015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yVal>
          <c:smooth val="0"/>
        </c:ser>
        <c:axId val="37297180"/>
        <c:axId val="93967280"/>
      </c:scatterChart>
      <c:valAx>
        <c:axId val="3729718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Distance [m]</a:t>
                </a:r>
              </a:p>
            </c:rich>
          </c:tx>
          <c:layout>
            <c:manualLayout>
              <c:xMode val="edge"/>
              <c:yMode val="edge"/>
              <c:x val="0.458047258136424"/>
              <c:y val="0.92095627826836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967280"/>
        <c:crosses val="autoZero"/>
        <c:crossBetween val="midCat"/>
      </c:valAx>
      <c:valAx>
        <c:axId val="9396728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Speed [mph]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29718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'Medium Time Gap'!$C$1</c:f>
              <c:strCache>
                <c:ptCount val="1"/>
                <c:pt idx="0">
                  <c:v>Lead Speed [mph]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'Medium Time Gap'!$C$2:$C$200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2.00005696</c:v>
                </c:pt>
                <c:pt idx="12">
                  <c:v>4.00011392</c:v>
                </c:pt>
                <c:pt idx="13">
                  <c:v>6.00017088</c:v>
                </c:pt>
                <c:pt idx="14">
                  <c:v>8.00022784</c:v>
                </c:pt>
                <c:pt idx="15">
                  <c:v>10.0002848</c:v>
                </c:pt>
                <c:pt idx="16">
                  <c:v>12.00034176</c:v>
                </c:pt>
                <c:pt idx="17">
                  <c:v>14.00039872</c:v>
                </c:pt>
                <c:pt idx="18">
                  <c:v>16.00045568</c:v>
                </c:pt>
                <c:pt idx="19">
                  <c:v>18.00051264</c:v>
                </c:pt>
                <c:pt idx="20">
                  <c:v>20.0005696</c:v>
                </c:pt>
                <c:pt idx="21">
                  <c:v>20.0005696</c:v>
                </c:pt>
                <c:pt idx="22">
                  <c:v>20.0005696</c:v>
                </c:pt>
                <c:pt idx="23">
                  <c:v>20.0005696</c:v>
                </c:pt>
                <c:pt idx="24">
                  <c:v>20.0005696</c:v>
                </c:pt>
                <c:pt idx="25">
                  <c:v>20.0005696</c:v>
                </c:pt>
                <c:pt idx="26">
                  <c:v>20.0005696</c:v>
                </c:pt>
                <c:pt idx="27">
                  <c:v>20.0005696</c:v>
                </c:pt>
                <c:pt idx="28">
                  <c:v>20.0005696</c:v>
                </c:pt>
                <c:pt idx="29">
                  <c:v>20.0005696</c:v>
                </c:pt>
                <c:pt idx="30">
                  <c:v>20.0005696</c:v>
                </c:pt>
                <c:pt idx="31">
                  <c:v>20.0005696</c:v>
                </c:pt>
                <c:pt idx="32">
                  <c:v>20.0005696</c:v>
                </c:pt>
                <c:pt idx="33">
                  <c:v>20.0005696</c:v>
                </c:pt>
                <c:pt idx="34">
                  <c:v>20.0005696</c:v>
                </c:pt>
                <c:pt idx="35">
                  <c:v>20.0005696</c:v>
                </c:pt>
                <c:pt idx="36">
                  <c:v>22.00062656</c:v>
                </c:pt>
                <c:pt idx="37">
                  <c:v>24.00068352</c:v>
                </c:pt>
                <c:pt idx="38">
                  <c:v>26.00074048</c:v>
                </c:pt>
                <c:pt idx="39">
                  <c:v>28.00079744</c:v>
                </c:pt>
                <c:pt idx="40">
                  <c:v>30.0008544</c:v>
                </c:pt>
                <c:pt idx="41">
                  <c:v>32.00091136</c:v>
                </c:pt>
                <c:pt idx="42">
                  <c:v>34.00096832</c:v>
                </c:pt>
                <c:pt idx="43">
                  <c:v>36.00102528</c:v>
                </c:pt>
                <c:pt idx="44">
                  <c:v>38.00108224</c:v>
                </c:pt>
                <c:pt idx="45">
                  <c:v>40.0011392</c:v>
                </c:pt>
                <c:pt idx="46">
                  <c:v>40.0011392</c:v>
                </c:pt>
                <c:pt idx="47">
                  <c:v>40.0011392</c:v>
                </c:pt>
                <c:pt idx="48">
                  <c:v>40.0011392</c:v>
                </c:pt>
                <c:pt idx="49">
                  <c:v>40.0011392</c:v>
                </c:pt>
                <c:pt idx="50">
                  <c:v>40.0011392</c:v>
                </c:pt>
                <c:pt idx="51">
                  <c:v>40.0011392</c:v>
                </c:pt>
                <c:pt idx="52">
                  <c:v>40.0011392</c:v>
                </c:pt>
                <c:pt idx="53">
                  <c:v>40.0011392</c:v>
                </c:pt>
                <c:pt idx="54">
                  <c:v>40.0011392</c:v>
                </c:pt>
                <c:pt idx="55">
                  <c:v>40.0011392</c:v>
                </c:pt>
                <c:pt idx="56">
                  <c:v>40.0011392</c:v>
                </c:pt>
                <c:pt idx="57">
                  <c:v>40.0011392</c:v>
                </c:pt>
                <c:pt idx="58">
                  <c:v>40.0011392</c:v>
                </c:pt>
                <c:pt idx="59">
                  <c:v>40.0011392</c:v>
                </c:pt>
                <c:pt idx="60">
                  <c:v>40.0011392</c:v>
                </c:pt>
                <c:pt idx="61">
                  <c:v>38.00108224</c:v>
                </c:pt>
                <c:pt idx="62">
                  <c:v>36.00102528</c:v>
                </c:pt>
                <c:pt idx="63">
                  <c:v>34.00096832</c:v>
                </c:pt>
                <c:pt idx="64">
                  <c:v>32.00091136</c:v>
                </c:pt>
                <c:pt idx="65">
                  <c:v>30.0008544</c:v>
                </c:pt>
                <c:pt idx="66">
                  <c:v>28.00079744</c:v>
                </c:pt>
                <c:pt idx="67">
                  <c:v>26.00074048</c:v>
                </c:pt>
                <c:pt idx="68">
                  <c:v>24.00068352</c:v>
                </c:pt>
                <c:pt idx="69">
                  <c:v>22.00062656</c:v>
                </c:pt>
                <c:pt idx="70">
                  <c:v>20.0005696</c:v>
                </c:pt>
                <c:pt idx="71">
                  <c:v>20.0005696</c:v>
                </c:pt>
                <c:pt idx="72">
                  <c:v>20.0005696</c:v>
                </c:pt>
                <c:pt idx="73">
                  <c:v>20.0005696</c:v>
                </c:pt>
                <c:pt idx="74">
                  <c:v>20.0005696</c:v>
                </c:pt>
                <c:pt idx="75">
                  <c:v>20.0005696</c:v>
                </c:pt>
                <c:pt idx="76">
                  <c:v>20.0005696</c:v>
                </c:pt>
                <c:pt idx="77">
                  <c:v>20.0005696</c:v>
                </c:pt>
                <c:pt idx="78">
                  <c:v>20.0005696</c:v>
                </c:pt>
                <c:pt idx="79">
                  <c:v>20.0005696</c:v>
                </c:pt>
                <c:pt idx="80">
                  <c:v>20.0005696</c:v>
                </c:pt>
                <c:pt idx="81">
                  <c:v>20.0005696</c:v>
                </c:pt>
                <c:pt idx="82">
                  <c:v>20.0005696</c:v>
                </c:pt>
                <c:pt idx="83">
                  <c:v>20.0005696</c:v>
                </c:pt>
                <c:pt idx="84">
                  <c:v>20.0005696</c:v>
                </c:pt>
                <c:pt idx="85">
                  <c:v>20.0005696</c:v>
                </c:pt>
                <c:pt idx="86">
                  <c:v>23.3336996</c:v>
                </c:pt>
                <c:pt idx="87">
                  <c:v>26.6668296</c:v>
                </c:pt>
                <c:pt idx="88">
                  <c:v>29.9999596</c:v>
                </c:pt>
                <c:pt idx="89">
                  <c:v>33.3330896</c:v>
                </c:pt>
                <c:pt idx="90">
                  <c:v>36.6662196</c:v>
                </c:pt>
                <c:pt idx="91">
                  <c:v>39.9993496</c:v>
                </c:pt>
                <c:pt idx="92">
                  <c:v>39.9993496</c:v>
                </c:pt>
                <c:pt idx="93">
                  <c:v>39.9993496</c:v>
                </c:pt>
                <c:pt idx="94">
                  <c:v>39.9993496</c:v>
                </c:pt>
                <c:pt idx="95">
                  <c:v>39.9993496</c:v>
                </c:pt>
                <c:pt idx="96">
                  <c:v>39.9993496</c:v>
                </c:pt>
                <c:pt idx="97">
                  <c:v>39.9993496</c:v>
                </c:pt>
                <c:pt idx="98">
                  <c:v>39.9993496</c:v>
                </c:pt>
                <c:pt idx="99">
                  <c:v>39.9993496</c:v>
                </c:pt>
                <c:pt idx="100">
                  <c:v>39.9993496</c:v>
                </c:pt>
                <c:pt idx="101">
                  <c:v>39.9993496</c:v>
                </c:pt>
                <c:pt idx="102">
                  <c:v>39.9993496</c:v>
                </c:pt>
                <c:pt idx="103">
                  <c:v>39.9993496</c:v>
                </c:pt>
                <c:pt idx="104">
                  <c:v>39.9993496</c:v>
                </c:pt>
                <c:pt idx="105">
                  <c:v>36.6662196</c:v>
                </c:pt>
                <c:pt idx="106">
                  <c:v>33.3330896</c:v>
                </c:pt>
                <c:pt idx="107">
                  <c:v>29.9999596</c:v>
                </c:pt>
                <c:pt idx="108">
                  <c:v>26.6668296</c:v>
                </c:pt>
                <c:pt idx="109">
                  <c:v>23.3336996</c:v>
                </c:pt>
                <c:pt idx="110">
                  <c:v>20.0005696</c:v>
                </c:pt>
                <c:pt idx="111">
                  <c:v>20.0005696</c:v>
                </c:pt>
                <c:pt idx="112">
                  <c:v>20.0005696</c:v>
                </c:pt>
                <c:pt idx="113">
                  <c:v>20.0005696</c:v>
                </c:pt>
                <c:pt idx="114">
                  <c:v>20.0005696</c:v>
                </c:pt>
                <c:pt idx="115">
                  <c:v>20.0005696</c:v>
                </c:pt>
                <c:pt idx="116">
                  <c:v>20.0005696</c:v>
                </c:pt>
                <c:pt idx="117">
                  <c:v>20.0005696</c:v>
                </c:pt>
                <c:pt idx="118">
                  <c:v>20.0005696</c:v>
                </c:pt>
                <c:pt idx="119">
                  <c:v>20.0005696</c:v>
                </c:pt>
                <c:pt idx="120">
                  <c:v>20.0005696</c:v>
                </c:pt>
                <c:pt idx="121">
                  <c:v>20.0005696</c:v>
                </c:pt>
                <c:pt idx="122">
                  <c:v>20.0005696</c:v>
                </c:pt>
                <c:pt idx="123">
                  <c:v>20.0005696</c:v>
                </c:pt>
                <c:pt idx="124">
                  <c:v>24.4745696</c:v>
                </c:pt>
                <c:pt idx="125">
                  <c:v>28.9485696</c:v>
                </c:pt>
                <c:pt idx="126">
                  <c:v>33.4225696</c:v>
                </c:pt>
                <c:pt idx="127">
                  <c:v>37.8965696</c:v>
                </c:pt>
                <c:pt idx="128">
                  <c:v>42.3705696</c:v>
                </c:pt>
                <c:pt idx="129">
                  <c:v>42.3705696</c:v>
                </c:pt>
                <c:pt idx="130">
                  <c:v>42.3705696</c:v>
                </c:pt>
                <c:pt idx="131">
                  <c:v>42.3705696</c:v>
                </c:pt>
                <c:pt idx="132">
                  <c:v>42.3705696</c:v>
                </c:pt>
                <c:pt idx="133">
                  <c:v>42.3705696</c:v>
                </c:pt>
                <c:pt idx="134">
                  <c:v>42.3705696</c:v>
                </c:pt>
                <c:pt idx="135">
                  <c:v>42.3705696</c:v>
                </c:pt>
                <c:pt idx="136">
                  <c:v>42.3705696</c:v>
                </c:pt>
                <c:pt idx="137">
                  <c:v>42.3705696</c:v>
                </c:pt>
                <c:pt idx="138">
                  <c:v>42.3705696</c:v>
                </c:pt>
                <c:pt idx="139">
                  <c:v>42.3705696</c:v>
                </c:pt>
                <c:pt idx="140">
                  <c:v>42.3705696</c:v>
                </c:pt>
                <c:pt idx="141">
                  <c:v>42.3705696</c:v>
                </c:pt>
                <c:pt idx="142">
                  <c:v>37.8965696</c:v>
                </c:pt>
                <c:pt idx="143">
                  <c:v>33.4225696</c:v>
                </c:pt>
                <c:pt idx="144">
                  <c:v>28.9485696</c:v>
                </c:pt>
                <c:pt idx="145">
                  <c:v>24.4745696</c:v>
                </c:pt>
                <c:pt idx="146">
                  <c:v>20.0005696</c:v>
                </c:pt>
                <c:pt idx="147">
                  <c:v>20.0005696</c:v>
                </c:pt>
                <c:pt idx="148">
                  <c:v>20.0005696</c:v>
                </c:pt>
                <c:pt idx="149">
                  <c:v>20.0005696</c:v>
                </c:pt>
                <c:pt idx="150">
                  <c:v>20.0005696</c:v>
                </c:pt>
                <c:pt idx="151">
                  <c:v>20.0005696</c:v>
                </c:pt>
                <c:pt idx="152">
                  <c:v>20.0005696</c:v>
                </c:pt>
                <c:pt idx="153">
                  <c:v>20.0005696</c:v>
                </c:pt>
                <c:pt idx="154">
                  <c:v>20.0005696</c:v>
                </c:pt>
                <c:pt idx="155">
                  <c:v>20.0005696</c:v>
                </c:pt>
                <c:pt idx="156">
                  <c:v>20.0005696</c:v>
                </c:pt>
                <c:pt idx="157">
                  <c:v>20.0005696</c:v>
                </c:pt>
                <c:pt idx="158">
                  <c:v>20.0005696</c:v>
                </c:pt>
                <c:pt idx="159">
                  <c:v>18.00051264</c:v>
                </c:pt>
                <c:pt idx="160">
                  <c:v>16.00045568</c:v>
                </c:pt>
                <c:pt idx="161">
                  <c:v>14.00039872</c:v>
                </c:pt>
                <c:pt idx="162">
                  <c:v>12.00034176</c:v>
                </c:pt>
                <c:pt idx="163">
                  <c:v>10.0002848</c:v>
                </c:pt>
                <c:pt idx="164">
                  <c:v>8.00022783999999</c:v>
                </c:pt>
                <c:pt idx="165">
                  <c:v>6.00017087999999</c:v>
                </c:pt>
                <c:pt idx="166">
                  <c:v>4.00011391999999</c:v>
                </c:pt>
                <c:pt idx="167">
                  <c:v>2.00005695999999</c:v>
                </c:pt>
                <c:pt idx="168">
                  <c:v>-7.45070671825942E-015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'Medium Time Gap'!$E$1</c:f>
              <c:strCache>
                <c:ptCount val="1"/>
                <c:pt idx="0">
                  <c:v>Simulated Ego Spd [mph]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'Medium Time Gap'!$E$2:$E$200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0.153337700266667</c:v>
                </c:pt>
                <c:pt idx="12">
                  <c:v>0.730118570962489</c:v>
                </c:pt>
                <c:pt idx="13">
                  <c:v>1.81968977291844</c:v>
                </c:pt>
                <c:pt idx="14">
                  <c:v>3.39943149218648</c:v>
                </c:pt>
                <c:pt idx="15">
                  <c:v>5.37532043689969</c:v>
                </c:pt>
                <c:pt idx="16">
                  <c:v>7.62060442050405</c:v>
                </c:pt>
                <c:pt idx="17">
                  <c:v>10.0069886423765</c:v>
                </c:pt>
                <c:pt idx="18">
                  <c:v>12.4257856155868</c:v>
                </c:pt>
                <c:pt idx="19">
                  <c:v>14.7989357195685</c:v>
                </c:pt>
                <c:pt idx="20">
                  <c:v>17.081465736031</c:v>
                </c:pt>
                <c:pt idx="21">
                  <c:v>19.1044756795964</c:v>
                </c:pt>
                <c:pt idx="22">
                  <c:v>20.6045134547443</c:v>
                </c:pt>
                <c:pt idx="23">
                  <c:v>21.5127042500801</c:v>
                </c:pt>
                <c:pt idx="24">
                  <c:v>21.8781082394301</c:v>
                </c:pt>
                <c:pt idx="25">
                  <c:v>21.8209350076372</c:v>
                </c:pt>
                <c:pt idx="26">
                  <c:v>21.4897396693668</c:v>
                </c:pt>
                <c:pt idx="27">
                  <c:v>21.0281742759346</c:v>
                </c:pt>
                <c:pt idx="28">
                  <c:v>20.5534927177194</c:v>
                </c:pt>
                <c:pt idx="29">
                  <c:v>20.1463914028737</c:v>
                </c:pt>
                <c:pt idx="30">
                  <c:v>19.8500819471281</c:v>
                </c:pt>
                <c:pt idx="31">
                  <c:v>19.6757005564949</c:v>
                </c:pt>
                <c:pt idx="32">
                  <c:v>19.6110940927944</c:v>
                </c:pt>
                <c:pt idx="33">
                  <c:v>19.6304556867269</c:v>
                </c:pt>
                <c:pt idx="34">
                  <c:v>19.7029794735069</c:v>
                </c:pt>
                <c:pt idx="35">
                  <c:v>19.7994654718424</c:v>
                </c:pt>
                <c:pt idx="36">
                  <c:v>20.049825652057</c:v>
                </c:pt>
                <c:pt idx="37">
                  <c:v>20.7083787256032</c:v>
                </c:pt>
                <c:pt idx="38">
                  <c:v>21.8563448169452</c:v>
                </c:pt>
                <c:pt idx="39">
                  <c:v>23.4694183417495</c:v>
                </c:pt>
                <c:pt idx="40">
                  <c:v>25.4564785390878</c:v>
                </c:pt>
                <c:pt idx="41">
                  <c:v>27.6962839498773</c:v>
                </c:pt>
                <c:pt idx="42">
                  <c:v>30.0669119574219</c:v>
                </c:pt>
                <c:pt idx="43">
                  <c:v>32.4655994123864</c:v>
                </c:pt>
                <c:pt idx="44">
                  <c:v>34.8189577151432</c:v>
                </c:pt>
                <c:pt idx="45">
                  <c:v>37.0850931522966</c:v>
                </c:pt>
                <c:pt idx="46">
                  <c:v>39.0966231158238</c:v>
                </c:pt>
                <c:pt idx="47">
                  <c:v>40.590321785811</c:v>
                </c:pt>
                <c:pt idx="48">
                  <c:v>41.4966388961561</c:v>
                </c:pt>
                <c:pt idx="49">
                  <c:v>41.8634634794414</c:v>
                </c:pt>
                <c:pt idx="50">
                  <c:v>41.8096901827466</c:v>
                </c:pt>
                <c:pt idx="51">
                  <c:v>41.4826743662265</c:v>
                </c:pt>
                <c:pt idx="52">
                  <c:v>41.0251385522326</c:v>
                </c:pt>
                <c:pt idx="53">
                  <c:v>40.5537377642277</c:v>
                </c:pt>
                <c:pt idx="54">
                  <c:v>40.1488875115336</c:v>
                </c:pt>
                <c:pt idx="55">
                  <c:v>39.8537768138277</c:v>
                </c:pt>
                <c:pt idx="56">
                  <c:v>39.6796960367853</c:v>
                </c:pt>
                <c:pt idx="57">
                  <c:v>39.6147398649201</c:v>
                </c:pt>
                <c:pt idx="58">
                  <c:v>39.6333721547541</c:v>
                </c:pt>
                <c:pt idx="59">
                  <c:v>39.705029560731</c:v>
                </c:pt>
                <c:pt idx="60">
                  <c:v>39.8006966974551</c:v>
                </c:pt>
                <c:pt idx="61">
                  <c:v>39.7437262096778</c:v>
                </c:pt>
                <c:pt idx="62">
                  <c:v>39.2482773440638</c:v>
                </c:pt>
                <c:pt idx="63">
                  <c:v>38.2168758011408</c:v>
                </c:pt>
                <c:pt idx="64">
                  <c:v>36.6704209700558</c:v>
                </c:pt>
                <c:pt idx="65">
                  <c:v>34.7057864370976</c:v>
                </c:pt>
                <c:pt idx="66">
                  <c:v>32.4551795001329</c:v>
                </c:pt>
                <c:pt idx="67">
                  <c:v>30.0532182104659</c:v>
                </c:pt>
                <c:pt idx="68">
                  <c:v>27.6144778112273</c:v>
                </c:pt>
                <c:pt idx="69">
                  <c:v>25.2216665265537</c:v>
                </c:pt>
                <c:pt idx="70">
                  <c:v>22.9228277620113</c:v>
                </c:pt>
                <c:pt idx="71">
                  <c:v>20.8883798415588</c:v>
                </c:pt>
                <c:pt idx="72">
                  <c:v>19.3820088320091</c:v>
                </c:pt>
                <c:pt idx="73">
                  <c:v>18.47192506117</c:v>
                </c:pt>
                <c:pt idx="74">
                  <c:v>18.1079086152281</c:v>
                </c:pt>
                <c:pt idx="75">
                  <c:v>18.1684448267869</c:v>
                </c:pt>
                <c:pt idx="76">
                  <c:v>18.5037860600907</c:v>
                </c:pt>
                <c:pt idx="77">
                  <c:v>18.9693550473215</c:v>
                </c:pt>
                <c:pt idx="78">
                  <c:v>19.4473006921276</c:v>
                </c:pt>
                <c:pt idx="79">
                  <c:v>19.8566453041353</c:v>
                </c:pt>
                <c:pt idx="80">
                  <c:v>20.1541529796956</c:v>
                </c:pt>
                <c:pt idx="81">
                  <c:v>20.3288393758267</c:v>
                </c:pt>
                <c:pt idx="82">
                  <c:v>20.3931031209451</c:v>
                </c:pt>
                <c:pt idx="83">
                  <c:v>20.3730198289702</c:v>
                </c:pt>
                <c:pt idx="84">
                  <c:v>20.2996364568878</c:v>
                </c:pt>
                <c:pt idx="85">
                  <c:v>20.2023367558684</c:v>
                </c:pt>
                <c:pt idx="86">
                  <c:v>20.3602022071743</c:v>
                </c:pt>
                <c:pt idx="87">
                  <c:v>21.2392066635175</c:v>
                </c:pt>
                <c:pt idx="88">
                  <c:v>22.9963760382608</c:v>
                </c:pt>
                <c:pt idx="89">
                  <c:v>25.5956656100216</c:v>
                </c:pt>
                <c:pt idx="90">
                  <c:v>28.8774296227275</c:v>
                </c:pt>
                <c:pt idx="91">
                  <c:v>32.6248673884754</c:v>
                </c:pt>
                <c:pt idx="92">
                  <c:v>36.362212569062</c:v>
                </c:pt>
                <c:pt idx="93">
                  <c:v>39.4522392968505</c:v>
                </c:pt>
                <c:pt idx="94">
                  <c:v>41.6112678458484</c:v>
                </c:pt>
                <c:pt idx="95">
                  <c:v>42.7989570222447</c:v>
                </c:pt>
                <c:pt idx="96">
                  <c:v>43.1445469738683</c:v>
                </c:pt>
                <c:pt idx="97">
                  <c:v>42.8701417284051</c:v>
                </c:pt>
                <c:pt idx="98">
                  <c:v>42.2243506792314</c:v>
                </c:pt>
                <c:pt idx="99">
                  <c:v>41.4335492157487</c:v>
                </c:pt>
                <c:pt idx="100">
                  <c:v>40.6727897189342</c:v>
                </c:pt>
                <c:pt idx="101">
                  <c:v>40.0545627659337</c:v>
                </c:pt>
                <c:pt idx="102">
                  <c:v>39.6313301387372</c:v>
                </c:pt>
                <c:pt idx="103">
                  <c:v>39.4068804690324</c:v>
                </c:pt>
                <c:pt idx="104">
                  <c:v>39.3517710128083</c:v>
                </c:pt>
                <c:pt idx="105">
                  <c:v>39.163483663287</c:v>
                </c:pt>
                <c:pt idx="106">
                  <c:v>38.3407104259591</c:v>
                </c:pt>
                <c:pt idx="107">
                  <c:v>36.6888021366756</c:v>
                </c:pt>
                <c:pt idx="108">
                  <c:v>34.2106992173353</c:v>
                </c:pt>
                <c:pt idx="109">
                  <c:v>31.0412979400728</c:v>
                </c:pt>
                <c:pt idx="110">
                  <c:v>27.3822310088646</c:v>
                </c:pt>
                <c:pt idx="111">
                  <c:v>23.7029588722998</c:v>
                </c:pt>
                <c:pt idx="112">
                  <c:v>20.6413556285165</c:v>
                </c:pt>
                <c:pt idx="113">
                  <c:v>18.4863057467618</c:v>
                </c:pt>
                <c:pt idx="114">
                  <c:v>17.2855716548446</c:v>
                </c:pt>
                <c:pt idx="115">
                  <c:v>16.9176259861935</c:v>
                </c:pt>
                <c:pt idx="116">
                  <c:v>17.1670319950256</c:v>
                </c:pt>
                <c:pt idx="117">
                  <c:v>17.7900741613899</c:v>
                </c:pt>
                <c:pt idx="118">
                  <c:v>18.5632950216807</c:v>
                </c:pt>
                <c:pt idx="119">
                  <c:v>19.3127663348674</c:v>
                </c:pt>
                <c:pt idx="120">
                  <c:v>19.9257385669846</c:v>
                </c:pt>
                <c:pt idx="121">
                  <c:v>20.348605660311</c:v>
                </c:pt>
                <c:pt idx="122">
                  <c:v>20.5760254482682</c:v>
                </c:pt>
                <c:pt idx="123">
                  <c:v>20.6358627918978</c:v>
                </c:pt>
                <c:pt idx="124">
                  <c:v>20.9167621602207</c:v>
                </c:pt>
                <c:pt idx="125">
                  <c:v>22.0731392893901</c:v>
                </c:pt>
                <c:pt idx="126">
                  <c:v>24.3500497263804</c:v>
                </c:pt>
                <c:pt idx="127">
                  <c:v>27.7314537855945</c:v>
                </c:pt>
                <c:pt idx="128">
                  <c:v>32.0289005616434</c:v>
                </c:pt>
                <c:pt idx="129">
                  <c:v>36.6256983083843</c:v>
                </c:pt>
                <c:pt idx="130">
                  <c:v>40.6308602682288</c:v>
                </c:pt>
                <c:pt idx="131">
                  <c:v>43.5951087186939</c:v>
                </c:pt>
                <c:pt idx="132">
                  <c:v>45.3847991641759</c:v>
                </c:pt>
                <c:pt idx="133">
                  <c:v>46.0993334262006</c:v>
                </c:pt>
                <c:pt idx="134">
                  <c:v>45.9783134982223</c:v>
                </c:pt>
                <c:pt idx="135">
                  <c:v>45.3167573459787</c:v>
                </c:pt>
                <c:pt idx="136">
                  <c:v>44.3993588385887</c:v>
                </c:pt>
                <c:pt idx="137">
                  <c:v>43.4580883259162</c:v>
                </c:pt>
                <c:pt idx="138">
                  <c:v>42.6522582317421</c:v>
                </c:pt>
                <c:pt idx="139">
                  <c:v>42.0668524243175</c:v>
                </c:pt>
                <c:pt idx="140">
                  <c:v>41.7233651620957</c:v>
                </c:pt>
                <c:pt idx="141">
                  <c:v>41.5972803688028</c:v>
                </c:pt>
                <c:pt idx="142">
                  <c:v>41.294182516984</c:v>
                </c:pt>
                <c:pt idx="143">
                  <c:v>40.1487009896547</c:v>
                </c:pt>
                <c:pt idx="144">
                  <c:v>37.9031135646468</c:v>
                </c:pt>
                <c:pt idx="145">
                  <c:v>34.5616838970407</c:v>
                </c:pt>
                <c:pt idx="146">
                  <c:v>30.3035784240279</c:v>
                </c:pt>
                <c:pt idx="147">
                  <c:v>25.7393680917608</c:v>
                </c:pt>
                <c:pt idx="148">
                  <c:v>21.7570239872824</c:v>
                </c:pt>
                <c:pt idx="149">
                  <c:v>18.8053744771715</c:v>
                </c:pt>
                <c:pt idx="150">
                  <c:v>17.0194069986012</c:v>
                </c:pt>
                <c:pt idx="151">
                  <c:v>16.3020478448334</c:v>
                </c:pt>
                <c:pt idx="152">
                  <c:v>16.4163088543839</c:v>
                </c:pt>
                <c:pt idx="153">
                  <c:v>17.0695568509684</c:v>
                </c:pt>
                <c:pt idx="154">
                  <c:v>17.9789455594124</c:v>
                </c:pt>
                <c:pt idx="155">
                  <c:v>18.9136949260907</c:v>
                </c:pt>
                <c:pt idx="156">
                  <c:v>19.7150507824935</c:v>
                </c:pt>
                <c:pt idx="157">
                  <c:v>20.298074090668</c:v>
                </c:pt>
                <c:pt idx="158">
                  <c:v>20.6409641009371</c:v>
                </c:pt>
                <c:pt idx="159">
                  <c:v>20.6144065456245</c:v>
                </c:pt>
                <c:pt idx="160">
                  <c:v>19.9991666690523</c:v>
                </c:pt>
                <c:pt idx="161">
                  <c:v>18.7665771370755</c:v>
                </c:pt>
                <c:pt idx="162">
                  <c:v>16.9967491654123</c:v>
                </c:pt>
                <c:pt idx="163">
                  <c:v>14.8298107667157</c:v>
                </c:pt>
                <c:pt idx="164">
                  <c:v>12.4235695043932</c:v>
                </c:pt>
                <c:pt idx="165">
                  <c:v>9.92229268611195</c:v>
                </c:pt>
                <c:pt idx="166">
                  <c:v>7.43796163241391</c:v>
                </c:pt>
                <c:pt idx="167">
                  <c:v>5.04290232756481</c:v>
                </c:pt>
                <c:pt idx="168">
                  <c:v>2.77122642098222</c:v>
                </c:pt>
                <c:pt idx="169">
                  <c:v>0.77928298055462</c:v>
                </c:pt>
                <c:pt idx="170">
                  <c:v>-0.681139751501203</c:v>
                </c:pt>
                <c:pt idx="171">
                  <c:v>-1.55035970256641</c:v>
                </c:pt>
                <c:pt idx="172">
                  <c:v>-1.88349457984523</c:v>
                </c:pt>
                <c:pt idx="173">
                  <c:v>-1.80373562741522</c:v>
                </c:pt>
                <c:pt idx="174">
                  <c:v>-1.46007838413132</c:v>
                </c:pt>
                <c:pt idx="175">
                  <c:v>-0.994841273941212</c:v>
                </c:pt>
                <c:pt idx="176">
                  <c:v>-0.522970116904179</c:v>
                </c:pt>
                <c:pt idx="177">
                  <c:v>-0.122571500401468</c:v>
                </c:pt>
                <c:pt idx="178">
                  <c:v>0.165504942634719</c:v>
                </c:pt>
                <c:pt idx="179">
                  <c:v>0.331952270130136</c:v>
                </c:pt>
                <c:pt idx="180">
                  <c:v>0.390101535941676</c:v>
                </c:pt>
                <c:pt idx="181">
                  <c:v>0.366311463422925</c:v>
                </c:pt>
                <c:pt idx="182">
                  <c:v>0.291431383815253</c:v>
                </c:pt>
                <c:pt idx="183">
                  <c:v>0.194357018930994</c:v>
                </c:pt>
                <c:pt idx="184">
                  <c:v>0.0980257375538562</c:v>
                </c:pt>
                <c:pt idx="185">
                  <c:v>0.017691120082178</c:v>
                </c:pt>
                <c:pt idx="186">
                  <c:v>-0.0389972304142829</c:v>
                </c:pt>
                <c:pt idx="187">
                  <c:v>-0.0707168015870184</c:v>
                </c:pt>
                <c:pt idx="188">
                  <c:v>-0.0805984154331848</c:v>
                </c:pt>
                <c:pt idx="189">
                  <c:v>-0.0742539031190427</c:v>
                </c:pt>
                <c:pt idx="190">
                  <c:v>-0.0580550420084606</c:v>
                </c:pt>
                <c:pt idx="191">
                  <c:v>-0.0378577941143015</c:v>
                </c:pt>
                <c:pt idx="192">
                  <c:v>-0.0182302513170855</c:v>
                </c:pt>
                <c:pt idx="193">
                  <c:v>-0.00214239108821503</c:v>
                </c:pt>
                <c:pt idx="194">
                  <c:v>0.00898473726693057</c:v>
                </c:pt>
                <c:pt idx="195">
                  <c:v>0.0149968415642177</c:v>
                </c:pt>
                <c:pt idx="196">
                  <c:v>0.0166134622904618</c:v>
                </c:pt>
                <c:pt idx="197">
                  <c:v>0.0150240359376238</c:v>
                </c:pt>
                <c:pt idx="198">
                  <c:v>0.0115415666267594</c:v>
                </c:pt>
              </c:numCache>
            </c:numRef>
          </c:yVal>
          <c:smooth val="0"/>
        </c:ser>
        <c:axId val="66735151"/>
        <c:axId val="1450287"/>
      </c:scatterChart>
      <c:valAx>
        <c:axId val="6673515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50287"/>
        <c:crosses val="autoZero"/>
        <c:crossBetween val="midCat"/>
      </c:valAx>
      <c:valAx>
        <c:axId val="145028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73515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'Medium Time Gap'!$G$1</c:f>
              <c:strCache>
                <c:ptCount val="1"/>
                <c:pt idx="0">
                  <c:v>Safe Theorical Dist [m]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'Medium Time Gap'!$G$2:$G$200</c:f>
              <c:numCache>
                <c:formatCode>General</c:formatCode>
                <c:ptCount val="1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6.34112</c:v>
                </c:pt>
                <c:pt idx="12">
                  <c:v>7.68224</c:v>
                </c:pt>
                <c:pt idx="13">
                  <c:v>9.02336</c:v>
                </c:pt>
                <c:pt idx="14">
                  <c:v>10.36448</c:v>
                </c:pt>
                <c:pt idx="15">
                  <c:v>11.7056</c:v>
                </c:pt>
                <c:pt idx="16">
                  <c:v>13.04672</c:v>
                </c:pt>
                <c:pt idx="17">
                  <c:v>14.38784</c:v>
                </c:pt>
                <c:pt idx="18">
                  <c:v>15.72896</c:v>
                </c:pt>
                <c:pt idx="19">
                  <c:v>17.07008</c:v>
                </c:pt>
                <c:pt idx="20">
                  <c:v>18.4112</c:v>
                </c:pt>
                <c:pt idx="21">
                  <c:v>18.4112</c:v>
                </c:pt>
                <c:pt idx="22">
                  <c:v>18.4112</c:v>
                </c:pt>
                <c:pt idx="23">
                  <c:v>18.4112</c:v>
                </c:pt>
                <c:pt idx="24">
                  <c:v>18.4112</c:v>
                </c:pt>
                <c:pt idx="25">
                  <c:v>18.4112</c:v>
                </c:pt>
                <c:pt idx="26">
                  <c:v>18.4112</c:v>
                </c:pt>
                <c:pt idx="27">
                  <c:v>18.4112</c:v>
                </c:pt>
                <c:pt idx="28">
                  <c:v>18.4112</c:v>
                </c:pt>
                <c:pt idx="29">
                  <c:v>18.4112</c:v>
                </c:pt>
                <c:pt idx="30">
                  <c:v>18.4112</c:v>
                </c:pt>
                <c:pt idx="31">
                  <c:v>18.4112</c:v>
                </c:pt>
                <c:pt idx="32">
                  <c:v>18.4112</c:v>
                </c:pt>
                <c:pt idx="33">
                  <c:v>18.4112</c:v>
                </c:pt>
                <c:pt idx="34">
                  <c:v>18.4112</c:v>
                </c:pt>
                <c:pt idx="35">
                  <c:v>18.4112</c:v>
                </c:pt>
                <c:pt idx="36">
                  <c:v>19.75232</c:v>
                </c:pt>
                <c:pt idx="37">
                  <c:v>21.09344</c:v>
                </c:pt>
                <c:pt idx="38">
                  <c:v>22.43456</c:v>
                </c:pt>
                <c:pt idx="39">
                  <c:v>23.77568</c:v>
                </c:pt>
                <c:pt idx="40">
                  <c:v>25.1168</c:v>
                </c:pt>
                <c:pt idx="41">
                  <c:v>26.45792</c:v>
                </c:pt>
                <c:pt idx="42">
                  <c:v>27.79904</c:v>
                </c:pt>
                <c:pt idx="43">
                  <c:v>29.14016</c:v>
                </c:pt>
                <c:pt idx="44">
                  <c:v>30.48128</c:v>
                </c:pt>
                <c:pt idx="45">
                  <c:v>31.8224</c:v>
                </c:pt>
                <c:pt idx="46">
                  <c:v>31.8224</c:v>
                </c:pt>
                <c:pt idx="47">
                  <c:v>31.8224</c:v>
                </c:pt>
                <c:pt idx="48">
                  <c:v>31.8224</c:v>
                </c:pt>
                <c:pt idx="49">
                  <c:v>31.8224</c:v>
                </c:pt>
                <c:pt idx="50">
                  <c:v>31.8224</c:v>
                </c:pt>
                <c:pt idx="51">
                  <c:v>31.8224</c:v>
                </c:pt>
                <c:pt idx="52">
                  <c:v>31.8224</c:v>
                </c:pt>
                <c:pt idx="53">
                  <c:v>31.8224</c:v>
                </c:pt>
                <c:pt idx="54">
                  <c:v>31.8224</c:v>
                </c:pt>
                <c:pt idx="55">
                  <c:v>31.8224</c:v>
                </c:pt>
                <c:pt idx="56">
                  <c:v>31.8224</c:v>
                </c:pt>
                <c:pt idx="57">
                  <c:v>31.8224</c:v>
                </c:pt>
                <c:pt idx="58">
                  <c:v>31.8224</c:v>
                </c:pt>
                <c:pt idx="59">
                  <c:v>31.8224</c:v>
                </c:pt>
                <c:pt idx="60">
                  <c:v>31.8224</c:v>
                </c:pt>
                <c:pt idx="61">
                  <c:v>30.48128</c:v>
                </c:pt>
                <c:pt idx="62">
                  <c:v>29.14016</c:v>
                </c:pt>
                <c:pt idx="63">
                  <c:v>27.79904</c:v>
                </c:pt>
                <c:pt idx="64">
                  <c:v>26.45792</c:v>
                </c:pt>
                <c:pt idx="65">
                  <c:v>25.1168</c:v>
                </c:pt>
                <c:pt idx="66">
                  <c:v>23.77568</c:v>
                </c:pt>
                <c:pt idx="67">
                  <c:v>22.43456</c:v>
                </c:pt>
                <c:pt idx="68">
                  <c:v>21.09344</c:v>
                </c:pt>
                <c:pt idx="69">
                  <c:v>19.75232</c:v>
                </c:pt>
                <c:pt idx="70">
                  <c:v>18.4112</c:v>
                </c:pt>
                <c:pt idx="71">
                  <c:v>18.4112</c:v>
                </c:pt>
                <c:pt idx="72">
                  <c:v>18.4112</c:v>
                </c:pt>
                <c:pt idx="73">
                  <c:v>18.4112</c:v>
                </c:pt>
                <c:pt idx="74">
                  <c:v>18.4112</c:v>
                </c:pt>
                <c:pt idx="75">
                  <c:v>18.4112</c:v>
                </c:pt>
                <c:pt idx="76">
                  <c:v>18.4112</c:v>
                </c:pt>
                <c:pt idx="77">
                  <c:v>18.4112</c:v>
                </c:pt>
                <c:pt idx="78">
                  <c:v>18.4112</c:v>
                </c:pt>
                <c:pt idx="79">
                  <c:v>18.4112</c:v>
                </c:pt>
                <c:pt idx="80">
                  <c:v>18.4112</c:v>
                </c:pt>
                <c:pt idx="81">
                  <c:v>18.4112</c:v>
                </c:pt>
                <c:pt idx="82">
                  <c:v>18.4112</c:v>
                </c:pt>
                <c:pt idx="83">
                  <c:v>18.4112</c:v>
                </c:pt>
                <c:pt idx="84">
                  <c:v>18.4112</c:v>
                </c:pt>
                <c:pt idx="85">
                  <c:v>18.4112</c:v>
                </c:pt>
                <c:pt idx="86">
                  <c:v>20.6462</c:v>
                </c:pt>
                <c:pt idx="87">
                  <c:v>22.8812</c:v>
                </c:pt>
                <c:pt idx="88">
                  <c:v>25.1162</c:v>
                </c:pt>
                <c:pt idx="89">
                  <c:v>27.3512</c:v>
                </c:pt>
                <c:pt idx="90">
                  <c:v>29.5862</c:v>
                </c:pt>
                <c:pt idx="91">
                  <c:v>31.8212</c:v>
                </c:pt>
                <c:pt idx="92">
                  <c:v>31.8212</c:v>
                </c:pt>
                <c:pt idx="93">
                  <c:v>31.8212</c:v>
                </c:pt>
                <c:pt idx="94">
                  <c:v>31.8212</c:v>
                </c:pt>
                <c:pt idx="95">
                  <c:v>31.8212</c:v>
                </c:pt>
                <c:pt idx="96">
                  <c:v>31.8212</c:v>
                </c:pt>
                <c:pt idx="97">
                  <c:v>31.8212</c:v>
                </c:pt>
                <c:pt idx="98">
                  <c:v>31.8212</c:v>
                </c:pt>
                <c:pt idx="99">
                  <c:v>31.8212</c:v>
                </c:pt>
                <c:pt idx="100">
                  <c:v>31.8212</c:v>
                </c:pt>
                <c:pt idx="101">
                  <c:v>31.8212</c:v>
                </c:pt>
                <c:pt idx="102">
                  <c:v>31.8212</c:v>
                </c:pt>
                <c:pt idx="103">
                  <c:v>31.8212</c:v>
                </c:pt>
                <c:pt idx="104">
                  <c:v>31.8212</c:v>
                </c:pt>
                <c:pt idx="105">
                  <c:v>29.5862</c:v>
                </c:pt>
                <c:pt idx="106">
                  <c:v>27.3512</c:v>
                </c:pt>
                <c:pt idx="107">
                  <c:v>25.1162</c:v>
                </c:pt>
                <c:pt idx="108">
                  <c:v>22.8812</c:v>
                </c:pt>
                <c:pt idx="109">
                  <c:v>20.6462</c:v>
                </c:pt>
                <c:pt idx="110">
                  <c:v>18.4112</c:v>
                </c:pt>
                <c:pt idx="111">
                  <c:v>18.4112</c:v>
                </c:pt>
                <c:pt idx="112">
                  <c:v>18.4112</c:v>
                </c:pt>
                <c:pt idx="113">
                  <c:v>18.4112</c:v>
                </c:pt>
                <c:pt idx="114">
                  <c:v>18.4112</c:v>
                </c:pt>
                <c:pt idx="115">
                  <c:v>18.4112</c:v>
                </c:pt>
                <c:pt idx="116">
                  <c:v>18.4112</c:v>
                </c:pt>
                <c:pt idx="117">
                  <c:v>18.4112</c:v>
                </c:pt>
                <c:pt idx="118">
                  <c:v>18.4112</c:v>
                </c:pt>
                <c:pt idx="119">
                  <c:v>18.4112</c:v>
                </c:pt>
                <c:pt idx="120">
                  <c:v>18.4112</c:v>
                </c:pt>
                <c:pt idx="121">
                  <c:v>18.4112</c:v>
                </c:pt>
                <c:pt idx="122">
                  <c:v>18.4112</c:v>
                </c:pt>
                <c:pt idx="123">
                  <c:v>18.4112</c:v>
                </c:pt>
                <c:pt idx="124">
                  <c:v>21.4112</c:v>
                </c:pt>
                <c:pt idx="125">
                  <c:v>24.4112</c:v>
                </c:pt>
                <c:pt idx="126">
                  <c:v>27.4112</c:v>
                </c:pt>
                <c:pt idx="127">
                  <c:v>30.4112</c:v>
                </c:pt>
                <c:pt idx="128">
                  <c:v>33.4112</c:v>
                </c:pt>
                <c:pt idx="129">
                  <c:v>33.4112</c:v>
                </c:pt>
                <c:pt idx="130">
                  <c:v>33.4112</c:v>
                </c:pt>
                <c:pt idx="131">
                  <c:v>33.4112</c:v>
                </c:pt>
                <c:pt idx="132">
                  <c:v>33.4112</c:v>
                </c:pt>
                <c:pt idx="133">
                  <c:v>33.4112</c:v>
                </c:pt>
                <c:pt idx="134">
                  <c:v>33.4112</c:v>
                </c:pt>
                <c:pt idx="135">
                  <c:v>33.4112</c:v>
                </c:pt>
                <c:pt idx="136">
                  <c:v>33.4112</c:v>
                </c:pt>
                <c:pt idx="137">
                  <c:v>33.4112</c:v>
                </c:pt>
                <c:pt idx="138">
                  <c:v>33.4112</c:v>
                </c:pt>
                <c:pt idx="139">
                  <c:v>33.4112</c:v>
                </c:pt>
                <c:pt idx="140">
                  <c:v>33.4112</c:v>
                </c:pt>
                <c:pt idx="141">
                  <c:v>33.4112</c:v>
                </c:pt>
                <c:pt idx="142">
                  <c:v>30.4112</c:v>
                </c:pt>
                <c:pt idx="143">
                  <c:v>27.4112</c:v>
                </c:pt>
                <c:pt idx="144">
                  <c:v>24.4112</c:v>
                </c:pt>
                <c:pt idx="145">
                  <c:v>21.4112</c:v>
                </c:pt>
                <c:pt idx="146">
                  <c:v>18.4112</c:v>
                </c:pt>
                <c:pt idx="147">
                  <c:v>18.4112</c:v>
                </c:pt>
                <c:pt idx="148">
                  <c:v>18.4112</c:v>
                </c:pt>
                <c:pt idx="149">
                  <c:v>18.4112</c:v>
                </c:pt>
                <c:pt idx="150">
                  <c:v>18.4112</c:v>
                </c:pt>
                <c:pt idx="151">
                  <c:v>18.4112</c:v>
                </c:pt>
                <c:pt idx="152">
                  <c:v>18.4112</c:v>
                </c:pt>
                <c:pt idx="153">
                  <c:v>18.4112</c:v>
                </c:pt>
                <c:pt idx="154">
                  <c:v>18.4112</c:v>
                </c:pt>
                <c:pt idx="155">
                  <c:v>18.4112</c:v>
                </c:pt>
                <c:pt idx="156">
                  <c:v>18.4112</c:v>
                </c:pt>
                <c:pt idx="157">
                  <c:v>18.4112</c:v>
                </c:pt>
                <c:pt idx="158">
                  <c:v>18.4112</c:v>
                </c:pt>
                <c:pt idx="159">
                  <c:v>17.07008</c:v>
                </c:pt>
                <c:pt idx="160">
                  <c:v>15.72896</c:v>
                </c:pt>
                <c:pt idx="161">
                  <c:v>14.38784</c:v>
                </c:pt>
                <c:pt idx="162">
                  <c:v>13.04672</c:v>
                </c:pt>
                <c:pt idx="163">
                  <c:v>11.7056</c:v>
                </c:pt>
                <c:pt idx="164">
                  <c:v>10.36448</c:v>
                </c:pt>
                <c:pt idx="165">
                  <c:v>9.02336</c:v>
                </c:pt>
                <c:pt idx="166">
                  <c:v>7.68224</c:v>
                </c:pt>
                <c:pt idx="167">
                  <c:v>6.34112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'Medium Time Gap'!$J$1</c:f>
              <c:strCache>
                <c:ptCount val="1"/>
                <c:pt idx="0">
                  <c:v>Simulated Dist [m]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'Medium Time Gap'!$J$2:$J$200</c:f>
              <c:numCache>
                <c:formatCode>General</c:formatCode>
                <c:ptCount val="1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5.43213866666667</c:v>
                </c:pt>
                <c:pt idx="12">
                  <c:v>6.59797924977778</c:v>
                </c:pt>
                <c:pt idx="13">
                  <c:v>8.28376367240533</c:v>
                </c:pt>
                <c:pt idx="14">
                  <c:v>10.2625733345883</c:v>
                </c:pt>
                <c:pt idx="15">
                  <c:v>12.3351778427887</c:v>
                </c:pt>
                <c:pt idx="16">
                  <c:v>14.3529580113561</c:v>
                </c:pt>
                <c:pt idx="17">
                  <c:v>16.2251265865067</c:v>
                </c:pt>
                <c:pt idx="18">
                  <c:v>17.9142632207341</c:v>
                </c:pt>
                <c:pt idx="19">
                  <c:v>19.4247357711826</c:v>
                </c:pt>
                <c:pt idx="20">
                  <c:v>20.7882167386974</c:v>
                </c:pt>
                <c:pt idx="21">
                  <c:v>21.6174443829657</c:v>
                </c:pt>
                <c:pt idx="22">
                  <c:v>21.6573620811538</c:v>
                </c:pt>
                <c:pt idx="23">
                  <c:v>21.1618443991493</c:v>
                </c:pt>
                <c:pt idx="24">
                  <c:v>20.3871893160583</c:v>
                </c:pt>
                <c:pt idx="25">
                  <c:v>19.5500835392963</c:v>
                </c:pt>
                <c:pt idx="26">
                  <c:v>18.8058029381486</c:v>
                </c:pt>
                <c:pt idx="27">
                  <c:v>18.2434823114195</c:v>
                </c:pt>
                <c:pt idx="28">
                  <c:v>17.8935864439345</c:v>
                </c:pt>
                <c:pt idx="29">
                  <c:v>17.7423567279915</c:v>
                </c:pt>
                <c:pt idx="30">
                  <c:v>17.7486086625804</c:v>
                </c:pt>
                <c:pt idx="31">
                  <c:v>17.8594024321386</c:v>
                </c:pt>
                <c:pt idx="32">
                  <c:v>18.0224369761651</c:v>
                </c:pt>
                <c:pt idx="33">
                  <c:v>18.1942540015074</c:v>
                </c:pt>
                <c:pt idx="34">
                  <c:v>18.3443137906943</c:v>
                </c:pt>
                <c:pt idx="35">
                  <c:v>18.4556484439665</c:v>
                </c:pt>
                <c:pt idx="36">
                  <c:v>18.955254808597</c:v>
                </c:pt>
                <c:pt idx="37">
                  <c:v>20.1483076784418</c:v>
                </c:pt>
                <c:pt idx="38">
                  <c:v>21.8299461620551</c:v>
                </c:pt>
                <c:pt idx="39">
                  <c:v>23.7842599409995</c:v>
                </c:pt>
                <c:pt idx="40">
                  <c:v>25.8226706965579</c:v>
                </c:pt>
                <c:pt idx="41">
                  <c:v>27.8052587797704</c:v>
                </c:pt>
                <c:pt idx="42">
                  <c:v>29.6472281803071</c:v>
                </c:pt>
                <c:pt idx="43">
                  <c:v>31.3143707113018</c:v>
                </c:pt>
                <c:pt idx="44">
                  <c:v>32.8118869865235</c:v>
                </c:pt>
                <c:pt idx="45">
                  <c:v>34.170553552707</c:v>
                </c:pt>
                <c:pt idx="46">
                  <c:v>35.0011982441402</c:v>
                </c:pt>
                <c:pt idx="47">
                  <c:v>35.046481457608</c:v>
                </c:pt>
                <c:pt idx="48">
                  <c:v>34.5581123901659</c:v>
                </c:pt>
                <c:pt idx="49">
                  <c:v>33.7906508617469</c:v>
                </c:pt>
                <c:pt idx="50">
                  <c:v>32.9596113964988</c:v>
                </c:pt>
                <c:pt idx="51">
                  <c:v>32.2196656013313</c:v>
                </c:pt>
                <c:pt idx="52">
                  <c:v>31.6598218649783</c:v>
                </c:pt>
                <c:pt idx="53">
                  <c:v>31.3107591674038</c:v>
                </c:pt>
                <c:pt idx="54">
                  <c:v>31.1591269156071</c:v>
                </c:pt>
                <c:pt idx="55">
                  <c:v>31.1642128804252</c:v>
                </c:pt>
                <c:pt idx="56">
                  <c:v>31.2735166014172</c:v>
                </c:pt>
                <c:pt idx="57">
                  <c:v>31.4350836243251</c:v>
                </c:pt>
                <c:pt idx="58">
                  <c:v>31.6056843347872</c:v>
                </c:pt>
                <c:pt idx="59">
                  <c:v>31.7548918646467</c:v>
                </c:pt>
                <c:pt idx="60">
                  <c:v>31.8657553757694</c:v>
                </c:pt>
                <c:pt idx="61">
                  <c:v>31.5009444996558</c:v>
                </c:pt>
                <c:pt idx="62">
                  <c:v>30.3624208062982</c:v>
                </c:pt>
                <c:pt idx="63">
                  <c:v>28.6727420945368</c:v>
                </c:pt>
                <c:pt idx="64">
                  <c:v>26.6697462653998</c:v>
                </c:pt>
                <c:pt idx="65">
                  <c:v>24.5632468083271</c:v>
                </c:pt>
                <c:pt idx="66">
                  <c:v>22.5105179701582</c:v>
                </c:pt>
                <c:pt idx="67">
                  <c:v>20.6083173509777</c:v>
                </c:pt>
                <c:pt idx="68">
                  <c:v>18.897275726632</c:v>
                </c:pt>
                <c:pt idx="69">
                  <c:v>17.373869387719</c:v>
                </c:pt>
                <c:pt idx="70">
                  <c:v>16.0055482333033</c:v>
                </c:pt>
                <c:pt idx="71">
                  <c:v>15.1776836460524</c:v>
                </c:pt>
                <c:pt idx="72">
                  <c:v>15.1430672560766</c:v>
                </c:pt>
                <c:pt idx="73">
                  <c:v>15.645672828173</c:v>
                </c:pt>
                <c:pt idx="74">
                  <c:v>16.4274728454719</c:v>
                </c:pt>
                <c:pt idx="75">
                  <c:v>17.2706122481501</c:v>
                </c:pt>
                <c:pt idx="76">
                  <c:v>18.0192109083316</c:v>
                </c:pt>
                <c:pt idx="77">
                  <c:v>18.5840050553261</c:v>
                </c:pt>
                <c:pt idx="78">
                  <c:v>18.934740230277</c:v>
                </c:pt>
                <c:pt idx="79">
                  <c:v>19.0855789327062</c:v>
                </c:pt>
                <c:pt idx="80">
                  <c:v>19.0781743058723</c:v>
                </c:pt>
                <c:pt idx="81">
                  <c:v>18.9659028054316</c:v>
                </c:pt>
                <c:pt idx="82">
                  <c:v>18.8014104328846</c:v>
                </c:pt>
                <c:pt idx="83">
                  <c:v>18.6283834664379</c:v>
                </c:pt>
                <c:pt idx="84">
                  <c:v>18.4774745418813</c:v>
                </c:pt>
                <c:pt idx="85">
                  <c:v>18.3656691897069</c:v>
                </c:pt>
                <c:pt idx="86">
                  <c:v>19.0182268262612</c:v>
                </c:pt>
                <c:pt idx="87">
                  <c:v>20.9340104728467</c:v>
                </c:pt>
                <c:pt idx="88">
                  <c:v>23.7477946274602</c:v>
                </c:pt>
                <c:pt idx="89">
                  <c:v>27.0703187385786</c:v>
                </c:pt>
                <c:pt idx="90">
                  <c:v>30.5588411280014</c:v>
                </c:pt>
                <c:pt idx="91">
                  <c:v>33.9569414279628</c:v>
                </c:pt>
                <c:pt idx="92">
                  <c:v>36.3871422525936</c:v>
                </c:pt>
                <c:pt idx="93">
                  <c:v>37.2813074739732</c:v>
                </c:pt>
                <c:pt idx="94">
                  <c:v>37.0021262509787</c:v>
                </c:pt>
                <c:pt idx="95">
                  <c:v>35.9814593233654</c:v>
                </c:pt>
                <c:pt idx="96">
                  <c:v>34.6280461669658</c:v>
                </c:pt>
                <c:pt idx="97">
                  <c:v>33.2693682326136</c:v>
                </c:pt>
                <c:pt idx="98">
                  <c:v>32.1257579102983</c:v>
                </c:pt>
                <c:pt idx="99">
                  <c:v>31.3102848749297</c:v>
                </c:pt>
                <c:pt idx="100">
                  <c:v>30.8459372917916</c:v>
                </c:pt>
                <c:pt idx="101">
                  <c:v>30.6916301562358</c:v>
                </c:pt>
                <c:pt idx="102">
                  <c:v>30.7699453220243</c:v>
                </c:pt>
                <c:pt idx="103">
                  <c:v>30.9915690835517</c:v>
                </c:pt>
                <c:pt idx="104">
                  <c:v>31.2735846498349</c:v>
                </c:pt>
                <c:pt idx="105">
                  <c:v>30.8305363079305</c:v>
                </c:pt>
                <c:pt idx="106">
                  <c:v>29.1168933554582</c:v>
                </c:pt>
                <c:pt idx="107">
                  <c:v>26.4677891034564</c:v>
                </c:pt>
                <c:pt idx="108">
                  <c:v>23.2583426734698</c:v>
                </c:pt>
                <c:pt idx="109">
                  <c:v>19.8301200671515</c:v>
                </c:pt>
                <c:pt idx="110">
                  <c:v>16.4472450650908</c:v>
                </c:pt>
                <c:pt idx="111">
                  <c:v>13.9996100354595</c:v>
                </c:pt>
                <c:pt idx="112">
                  <c:v>13.0689264543394</c:v>
                </c:pt>
                <c:pt idx="113">
                  <c:v>13.3046740913171</c:v>
                </c:pt>
                <c:pt idx="114">
                  <c:v>14.2842606759864</c:v>
                </c:pt>
                <c:pt idx="115">
                  <c:v>15.604780055975</c:v>
                </c:pt>
                <c:pt idx="116">
                  <c:v>16.9413432758684</c:v>
                </c:pt>
                <c:pt idx="117">
                  <c:v>18.0736212624172</c:v>
                </c:pt>
                <c:pt idx="118">
                  <c:v>18.8868117987374</c:v>
                </c:pt>
                <c:pt idx="119">
                  <c:v>19.3553095132388</c:v>
                </c:pt>
                <c:pt idx="120">
                  <c:v>19.5174103619836</c:v>
                </c:pt>
                <c:pt idx="121">
                  <c:v>19.4480769970367</c:v>
                </c:pt>
                <c:pt idx="122">
                  <c:v>19.2347862471402</c:v>
                </c:pt>
                <c:pt idx="123">
                  <c:v>18.9593281705586</c:v>
                </c:pt>
                <c:pt idx="124">
                  <c:v>19.6531889806799</c:v>
                </c:pt>
                <c:pt idx="125">
                  <c:v>22.033963243194</c:v>
                </c:pt>
                <c:pt idx="126">
                  <c:v>25.6449709293429</c:v>
                </c:pt>
                <c:pt idx="127">
                  <c:v>29.9822040468055</c:v>
                </c:pt>
                <c:pt idx="128">
                  <c:v>34.5910236362233</c:v>
                </c:pt>
                <c:pt idx="129">
                  <c:v>38.1563586515697</c:v>
                </c:pt>
                <c:pt idx="130">
                  <c:v>39.7824821054694</c:v>
                </c:pt>
                <c:pt idx="131">
                  <c:v>39.8472776816031</c:v>
                </c:pt>
                <c:pt idx="132">
                  <c:v>38.855211729634</c:v>
                </c:pt>
                <c:pt idx="133">
                  <c:v>37.3144260844354</c:v>
                </c:pt>
                <c:pt idx="134">
                  <c:v>35.6537715975353</c:v>
                </c:pt>
                <c:pt idx="135">
                  <c:v>34.1799592044006</c:v>
                </c:pt>
                <c:pt idx="136">
                  <c:v>33.0684925729161</c:v>
                </c:pt>
                <c:pt idx="137">
                  <c:v>32.3787007543942</c:v>
                </c:pt>
                <c:pt idx="138">
                  <c:v>32.082504605318</c:v>
                </c:pt>
                <c:pt idx="139">
                  <c:v>32.0977596897926</c:v>
                </c:pt>
                <c:pt idx="140">
                  <c:v>32.3193019385406</c:v>
                </c:pt>
                <c:pt idx="141">
                  <c:v>32.6434587427007</c:v>
                </c:pt>
                <c:pt idx="142">
                  <c:v>32.0175702075078</c:v>
                </c:pt>
                <c:pt idx="143">
                  <c:v>29.7067497958683</c:v>
                </c:pt>
                <c:pt idx="144">
                  <c:v>26.1557692594877</c:v>
                </c:pt>
                <c:pt idx="145">
                  <c:v>21.8622524946893</c:v>
                </c:pt>
                <c:pt idx="146">
                  <c:v>17.2791839238478</c:v>
                </c:pt>
                <c:pt idx="147">
                  <c:v>13.7234161081758</c:v>
                </c:pt>
                <c:pt idx="148">
                  <c:v>12.0944738427568</c:v>
                </c:pt>
                <c:pt idx="149">
                  <c:v>12.0190115906103</c:v>
                </c:pt>
                <c:pt idx="150">
                  <c:v>12.9968672030379</c:v>
                </c:pt>
                <c:pt idx="151">
                  <c:v>14.5233537523895</c:v>
                </c:pt>
                <c:pt idx="152">
                  <c:v>16.1719502226372</c:v>
                </c:pt>
                <c:pt idx="153">
                  <c:v>17.637146621099</c:v>
                </c:pt>
                <c:pt idx="154">
                  <c:v>18.7436903953401</c:v>
                </c:pt>
                <c:pt idx="155">
                  <c:v>19.4318266124258</c:v>
                </c:pt>
                <c:pt idx="156">
                  <c:v>19.7288233153888</c:v>
                </c:pt>
                <c:pt idx="157">
                  <c:v>19.7158861544544</c:v>
                </c:pt>
                <c:pt idx="158">
                  <c:v>19.4973058759649</c:v>
                </c:pt>
                <c:pt idx="159">
                  <c:v>18.7439274817154</c:v>
                </c:pt>
                <c:pt idx="160">
                  <c:v>17.2397264297558</c:v>
                </c:pt>
                <c:pt idx="161">
                  <c:v>15.2585452768994</c:v>
                </c:pt>
                <c:pt idx="162">
                  <c:v>13.0606601885684</c:v>
                </c:pt>
                <c:pt idx="163">
                  <c:v>10.8553792901394</c:v>
                </c:pt>
                <c:pt idx="164">
                  <c:v>8.78417544220088</c:v>
                </c:pt>
                <c:pt idx="165">
                  <c:v>6.92029539208193</c:v>
                </c:pt>
                <c:pt idx="166">
                  <c:v>5.27947464207614</c:v>
                </c:pt>
                <c:pt idx="167">
                  <c:v>3.83637171254713</c:v>
                </c:pt>
                <c:pt idx="168">
                  <c:v>2.54219158024853</c:v>
                </c:pt>
                <c:pt idx="169">
                  <c:v>1.77240937955685</c:v>
                </c:pt>
                <c:pt idx="170">
                  <c:v>1.77576771109352</c:v>
                </c:pt>
                <c:pt idx="171">
                  <c:v>2.29676169000072</c:v>
                </c:pt>
                <c:pt idx="172">
                  <c:v>3.080864440406</c:v>
                </c:pt>
                <c:pt idx="173">
                  <c:v>3.91515511604348</c:v>
                </c:pt>
                <c:pt idx="174">
                  <c:v>4.64885475464507</c:v>
                </c:pt>
                <c:pt idx="175">
                  <c:v>5.19709192523601</c:v>
                </c:pt>
                <c:pt idx="176">
                  <c:v>5.53282275915399</c:v>
                </c:pt>
                <c:pt idx="177">
                  <c:v>5.67211176303613</c:v>
                </c:pt>
                <c:pt idx="178">
                  <c:v>5.65733103398497</c:v>
                </c:pt>
                <c:pt idx="179">
                  <c:v>5.54166740122423</c:v>
                </c:pt>
                <c:pt idx="180">
                  <c:v>5.37699879791467</c:v>
                </c:pt>
                <c:pt idx="181">
                  <c:v>5.2059793229655</c:v>
                </c:pt>
                <c:pt idx="182">
                  <c:v>5.05821848601568</c:v>
                </c:pt>
                <c:pt idx="183">
                  <c:v>4.94981918198982</c:v>
                </c:pt>
                <c:pt idx="184">
                  <c:v>4.88524109561149</c:v>
                </c:pt>
                <c:pt idx="185">
                  <c:v>4.86042285966937</c:v>
                </c:pt>
                <c:pt idx="186">
                  <c:v>4.86624553744673</c:v>
                </c:pt>
                <c:pt idx="187">
                  <c:v>4.89166763235016</c:v>
                </c:pt>
                <c:pt idx="188">
                  <c:v>4.92613555955177</c:v>
                </c:pt>
                <c:pt idx="189">
                  <c:v>4.96112069806827</c:v>
                </c:pt>
                <c:pt idx="190">
                  <c:v>4.99082376303818</c:v>
                </c:pt>
                <c:pt idx="191">
                  <c:v>5.01220777181811</c:v>
                </c:pt>
                <c:pt idx="192">
                  <c:v>5.02457571485888</c:v>
                </c:pt>
                <c:pt idx="193">
                  <c:v>5.02891102567082</c:v>
                </c:pt>
                <c:pt idx="194">
                  <c:v>5.0271651845203</c:v>
                </c:pt>
                <c:pt idx="195">
                  <c:v>5.02162450663082</c:v>
                </c:pt>
                <c:pt idx="196">
                  <c:v>5.01443187833866</c:v>
                </c:pt>
                <c:pt idx="197">
                  <c:v>5.00728929015054</c:v>
                </c:pt>
                <c:pt idx="198">
                  <c:v>5.00132940302956</c:v>
                </c:pt>
              </c:numCache>
            </c:numRef>
          </c:yVal>
          <c:smooth val="0"/>
        </c:ser>
        <c:axId val="61453451"/>
        <c:axId val="81932287"/>
      </c:scatterChart>
      <c:valAx>
        <c:axId val="6145345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932287"/>
        <c:crosses val="autoZero"/>
        <c:crossBetween val="midCat"/>
      </c:valAx>
      <c:valAx>
        <c:axId val="819322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45345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'Long Time Gap'!$C$1</c:f>
              <c:strCache>
                <c:ptCount val="1"/>
                <c:pt idx="0">
                  <c:v>Lead Speed [mph]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Gap'!$C$2:$C$200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2.00005696</c:v>
                </c:pt>
                <c:pt idx="12">
                  <c:v>4.00011392</c:v>
                </c:pt>
                <c:pt idx="13">
                  <c:v>6.00017088</c:v>
                </c:pt>
                <c:pt idx="14">
                  <c:v>8.00022784</c:v>
                </c:pt>
                <c:pt idx="15">
                  <c:v>10.0002848</c:v>
                </c:pt>
                <c:pt idx="16">
                  <c:v>12.00034176</c:v>
                </c:pt>
                <c:pt idx="17">
                  <c:v>14.00039872</c:v>
                </c:pt>
                <c:pt idx="18">
                  <c:v>16.00045568</c:v>
                </c:pt>
                <c:pt idx="19">
                  <c:v>18.00051264</c:v>
                </c:pt>
                <c:pt idx="20">
                  <c:v>20.0005696</c:v>
                </c:pt>
                <c:pt idx="21">
                  <c:v>20.0005696</c:v>
                </c:pt>
                <c:pt idx="22">
                  <c:v>20.0005696</c:v>
                </c:pt>
                <c:pt idx="23">
                  <c:v>20.0005696</c:v>
                </c:pt>
                <c:pt idx="24">
                  <c:v>20.0005696</c:v>
                </c:pt>
                <c:pt idx="25">
                  <c:v>20.0005696</c:v>
                </c:pt>
                <c:pt idx="26">
                  <c:v>20.0005696</c:v>
                </c:pt>
                <c:pt idx="27">
                  <c:v>20.0005696</c:v>
                </c:pt>
                <c:pt idx="28">
                  <c:v>20.0005696</c:v>
                </c:pt>
                <c:pt idx="29">
                  <c:v>20.0005696</c:v>
                </c:pt>
                <c:pt idx="30">
                  <c:v>20.0005696</c:v>
                </c:pt>
                <c:pt idx="31">
                  <c:v>20.0005696</c:v>
                </c:pt>
                <c:pt idx="32">
                  <c:v>20.0005696</c:v>
                </c:pt>
                <c:pt idx="33">
                  <c:v>20.0005696</c:v>
                </c:pt>
                <c:pt idx="34">
                  <c:v>20.0005696</c:v>
                </c:pt>
                <c:pt idx="35">
                  <c:v>20.0005696</c:v>
                </c:pt>
                <c:pt idx="36">
                  <c:v>22.00062656</c:v>
                </c:pt>
                <c:pt idx="37">
                  <c:v>24.00068352</c:v>
                </c:pt>
                <c:pt idx="38">
                  <c:v>26.00074048</c:v>
                </c:pt>
                <c:pt idx="39">
                  <c:v>28.00079744</c:v>
                </c:pt>
                <c:pt idx="40">
                  <c:v>30.0008544</c:v>
                </c:pt>
                <c:pt idx="41">
                  <c:v>32.00091136</c:v>
                </c:pt>
                <c:pt idx="42">
                  <c:v>34.00096832</c:v>
                </c:pt>
                <c:pt idx="43">
                  <c:v>36.00102528</c:v>
                </c:pt>
                <c:pt idx="44">
                  <c:v>38.00108224</c:v>
                </c:pt>
                <c:pt idx="45">
                  <c:v>40.0011392</c:v>
                </c:pt>
                <c:pt idx="46">
                  <c:v>40.0011392</c:v>
                </c:pt>
                <c:pt idx="47">
                  <c:v>40.0011392</c:v>
                </c:pt>
                <c:pt idx="48">
                  <c:v>40.0011392</c:v>
                </c:pt>
                <c:pt idx="49">
                  <c:v>40.0011392</c:v>
                </c:pt>
                <c:pt idx="50">
                  <c:v>40.0011392</c:v>
                </c:pt>
                <c:pt idx="51">
                  <c:v>40.0011392</c:v>
                </c:pt>
                <c:pt idx="52">
                  <c:v>40.0011392</c:v>
                </c:pt>
                <c:pt idx="53">
                  <c:v>40.0011392</c:v>
                </c:pt>
                <c:pt idx="54">
                  <c:v>40.0011392</c:v>
                </c:pt>
                <c:pt idx="55">
                  <c:v>40.0011392</c:v>
                </c:pt>
                <c:pt idx="56">
                  <c:v>40.0011392</c:v>
                </c:pt>
                <c:pt idx="57">
                  <c:v>40.0011392</c:v>
                </c:pt>
                <c:pt idx="58">
                  <c:v>40.0011392</c:v>
                </c:pt>
                <c:pt idx="59">
                  <c:v>40.0011392</c:v>
                </c:pt>
                <c:pt idx="60">
                  <c:v>40.0011392</c:v>
                </c:pt>
                <c:pt idx="61">
                  <c:v>38.00108224</c:v>
                </c:pt>
                <c:pt idx="62">
                  <c:v>36.00102528</c:v>
                </c:pt>
                <c:pt idx="63">
                  <c:v>34.00096832</c:v>
                </c:pt>
                <c:pt idx="64">
                  <c:v>32.00091136</c:v>
                </c:pt>
                <c:pt idx="65">
                  <c:v>30.0008544</c:v>
                </c:pt>
                <c:pt idx="66">
                  <c:v>28.00079744</c:v>
                </c:pt>
                <c:pt idx="67">
                  <c:v>26.00074048</c:v>
                </c:pt>
                <c:pt idx="68">
                  <c:v>24.00068352</c:v>
                </c:pt>
                <c:pt idx="69">
                  <c:v>22.00062656</c:v>
                </c:pt>
                <c:pt idx="70">
                  <c:v>20.0005696</c:v>
                </c:pt>
                <c:pt idx="71">
                  <c:v>20.0005696</c:v>
                </c:pt>
                <c:pt idx="72">
                  <c:v>20.0005696</c:v>
                </c:pt>
                <c:pt idx="73">
                  <c:v>20.0005696</c:v>
                </c:pt>
                <c:pt idx="74">
                  <c:v>20.0005696</c:v>
                </c:pt>
                <c:pt idx="75">
                  <c:v>20.0005696</c:v>
                </c:pt>
                <c:pt idx="76">
                  <c:v>20.0005696</c:v>
                </c:pt>
                <c:pt idx="77">
                  <c:v>20.0005696</c:v>
                </c:pt>
                <c:pt idx="78">
                  <c:v>20.0005696</c:v>
                </c:pt>
                <c:pt idx="79">
                  <c:v>20.0005696</c:v>
                </c:pt>
                <c:pt idx="80">
                  <c:v>20.0005696</c:v>
                </c:pt>
                <c:pt idx="81">
                  <c:v>20.0005696</c:v>
                </c:pt>
                <c:pt idx="82">
                  <c:v>20.0005696</c:v>
                </c:pt>
                <c:pt idx="83">
                  <c:v>20.0005696</c:v>
                </c:pt>
                <c:pt idx="84">
                  <c:v>20.0005696</c:v>
                </c:pt>
                <c:pt idx="85">
                  <c:v>20.0005696</c:v>
                </c:pt>
                <c:pt idx="86">
                  <c:v>23.3336996</c:v>
                </c:pt>
                <c:pt idx="87">
                  <c:v>26.6668296</c:v>
                </c:pt>
                <c:pt idx="88">
                  <c:v>29.9999596</c:v>
                </c:pt>
                <c:pt idx="89">
                  <c:v>33.3330896</c:v>
                </c:pt>
                <c:pt idx="90">
                  <c:v>36.6662196</c:v>
                </c:pt>
                <c:pt idx="91">
                  <c:v>39.9993496</c:v>
                </c:pt>
                <c:pt idx="92">
                  <c:v>39.9993496</c:v>
                </c:pt>
                <c:pt idx="93">
                  <c:v>39.9993496</c:v>
                </c:pt>
                <c:pt idx="94">
                  <c:v>39.9993496</c:v>
                </c:pt>
                <c:pt idx="95">
                  <c:v>39.9993496</c:v>
                </c:pt>
                <c:pt idx="96">
                  <c:v>39.9993496</c:v>
                </c:pt>
                <c:pt idx="97">
                  <c:v>39.9993496</c:v>
                </c:pt>
                <c:pt idx="98">
                  <c:v>39.9993496</c:v>
                </c:pt>
                <c:pt idx="99">
                  <c:v>39.9993496</c:v>
                </c:pt>
                <c:pt idx="100">
                  <c:v>39.9993496</c:v>
                </c:pt>
                <c:pt idx="101">
                  <c:v>39.9993496</c:v>
                </c:pt>
                <c:pt idx="102">
                  <c:v>39.9993496</c:v>
                </c:pt>
                <c:pt idx="103">
                  <c:v>39.9993496</c:v>
                </c:pt>
                <c:pt idx="104">
                  <c:v>39.9993496</c:v>
                </c:pt>
                <c:pt idx="105">
                  <c:v>36.6662196</c:v>
                </c:pt>
                <c:pt idx="106">
                  <c:v>33.3330896</c:v>
                </c:pt>
                <c:pt idx="107">
                  <c:v>29.9999596</c:v>
                </c:pt>
                <c:pt idx="108">
                  <c:v>26.6668296</c:v>
                </c:pt>
                <c:pt idx="109">
                  <c:v>23.3336996</c:v>
                </c:pt>
                <c:pt idx="110">
                  <c:v>20.0005696</c:v>
                </c:pt>
                <c:pt idx="111">
                  <c:v>20.0005696</c:v>
                </c:pt>
                <c:pt idx="112">
                  <c:v>20.0005696</c:v>
                </c:pt>
                <c:pt idx="113">
                  <c:v>20.0005696</c:v>
                </c:pt>
                <c:pt idx="114">
                  <c:v>20.0005696</c:v>
                </c:pt>
                <c:pt idx="115">
                  <c:v>20.0005696</c:v>
                </c:pt>
                <c:pt idx="116">
                  <c:v>20.0005696</c:v>
                </c:pt>
                <c:pt idx="117">
                  <c:v>20.0005696</c:v>
                </c:pt>
                <c:pt idx="118">
                  <c:v>20.0005696</c:v>
                </c:pt>
                <c:pt idx="119">
                  <c:v>20.0005696</c:v>
                </c:pt>
                <c:pt idx="120">
                  <c:v>20.0005696</c:v>
                </c:pt>
                <c:pt idx="121">
                  <c:v>20.0005696</c:v>
                </c:pt>
                <c:pt idx="122">
                  <c:v>20.0005696</c:v>
                </c:pt>
                <c:pt idx="123">
                  <c:v>20.0005696</c:v>
                </c:pt>
                <c:pt idx="124">
                  <c:v>24.4745696</c:v>
                </c:pt>
                <c:pt idx="125">
                  <c:v>28.9485696</c:v>
                </c:pt>
                <c:pt idx="126">
                  <c:v>33.4225696</c:v>
                </c:pt>
                <c:pt idx="127">
                  <c:v>37.8965696</c:v>
                </c:pt>
                <c:pt idx="128">
                  <c:v>42.3705696</c:v>
                </c:pt>
                <c:pt idx="129">
                  <c:v>42.3705696</c:v>
                </c:pt>
                <c:pt idx="130">
                  <c:v>42.3705696</c:v>
                </c:pt>
                <c:pt idx="131">
                  <c:v>42.3705696</c:v>
                </c:pt>
                <c:pt idx="132">
                  <c:v>42.3705696</c:v>
                </c:pt>
                <c:pt idx="133">
                  <c:v>42.3705696</c:v>
                </c:pt>
                <c:pt idx="134">
                  <c:v>42.3705696</c:v>
                </c:pt>
                <c:pt idx="135">
                  <c:v>42.3705696</c:v>
                </c:pt>
                <c:pt idx="136">
                  <c:v>42.3705696</c:v>
                </c:pt>
                <c:pt idx="137">
                  <c:v>42.3705696</c:v>
                </c:pt>
                <c:pt idx="138">
                  <c:v>42.3705696</c:v>
                </c:pt>
                <c:pt idx="139">
                  <c:v>42.3705696</c:v>
                </c:pt>
                <c:pt idx="140">
                  <c:v>42.3705696</c:v>
                </c:pt>
                <c:pt idx="141">
                  <c:v>42.3705696</c:v>
                </c:pt>
                <c:pt idx="142">
                  <c:v>37.8965696</c:v>
                </c:pt>
                <c:pt idx="143">
                  <c:v>33.4225696</c:v>
                </c:pt>
                <c:pt idx="144">
                  <c:v>28.9485696</c:v>
                </c:pt>
                <c:pt idx="145">
                  <c:v>24.4745696</c:v>
                </c:pt>
                <c:pt idx="146">
                  <c:v>20.0005696</c:v>
                </c:pt>
                <c:pt idx="147">
                  <c:v>20.0005696</c:v>
                </c:pt>
                <c:pt idx="148">
                  <c:v>20.0005696</c:v>
                </c:pt>
                <c:pt idx="149">
                  <c:v>20.0005696</c:v>
                </c:pt>
                <c:pt idx="150">
                  <c:v>20.0005696</c:v>
                </c:pt>
                <c:pt idx="151">
                  <c:v>20.0005696</c:v>
                </c:pt>
                <c:pt idx="152">
                  <c:v>20.0005696</c:v>
                </c:pt>
                <c:pt idx="153">
                  <c:v>20.0005696</c:v>
                </c:pt>
                <c:pt idx="154">
                  <c:v>20.0005696</c:v>
                </c:pt>
                <c:pt idx="155">
                  <c:v>20.0005696</c:v>
                </c:pt>
                <c:pt idx="156">
                  <c:v>20.0005696</c:v>
                </c:pt>
                <c:pt idx="157">
                  <c:v>20.0005696</c:v>
                </c:pt>
                <c:pt idx="158">
                  <c:v>20.0005696</c:v>
                </c:pt>
                <c:pt idx="159">
                  <c:v>18.00051264</c:v>
                </c:pt>
                <c:pt idx="160">
                  <c:v>16.00045568</c:v>
                </c:pt>
                <c:pt idx="161">
                  <c:v>14.00039872</c:v>
                </c:pt>
                <c:pt idx="162">
                  <c:v>12.00034176</c:v>
                </c:pt>
                <c:pt idx="163">
                  <c:v>10.0002848</c:v>
                </c:pt>
                <c:pt idx="164">
                  <c:v>8.00022783999999</c:v>
                </c:pt>
                <c:pt idx="165">
                  <c:v>6.00017087999999</c:v>
                </c:pt>
                <c:pt idx="166">
                  <c:v>4.00011391999999</c:v>
                </c:pt>
                <c:pt idx="167">
                  <c:v>2.00005695999999</c:v>
                </c:pt>
                <c:pt idx="168">
                  <c:v>-7.45070671825942E-015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'Long Time Gap'!$E$1</c:f>
              <c:strCache>
                <c:ptCount val="1"/>
                <c:pt idx="0">
                  <c:v>Simulated Ego Spd [mph]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Gap'!$E$2:$E$170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0.0666685653333334</c:v>
                </c:pt>
                <c:pt idx="12">
                  <c:v>0.438412485632</c:v>
                </c:pt>
                <c:pt idx="13">
                  <c:v>1.2766021640016</c:v>
                </c:pt>
                <c:pt idx="14">
                  <c:v>2.6143456908695</c:v>
                </c:pt>
                <c:pt idx="15">
                  <c:v>4.39346018055042</c:v>
                </c:pt>
                <c:pt idx="16">
                  <c:v>6.50393848631022</c:v>
                </c:pt>
                <c:pt idx="17">
                  <c:v>8.81873861761755</c:v>
                </c:pt>
                <c:pt idx="18">
                  <c:v>11.2198410977748</c:v>
                </c:pt>
                <c:pt idx="19">
                  <c:v>13.6142615618294</c:v>
                </c:pt>
                <c:pt idx="20">
                  <c:v>15.9407548842169</c:v>
                </c:pt>
                <c:pt idx="21">
                  <c:v>18.1025333777964</c:v>
                </c:pt>
                <c:pt idx="22">
                  <c:v>19.8567783025767</c:v>
                </c:pt>
                <c:pt idx="23">
                  <c:v>21.0556466564593</c:v>
                </c:pt>
                <c:pt idx="24">
                  <c:v>21.6894046934445</c:v>
                </c:pt>
                <c:pt idx="25">
                  <c:v>21.8424486116431</c:v>
                </c:pt>
                <c:pt idx="26">
                  <c:v>21.6486841789447</c:v>
                </c:pt>
                <c:pt idx="27">
                  <c:v>21.253655626906</c:v>
                </c:pt>
                <c:pt idx="28">
                  <c:v>20.7872910943662</c:v>
                </c:pt>
                <c:pt idx="29">
                  <c:v>20.3481484739082</c:v>
                </c:pt>
                <c:pt idx="30">
                  <c:v>19.9979037521281</c:v>
                </c:pt>
                <c:pt idx="31">
                  <c:v>19.763590861677</c:v>
                </c:pt>
                <c:pt idx="32">
                  <c:v>19.6446764014426</c:v>
                </c:pt>
                <c:pt idx="33">
                  <c:v>19.622236548929</c:v>
                </c:pt>
                <c:pt idx="34">
                  <c:v>19.6680664453278</c:v>
                </c:pt>
                <c:pt idx="35">
                  <c:v>19.7522787234436</c:v>
                </c:pt>
                <c:pt idx="36">
                  <c:v>19.9153354722045</c:v>
                </c:pt>
                <c:pt idx="37">
                  <c:v>20.3761203505127</c:v>
                </c:pt>
                <c:pt idx="38">
                  <c:v>21.2841010123452</c:v>
                </c:pt>
                <c:pt idx="39">
                  <c:v>22.6675051681739</c:v>
                </c:pt>
                <c:pt idx="40">
                  <c:v>24.4687612991387</c:v>
                </c:pt>
                <c:pt idx="41">
                  <c:v>26.5820559539327</c:v>
                </c:pt>
                <c:pt idx="42">
                  <c:v>28.8862670746908</c:v>
                </c:pt>
                <c:pt idx="43">
                  <c:v>31.2694996285508</c:v>
                </c:pt>
                <c:pt idx="44">
                  <c:v>33.6440454073623</c:v>
                </c:pt>
                <c:pt idx="45">
                  <c:v>35.9525180265366</c:v>
                </c:pt>
                <c:pt idx="46">
                  <c:v>38.1004177277761</c:v>
                </c:pt>
                <c:pt idx="47">
                  <c:v>39.8457928044046</c:v>
                </c:pt>
                <c:pt idx="48">
                  <c:v>41.0405754758541</c:v>
                </c:pt>
                <c:pt idx="49">
                  <c:v>41.6741116254926</c:v>
                </c:pt>
                <c:pt idx="50">
                  <c:v>41.8295589568821</c:v>
                </c:pt>
                <c:pt idx="51">
                  <c:v>41.6395707896573</c:v>
                </c:pt>
                <c:pt idx="52">
                  <c:v>41.2486310600436</c:v>
                </c:pt>
                <c:pt idx="53">
                  <c:v>40.7859069864465</c:v>
                </c:pt>
                <c:pt idx="54">
                  <c:v>40.3495186123673</c:v>
                </c:pt>
                <c:pt idx="55">
                  <c:v>40.0009910499726</c:v>
                </c:pt>
                <c:pt idx="56">
                  <c:v>39.7674239682919</c:v>
                </c:pt>
                <c:pt idx="57">
                  <c:v>39.6484843037158</c:v>
                </c:pt>
                <c:pt idx="58">
                  <c:v>39.6255065518377</c:v>
                </c:pt>
                <c:pt idx="59">
                  <c:v>39.6705414713055</c:v>
                </c:pt>
                <c:pt idx="60">
                  <c:v>39.7539143763476</c:v>
                </c:pt>
                <c:pt idx="61">
                  <c:v>39.7828999118881</c:v>
                </c:pt>
                <c:pt idx="62">
                  <c:v>39.4996515408176</c:v>
                </c:pt>
                <c:pt idx="63">
                  <c:v>38.7309216406974</c:v>
                </c:pt>
                <c:pt idx="64">
                  <c:v>37.438704388807</c:v>
                </c:pt>
                <c:pt idx="65">
                  <c:v>35.6817507365585</c:v>
                </c:pt>
                <c:pt idx="66">
                  <c:v>33.5742078002453</c:v>
                </c:pt>
                <c:pt idx="67">
                  <c:v>31.2489854341789</c:v>
                </c:pt>
                <c:pt idx="68">
                  <c:v>28.8301849778586</c:v>
                </c:pt>
                <c:pt idx="69">
                  <c:v>26.4160375817893</c:v>
                </c:pt>
                <c:pt idx="70">
                  <c:v>24.0716313202604</c:v>
                </c:pt>
                <c:pt idx="71">
                  <c:v>21.8960376587493</c:v>
                </c:pt>
                <c:pt idx="72">
                  <c:v>20.1329466903822</c:v>
                </c:pt>
                <c:pt idx="73">
                  <c:v>18.9299859405973</c:v>
                </c:pt>
                <c:pt idx="74">
                  <c:v>18.2959799290543</c:v>
                </c:pt>
                <c:pt idx="75">
                  <c:v>18.1453045492656</c:v>
                </c:pt>
                <c:pt idx="76">
                  <c:v>18.3428100939965</c:v>
                </c:pt>
                <c:pt idx="77">
                  <c:v>18.7418977840531</c:v>
                </c:pt>
                <c:pt idx="78">
                  <c:v>19.2118815324878</c:v>
                </c:pt>
                <c:pt idx="79">
                  <c:v>19.653766231634</c:v>
                </c:pt>
                <c:pt idx="80">
                  <c:v>20.0057239852611</c:v>
                </c:pt>
                <c:pt idx="81">
                  <c:v>20.2407846097078</c:v>
                </c:pt>
                <c:pt idx="82">
                  <c:v>20.3596795377751</c:v>
                </c:pt>
                <c:pt idx="83">
                  <c:v>20.3815887617977</c:v>
                </c:pt>
                <c:pt idx="84">
                  <c:v>20.3349710610223</c:v>
                </c:pt>
                <c:pt idx="85">
                  <c:v>20.249925362507</c:v>
                </c:pt>
                <c:pt idx="86">
                  <c:v>20.2639116072232</c:v>
                </c:pt>
                <c:pt idx="87">
                  <c:v>20.7938453185197</c:v>
                </c:pt>
                <c:pt idx="88">
                  <c:v>22.1205816236446</c:v>
                </c:pt>
                <c:pt idx="89">
                  <c:v>24.3041591861197</c:v>
                </c:pt>
                <c:pt idx="90">
                  <c:v>27.2469610145806</c:v>
                </c:pt>
                <c:pt idx="91">
                  <c:v>30.7614112835766</c:v>
                </c:pt>
                <c:pt idx="92">
                  <c:v>34.5187162907726</c:v>
                </c:pt>
                <c:pt idx="93">
                  <c:v>37.9187186057913</c:v>
                </c:pt>
                <c:pt idx="94">
                  <c:v>40.53222612177</c:v>
                </c:pt>
                <c:pt idx="95">
                  <c:v>42.198123025421</c:v>
                </c:pt>
                <c:pt idx="96">
                  <c:v>42.9608859368448</c:v>
                </c:pt>
                <c:pt idx="97">
                  <c:v>42.9956282997289</c:v>
                </c:pt>
                <c:pt idx="98">
                  <c:v>42.5368454525853</c:v>
                </c:pt>
                <c:pt idx="99">
                  <c:v>41.8211041049728</c:v>
                </c:pt>
                <c:pt idx="100">
                  <c:v>41.0482982903062</c:v>
                </c:pt>
                <c:pt idx="101">
                  <c:v>40.3615824705691</c:v>
                </c:pt>
                <c:pt idx="102">
                  <c:v>39.843051023765</c:v>
                </c:pt>
                <c:pt idx="103">
                  <c:v>39.5206664294612</c:v>
                </c:pt>
                <c:pt idx="104">
                  <c:v>39.3816119136945</c:v>
                </c:pt>
                <c:pt idx="105">
                  <c:v>39.2766972837684</c:v>
                </c:pt>
                <c:pt idx="106">
                  <c:v>38.759719273345</c:v>
                </c:pt>
                <c:pt idx="107">
                  <c:v>37.513479663803</c:v>
                </c:pt>
                <c:pt idx="108">
                  <c:v>35.4427152485649</c:v>
                </c:pt>
                <c:pt idx="109">
                  <c:v>32.6162353894717</c:v>
                </c:pt>
                <c:pt idx="110">
                  <c:v>29.2017438680045</c:v>
                </c:pt>
                <c:pt idx="111">
                  <c:v>25.5173483616089</c:v>
                </c:pt>
                <c:pt idx="112">
                  <c:v>22.1603962125657</c:v>
                </c:pt>
                <c:pt idx="113">
                  <c:v>19.5630001794521</c:v>
                </c:pt>
                <c:pt idx="114">
                  <c:v>17.8925676960312</c:v>
                </c:pt>
                <c:pt idx="115">
                  <c:v>17.1121608090259</c:v>
                </c:pt>
                <c:pt idx="116">
                  <c:v>17.0538276520165</c:v>
                </c:pt>
                <c:pt idx="117">
                  <c:v>17.4888295117499</c:v>
                </c:pt>
                <c:pt idx="118">
                  <c:v>18.1844884968274</c:v>
                </c:pt>
                <c:pt idx="119">
                  <c:v>18.9429218785364</c:v>
                </c:pt>
                <c:pt idx="120">
                  <c:v>19.6214045517751</c:v>
                </c:pt>
                <c:pt idx="121">
                  <c:v>20.1371421600869</c:v>
                </c:pt>
                <c:pt idx="122">
                  <c:v>20.4608279585681</c:v>
                </c:pt>
                <c:pt idx="123">
                  <c:v>20.6037189178162</c:v>
                </c:pt>
                <c:pt idx="124">
                  <c:v>20.7515809238148</c:v>
                </c:pt>
                <c:pt idx="125">
                  <c:v>21.4854608375147</c:v>
                </c:pt>
                <c:pt idx="126">
                  <c:v>23.2138467405722</c:v>
                </c:pt>
                <c:pt idx="127">
                  <c:v>26.050511459205</c:v>
                </c:pt>
                <c:pt idx="128">
                  <c:v>29.8933983226121</c:v>
                </c:pt>
                <c:pt idx="129">
                  <c:v>34.3630833859153</c:v>
                </c:pt>
                <c:pt idx="130">
                  <c:v>38.6470812014532</c:v>
                </c:pt>
                <c:pt idx="131">
                  <c:v>42.1173796486111</c:v>
                </c:pt>
                <c:pt idx="132">
                  <c:v>44.4839862355964</c:v>
                </c:pt>
                <c:pt idx="133">
                  <c:v>45.7301133071909</c:v>
                </c:pt>
                <c:pt idx="134">
                  <c:v>46.0247821080628</c:v>
                </c:pt>
                <c:pt idx="135">
                  <c:v>45.6343534964165</c:v>
                </c:pt>
                <c:pt idx="136">
                  <c:v>44.8475730000319</c:v>
                </c:pt>
                <c:pt idx="137">
                  <c:v>43.921732902539</c:v>
                </c:pt>
                <c:pt idx="138">
                  <c:v>43.0516493547441</c:v>
                </c:pt>
                <c:pt idx="139">
                  <c:v>42.3589218608364</c:v>
                </c:pt>
                <c:pt idx="140">
                  <c:v>41.8965144922874</c:v>
                </c:pt>
                <c:pt idx="141">
                  <c:v>41.6628689977186</c:v>
                </c:pt>
                <c:pt idx="142">
                  <c:v>41.4710024253702</c:v>
                </c:pt>
                <c:pt idx="143">
                  <c:v>40.731530659199</c:v>
                </c:pt>
                <c:pt idx="144">
                  <c:v>39.0241976250583</c:v>
                </c:pt>
                <c:pt idx="145">
                  <c:v>36.2230564870339</c:v>
                </c:pt>
                <c:pt idx="146">
                  <c:v>32.4196764473684</c:v>
                </c:pt>
                <c:pt idx="147">
                  <c:v>27.9858116568961</c:v>
                </c:pt>
                <c:pt idx="148">
                  <c:v>23.7294002219502</c:v>
                </c:pt>
                <c:pt idx="149">
                  <c:v>20.2767312757082</c:v>
                </c:pt>
                <c:pt idx="150">
                  <c:v>17.9182444768018</c:v>
                </c:pt>
                <c:pt idx="151">
                  <c:v>16.6725571887339</c:v>
                </c:pt>
                <c:pt idx="152">
                  <c:v>16.373110105388</c:v>
                </c:pt>
                <c:pt idx="153">
                  <c:v>16.7560319433276</c:v>
                </c:pt>
                <c:pt idx="154">
                  <c:v>17.5346847270291</c:v>
                </c:pt>
                <c:pt idx="155">
                  <c:v>18.4532886034013</c:v>
                </c:pt>
                <c:pt idx="156">
                  <c:v>19.3178976551071</c:v>
                </c:pt>
                <c:pt idx="157">
                  <c:v>20.0072121857843</c:v>
                </c:pt>
                <c:pt idx="158">
                  <c:v>20.4681373840987</c:v>
                </c:pt>
                <c:pt idx="159">
                  <c:v>20.6351646681939</c:v>
                </c:pt>
                <c:pt idx="160">
                  <c:v>20.307223372607</c:v>
                </c:pt>
                <c:pt idx="161">
                  <c:v>19.3785183042742</c:v>
                </c:pt>
                <c:pt idx="162">
                  <c:v>17.8747993896818</c:v>
                </c:pt>
                <c:pt idx="163">
                  <c:v>15.9058381406017</c:v>
                </c:pt>
                <c:pt idx="164">
                  <c:v>13.6200581858504</c:v>
                </c:pt>
                <c:pt idx="165">
                  <c:v>11.167908949298</c:v>
                </c:pt>
                <c:pt idx="166">
                  <c:v>8.67699194703721</c:v>
                </c:pt>
                <c:pt idx="167">
                  <c:v>6.23906585349195</c:v>
                </c:pt>
                <c:pt idx="168">
                  <c:v>3.90710372291849</c:v>
                </c:pt>
              </c:numCache>
            </c:numRef>
          </c:yVal>
          <c:smooth val="0"/>
        </c:ser>
        <c:axId val="66278944"/>
        <c:axId val="71027455"/>
      </c:scatterChart>
      <c:valAx>
        <c:axId val="6627894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027455"/>
        <c:crosses val="autoZero"/>
        <c:crossBetween val="midCat"/>
      </c:valAx>
      <c:valAx>
        <c:axId val="7102745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27894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'Long Time Gap'!$G$1</c:f>
              <c:strCache>
                <c:ptCount val="1"/>
                <c:pt idx="0">
                  <c:v>Safe Theorical Dist [m]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Gap'!$G$2:$G$200</c:f>
              <c:numCache>
                <c:formatCode>General</c:formatCode>
                <c:ptCount val="1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6.78816</c:v>
                </c:pt>
                <c:pt idx="12">
                  <c:v>8.57632</c:v>
                </c:pt>
                <c:pt idx="13">
                  <c:v>10.36448</c:v>
                </c:pt>
                <c:pt idx="14">
                  <c:v>12.15264</c:v>
                </c:pt>
                <c:pt idx="15">
                  <c:v>13.9408</c:v>
                </c:pt>
                <c:pt idx="16">
                  <c:v>15.72896</c:v>
                </c:pt>
                <c:pt idx="17">
                  <c:v>17.51712</c:v>
                </c:pt>
                <c:pt idx="18">
                  <c:v>19.30528</c:v>
                </c:pt>
                <c:pt idx="19">
                  <c:v>21.09344</c:v>
                </c:pt>
                <c:pt idx="20">
                  <c:v>22.8816</c:v>
                </c:pt>
                <c:pt idx="21">
                  <c:v>22.8816</c:v>
                </c:pt>
                <c:pt idx="22">
                  <c:v>22.8816</c:v>
                </c:pt>
                <c:pt idx="23">
                  <c:v>22.8816</c:v>
                </c:pt>
                <c:pt idx="24">
                  <c:v>22.8816</c:v>
                </c:pt>
                <c:pt idx="25">
                  <c:v>22.8816</c:v>
                </c:pt>
                <c:pt idx="26">
                  <c:v>22.8816</c:v>
                </c:pt>
                <c:pt idx="27">
                  <c:v>22.8816</c:v>
                </c:pt>
                <c:pt idx="28">
                  <c:v>22.8816</c:v>
                </c:pt>
                <c:pt idx="29">
                  <c:v>22.8816</c:v>
                </c:pt>
                <c:pt idx="30">
                  <c:v>22.8816</c:v>
                </c:pt>
                <c:pt idx="31">
                  <c:v>22.8816</c:v>
                </c:pt>
                <c:pt idx="32">
                  <c:v>22.8816</c:v>
                </c:pt>
                <c:pt idx="33">
                  <c:v>22.8816</c:v>
                </c:pt>
                <c:pt idx="34">
                  <c:v>22.8816</c:v>
                </c:pt>
                <c:pt idx="35">
                  <c:v>22.8816</c:v>
                </c:pt>
                <c:pt idx="36">
                  <c:v>24.66976</c:v>
                </c:pt>
                <c:pt idx="37">
                  <c:v>26.45792</c:v>
                </c:pt>
                <c:pt idx="38">
                  <c:v>28.24608</c:v>
                </c:pt>
                <c:pt idx="39">
                  <c:v>30.03424</c:v>
                </c:pt>
                <c:pt idx="40">
                  <c:v>31.8224</c:v>
                </c:pt>
                <c:pt idx="41">
                  <c:v>33.61056</c:v>
                </c:pt>
                <c:pt idx="42">
                  <c:v>35.39872</c:v>
                </c:pt>
                <c:pt idx="43">
                  <c:v>37.18688</c:v>
                </c:pt>
                <c:pt idx="44">
                  <c:v>38.97504</c:v>
                </c:pt>
                <c:pt idx="45">
                  <c:v>40.7632</c:v>
                </c:pt>
                <c:pt idx="46">
                  <c:v>40.7632</c:v>
                </c:pt>
                <c:pt idx="47">
                  <c:v>40.7632</c:v>
                </c:pt>
                <c:pt idx="48">
                  <c:v>40.7632</c:v>
                </c:pt>
                <c:pt idx="49">
                  <c:v>40.7632</c:v>
                </c:pt>
                <c:pt idx="50">
                  <c:v>40.7632</c:v>
                </c:pt>
                <c:pt idx="51">
                  <c:v>40.7632</c:v>
                </c:pt>
                <c:pt idx="52">
                  <c:v>40.7632</c:v>
                </c:pt>
                <c:pt idx="53">
                  <c:v>40.7632</c:v>
                </c:pt>
                <c:pt idx="54">
                  <c:v>40.7632</c:v>
                </c:pt>
                <c:pt idx="55">
                  <c:v>40.7632</c:v>
                </c:pt>
                <c:pt idx="56">
                  <c:v>40.7632</c:v>
                </c:pt>
                <c:pt idx="57">
                  <c:v>40.7632</c:v>
                </c:pt>
                <c:pt idx="58">
                  <c:v>40.7632</c:v>
                </c:pt>
                <c:pt idx="59">
                  <c:v>40.7632</c:v>
                </c:pt>
                <c:pt idx="60">
                  <c:v>40.7632</c:v>
                </c:pt>
                <c:pt idx="61">
                  <c:v>38.97504</c:v>
                </c:pt>
                <c:pt idx="62">
                  <c:v>37.18688</c:v>
                </c:pt>
                <c:pt idx="63">
                  <c:v>35.39872</c:v>
                </c:pt>
                <c:pt idx="64">
                  <c:v>33.61056</c:v>
                </c:pt>
                <c:pt idx="65">
                  <c:v>31.8224</c:v>
                </c:pt>
                <c:pt idx="66">
                  <c:v>30.03424</c:v>
                </c:pt>
                <c:pt idx="67">
                  <c:v>28.24608</c:v>
                </c:pt>
                <c:pt idx="68">
                  <c:v>26.45792</c:v>
                </c:pt>
                <c:pt idx="69">
                  <c:v>24.66976</c:v>
                </c:pt>
                <c:pt idx="70">
                  <c:v>22.8816</c:v>
                </c:pt>
                <c:pt idx="71">
                  <c:v>22.8816</c:v>
                </c:pt>
                <c:pt idx="72">
                  <c:v>22.8816</c:v>
                </c:pt>
                <c:pt idx="73">
                  <c:v>22.8816</c:v>
                </c:pt>
                <c:pt idx="74">
                  <c:v>22.8816</c:v>
                </c:pt>
                <c:pt idx="75">
                  <c:v>22.8816</c:v>
                </c:pt>
                <c:pt idx="76">
                  <c:v>22.8816</c:v>
                </c:pt>
                <c:pt idx="77">
                  <c:v>22.8816</c:v>
                </c:pt>
                <c:pt idx="78">
                  <c:v>22.8816</c:v>
                </c:pt>
                <c:pt idx="79">
                  <c:v>22.8816</c:v>
                </c:pt>
                <c:pt idx="80">
                  <c:v>22.8816</c:v>
                </c:pt>
                <c:pt idx="81">
                  <c:v>22.8816</c:v>
                </c:pt>
                <c:pt idx="82">
                  <c:v>22.8816</c:v>
                </c:pt>
                <c:pt idx="83">
                  <c:v>22.8816</c:v>
                </c:pt>
                <c:pt idx="84">
                  <c:v>22.8816</c:v>
                </c:pt>
                <c:pt idx="85">
                  <c:v>22.8816</c:v>
                </c:pt>
                <c:pt idx="86">
                  <c:v>25.8616</c:v>
                </c:pt>
                <c:pt idx="87">
                  <c:v>28.8416</c:v>
                </c:pt>
                <c:pt idx="88">
                  <c:v>31.8216</c:v>
                </c:pt>
                <c:pt idx="89">
                  <c:v>34.8016</c:v>
                </c:pt>
                <c:pt idx="90">
                  <c:v>37.7816</c:v>
                </c:pt>
                <c:pt idx="91">
                  <c:v>40.7616</c:v>
                </c:pt>
                <c:pt idx="92">
                  <c:v>40.7616</c:v>
                </c:pt>
                <c:pt idx="93">
                  <c:v>40.7616</c:v>
                </c:pt>
                <c:pt idx="94">
                  <c:v>40.7616</c:v>
                </c:pt>
                <c:pt idx="95">
                  <c:v>40.7616</c:v>
                </c:pt>
                <c:pt idx="96">
                  <c:v>40.7616</c:v>
                </c:pt>
                <c:pt idx="97">
                  <c:v>40.7616</c:v>
                </c:pt>
                <c:pt idx="98">
                  <c:v>40.7616</c:v>
                </c:pt>
                <c:pt idx="99">
                  <c:v>40.7616</c:v>
                </c:pt>
                <c:pt idx="100">
                  <c:v>40.7616</c:v>
                </c:pt>
                <c:pt idx="101">
                  <c:v>40.7616</c:v>
                </c:pt>
                <c:pt idx="102">
                  <c:v>40.7616</c:v>
                </c:pt>
                <c:pt idx="103">
                  <c:v>40.7616</c:v>
                </c:pt>
                <c:pt idx="104">
                  <c:v>40.7616</c:v>
                </c:pt>
                <c:pt idx="105">
                  <c:v>37.7816</c:v>
                </c:pt>
                <c:pt idx="106">
                  <c:v>34.8016</c:v>
                </c:pt>
                <c:pt idx="107">
                  <c:v>31.8216</c:v>
                </c:pt>
                <c:pt idx="108">
                  <c:v>28.8416</c:v>
                </c:pt>
                <c:pt idx="109">
                  <c:v>25.8616</c:v>
                </c:pt>
                <c:pt idx="110">
                  <c:v>22.8816</c:v>
                </c:pt>
                <c:pt idx="111">
                  <c:v>22.8816</c:v>
                </c:pt>
                <c:pt idx="112">
                  <c:v>22.8816</c:v>
                </c:pt>
                <c:pt idx="113">
                  <c:v>22.8816</c:v>
                </c:pt>
                <c:pt idx="114">
                  <c:v>22.8816</c:v>
                </c:pt>
                <c:pt idx="115">
                  <c:v>22.8816</c:v>
                </c:pt>
                <c:pt idx="116">
                  <c:v>22.8816</c:v>
                </c:pt>
                <c:pt idx="117">
                  <c:v>22.8816</c:v>
                </c:pt>
                <c:pt idx="118">
                  <c:v>22.8816</c:v>
                </c:pt>
                <c:pt idx="119">
                  <c:v>22.8816</c:v>
                </c:pt>
                <c:pt idx="120">
                  <c:v>22.8816</c:v>
                </c:pt>
                <c:pt idx="121">
                  <c:v>22.8816</c:v>
                </c:pt>
                <c:pt idx="122">
                  <c:v>22.8816</c:v>
                </c:pt>
                <c:pt idx="123">
                  <c:v>22.8816</c:v>
                </c:pt>
                <c:pt idx="124">
                  <c:v>26.8816</c:v>
                </c:pt>
                <c:pt idx="125">
                  <c:v>30.8816</c:v>
                </c:pt>
                <c:pt idx="126">
                  <c:v>34.8816</c:v>
                </c:pt>
                <c:pt idx="127">
                  <c:v>38.8816</c:v>
                </c:pt>
                <c:pt idx="128">
                  <c:v>42.8816</c:v>
                </c:pt>
                <c:pt idx="129">
                  <c:v>42.8816</c:v>
                </c:pt>
                <c:pt idx="130">
                  <c:v>42.8816</c:v>
                </c:pt>
                <c:pt idx="131">
                  <c:v>42.8816</c:v>
                </c:pt>
                <c:pt idx="132">
                  <c:v>42.8816</c:v>
                </c:pt>
                <c:pt idx="133">
                  <c:v>42.8816</c:v>
                </c:pt>
                <c:pt idx="134">
                  <c:v>42.8816</c:v>
                </c:pt>
                <c:pt idx="135">
                  <c:v>42.8816</c:v>
                </c:pt>
                <c:pt idx="136">
                  <c:v>42.8816</c:v>
                </c:pt>
                <c:pt idx="137">
                  <c:v>42.8816</c:v>
                </c:pt>
                <c:pt idx="138">
                  <c:v>42.8816</c:v>
                </c:pt>
                <c:pt idx="139">
                  <c:v>42.8816</c:v>
                </c:pt>
                <c:pt idx="140">
                  <c:v>42.8816</c:v>
                </c:pt>
                <c:pt idx="141">
                  <c:v>42.8816</c:v>
                </c:pt>
                <c:pt idx="142">
                  <c:v>38.8816</c:v>
                </c:pt>
                <c:pt idx="143">
                  <c:v>34.8816</c:v>
                </c:pt>
                <c:pt idx="144">
                  <c:v>30.8816</c:v>
                </c:pt>
                <c:pt idx="145">
                  <c:v>26.8816</c:v>
                </c:pt>
                <c:pt idx="146">
                  <c:v>22.8816</c:v>
                </c:pt>
                <c:pt idx="147">
                  <c:v>22.8816</c:v>
                </c:pt>
                <c:pt idx="148">
                  <c:v>22.8816</c:v>
                </c:pt>
                <c:pt idx="149">
                  <c:v>22.8816</c:v>
                </c:pt>
                <c:pt idx="150">
                  <c:v>22.8816</c:v>
                </c:pt>
                <c:pt idx="151">
                  <c:v>22.8816</c:v>
                </c:pt>
                <c:pt idx="152">
                  <c:v>22.8816</c:v>
                </c:pt>
                <c:pt idx="153">
                  <c:v>22.8816</c:v>
                </c:pt>
                <c:pt idx="154">
                  <c:v>22.8816</c:v>
                </c:pt>
                <c:pt idx="155">
                  <c:v>22.8816</c:v>
                </c:pt>
                <c:pt idx="156">
                  <c:v>22.8816</c:v>
                </c:pt>
                <c:pt idx="157">
                  <c:v>22.8816</c:v>
                </c:pt>
                <c:pt idx="158">
                  <c:v>22.8816</c:v>
                </c:pt>
                <c:pt idx="159">
                  <c:v>21.09344</c:v>
                </c:pt>
                <c:pt idx="160">
                  <c:v>19.30528</c:v>
                </c:pt>
                <c:pt idx="161">
                  <c:v>17.51712</c:v>
                </c:pt>
                <c:pt idx="162">
                  <c:v>15.72896</c:v>
                </c:pt>
                <c:pt idx="163">
                  <c:v>13.9408</c:v>
                </c:pt>
                <c:pt idx="164">
                  <c:v>12.15264</c:v>
                </c:pt>
                <c:pt idx="165">
                  <c:v>10.36448</c:v>
                </c:pt>
                <c:pt idx="166">
                  <c:v>8.57631999999999</c:v>
                </c:pt>
                <c:pt idx="167">
                  <c:v>6.78815999999999</c:v>
                </c:pt>
                <c:pt idx="168">
                  <c:v>4.99999999999999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'Long Time Gap'!$J$1</c:f>
              <c:strCache>
                <c:ptCount val="1"/>
                <c:pt idx="0">
                  <c:v>Simulated Dist [m]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Gap'!$J$2:$J$200</c:f>
              <c:numCache>
                <c:formatCode>General</c:formatCode>
                <c:ptCount val="1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5.44704</c:v>
                </c:pt>
                <c:pt idx="12">
                  <c:v>6.69597041777778</c:v>
                </c:pt>
                <c:pt idx="13">
                  <c:v>8.56910166167704</c:v>
                </c:pt>
                <c:pt idx="14">
                  <c:v>10.8469152413539</c:v>
                </c:pt>
                <c:pt idx="15">
                  <c:v>13.3171760950351</c:v>
                </c:pt>
                <c:pt idx="16">
                  <c:v>15.8066769399011</c:v>
                </c:pt>
                <c:pt idx="17">
                  <c:v>18.1962349051516</c:v>
                </c:pt>
                <c:pt idx="18">
                  <c:v>20.4220506811218</c:v>
                </c:pt>
                <c:pt idx="19">
                  <c:v>22.4677088516094</c:v>
                </c:pt>
                <c:pt idx="20">
                  <c:v>24.3511927968594</c:v>
                </c:pt>
                <c:pt idx="21">
                  <c:v>25.6636074088478</c:v>
                </c:pt>
                <c:pt idx="22">
                  <c:v>26.0956227656814</c:v>
                </c:pt>
                <c:pt idx="23">
                  <c:v>25.8680685065385</c:v>
                </c:pt>
                <c:pt idx="24">
                  <c:v>25.235066985581</c:v>
                </c:pt>
                <c:pt idx="25">
                  <c:v>24.4321686111879</c:v>
                </c:pt>
                <c:pt idx="26">
                  <c:v>23.6445790174836</c:v>
                </c:pt>
                <c:pt idx="27">
                  <c:v>22.9939641234235</c:v>
                </c:pt>
                <c:pt idx="28">
                  <c:v>22.5398294243471</c:v>
                </c:pt>
                <c:pt idx="29">
                  <c:v>22.2904453453156</c:v>
                </c:pt>
                <c:pt idx="30">
                  <c:v>22.218412809234</c:v>
                </c:pt>
                <c:pt idx="31">
                  <c:v>22.2768344530767</c:v>
                </c:pt>
                <c:pt idx="32">
                  <c:v>22.4132899939216</c:v>
                </c:pt>
                <c:pt idx="33">
                  <c:v>22.5800914062747</c:v>
                </c:pt>
                <c:pt idx="34">
                  <c:v>22.7403948021667</c:v>
                </c:pt>
                <c:pt idx="35">
                  <c:v>22.870552047776</c:v>
                </c:pt>
                <c:pt idx="36">
                  <c:v>23.4066038189243</c:v>
                </c:pt>
                <c:pt idx="37">
                  <c:v>24.7026483915649</c:v>
                </c:pt>
                <c:pt idx="38">
                  <c:v>26.5872329328073</c:v>
                </c:pt>
                <c:pt idx="39">
                  <c:v>28.8507564023705</c:v>
                </c:pt>
                <c:pt idx="40">
                  <c:v>31.2917724621231</c:v>
                </c:pt>
                <c:pt idx="41">
                  <c:v>33.7467107140423</c:v>
                </c:pt>
                <c:pt idx="42">
                  <c:v>36.1037027164471</c:v>
                </c:pt>
                <c:pt idx="43">
                  <c:v>38.3035302170128</c:v>
                </c:pt>
                <c:pt idx="44">
                  <c:v>40.3317898491436</c:v>
                </c:pt>
                <c:pt idx="45">
                  <c:v>42.2064315201939</c:v>
                </c:pt>
                <c:pt idx="46">
                  <c:v>43.5171610800311</c:v>
                </c:pt>
                <c:pt idx="47">
                  <c:v>43.9525594201481</c:v>
                </c:pt>
                <c:pt idx="48">
                  <c:v>43.7312405698383</c:v>
                </c:pt>
                <c:pt idx="49">
                  <c:v>43.1053830087055</c:v>
                </c:pt>
                <c:pt idx="50">
                  <c:v>42.3090881414435</c:v>
                </c:pt>
                <c:pt idx="51">
                  <c:v>41.5266774005395</c:v>
                </c:pt>
                <c:pt idx="52">
                  <c:v>40.8794533044158</c:v>
                </c:pt>
                <c:pt idx="53">
                  <c:v>40.4269654674588</c:v>
                </c:pt>
                <c:pt idx="54">
                  <c:v>40.1777944641917</c:v>
                </c:pt>
                <c:pt idx="55">
                  <c:v>40.1049797668742</c:v>
                </c:pt>
                <c:pt idx="56">
                  <c:v>40.1620780605794</c:v>
                </c:pt>
                <c:pt idx="57">
                  <c:v>40.2970604467918</c:v>
                </c:pt>
                <c:pt idx="58">
                  <c:v>40.4625253164228</c:v>
                </c:pt>
                <c:pt idx="59">
                  <c:v>40.6217987648043</c:v>
                </c:pt>
                <c:pt idx="60">
                  <c:v>40.7512972569378</c:v>
                </c:pt>
                <c:pt idx="61">
                  <c:v>40.392965043216</c:v>
                </c:pt>
                <c:pt idx="62">
                  <c:v>39.1911314770218</c:v>
                </c:pt>
                <c:pt idx="63">
                  <c:v>37.329631151465</c:v>
                </c:pt>
                <c:pt idx="64">
                  <c:v>35.0378071480118</c:v>
                </c:pt>
                <c:pt idx="65">
                  <c:v>32.5386045947728</c:v>
                </c:pt>
                <c:pt idx="66">
                  <c:v>30.0148111753985</c:v>
                </c:pt>
                <c:pt idx="67">
                  <c:v>27.5928916545493</c:v>
                </c:pt>
                <c:pt idx="68">
                  <c:v>25.3412151494882</c:v>
                </c:pt>
                <c:pt idx="69">
                  <c:v>23.2782139522674</c:v>
                </c:pt>
                <c:pt idx="70">
                  <c:v>21.3858860339875</c:v>
                </c:pt>
                <c:pt idx="71">
                  <c:v>20.0717466006232</c:v>
                </c:pt>
                <c:pt idx="72">
                  <c:v>19.6430553406503</c:v>
                </c:pt>
                <c:pt idx="73">
                  <c:v>19.8767827836039</c:v>
                </c:pt>
                <c:pt idx="74">
                  <c:v>20.5168738130747</c:v>
                </c:pt>
                <c:pt idx="75">
                  <c:v>21.3263352140119</c:v>
                </c:pt>
                <c:pt idx="76">
                  <c:v>22.1190790562969</c:v>
                </c:pt>
                <c:pt idx="77">
                  <c:v>22.7730747433129</c:v>
                </c:pt>
                <c:pt idx="78">
                  <c:v>23.2288576939533</c:v>
                </c:pt>
                <c:pt idx="79">
                  <c:v>23.4784636514443</c:v>
                </c:pt>
                <c:pt idx="80">
                  <c:v>23.5497263812547</c:v>
                </c:pt>
                <c:pt idx="81">
                  <c:v>23.4899941352725</c:v>
                </c:pt>
                <c:pt idx="82">
                  <c:v>23.3520764002014</c:v>
                </c:pt>
                <c:pt idx="83">
                  <c:v>23.1839464440413</c:v>
                </c:pt>
                <c:pt idx="84">
                  <c:v>23.0226178277603</c:v>
                </c:pt>
                <c:pt idx="85">
                  <c:v>22.8918036024265</c:v>
                </c:pt>
                <c:pt idx="86">
                  <c:v>23.5474873553679</c:v>
                </c:pt>
                <c:pt idx="87">
                  <c:v>25.5817184117201</c:v>
                </c:pt>
                <c:pt idx="88">
                  <c:v>28.6920462196919</c:v>
                </c:pt>
                <c:pt idx="89">
                  <c:v>32.5026296876442</c:v>
                </c:pt>
                <c:pt idx="90">
                  <c:v>36.6489084088643</c:v>
                </c:pt>
                <c:pt idx="91">
                  <c:v>40.832536261127</c:v>
                </c:pt>
                <c:pt idx="92">
                  <c:v>44.1025459832089</c:v>
                </c:pt>
                <c:pt idx="93">
                  <c:v>45.7566580787545</c:v>
                </c:pt>
                <c:pt idx="94">
                  <c:v>46.0616314190096</c:v>
                </c:pt>
                <c:pt idx="95">
                  <c:v>45.4133151627532</c:v>
                </c:pt>
                <c:pt idx="96">
                  <c:v>44.2303899168193</c:v>
                </c:pt>
                <c:pt idx="97">
                  <c:v>42.8794773742605</c:v>
                </c:pt>
                <c:pt idx="98">
                  <c:v>41.6333228304112</c:v>
                </c:pt>
                <c:pt idx="99">
                  <c:v>40.6578718451963</c:v>
                </c:pt>
                <c:pt idx="100">
                  <c:v>40.0207916257896</c:v>
                </c:pt>
                <c:pt idx="101">
                  <c:v>39.7129941416113</c:v>
                </c:pt>
                <c:pt idx="102">
                  <c:v>39.6754104592094</c:v>
                </c:pt>
                <c:pt idx="103">
                  <c:v>39.8249768684111</c:v>
                </c:pt>
                <c:pt idx="104">
                  <c:v>40.0759118545052</c:v>
                </c:pt>
                <c:pt idx="105">
                  <c:v>39.6094136623715</c:v>
                </c:pt>
                <c:pt idx="106">
                  <c:v>37.7802190759198</c:v>
                </c:pt>
                <c:pt idx="107">
                  <c:v>34.8525632795411</c:v>
                </c:pt>
                <c:pt idx="108">
                  <c:v>31.1802727692598</c:v>
                </c:pt>
                <c:pt idx="109">
                  <c:v>27.1202933772704</c:v>
                </c:pt>
                <c:pt idx="110">
                  <c:v>22.9742329658518</c:v>
                </c:pt>
                <c:pt idx="111">
                  <c:v>19.7030853062706</c:v>
                </c:pt>
                <c:pt idx="112">
                  <c:v>18.0220771500403</c:v>
                </c:pt>
                <c:pt idx="113">
                  <c:v>17.6772713598582</c:v>
                </c:pt>
                <c:pt idx="114">
                  <c:v>18.2834935092524</c:v>
                </c:pt>
                <c:pt idx="115">
                  <c:v>19.4295813096689</c:v>
                </c:pt>
                <c:pt idx="116">
                  <c:v>20.7531062736371</c:v>
                </c:pt>
                <c:pt idx="117">
                  <c:v>21.9826131067957</c:v>
                </c:pt>
                <c:pt idx="118">
                  <c:v>22.9512929111261</c:v>
                </c:pt>
                <c:pt idx="119">
                  <c:v>23.5893108271716</c:v>
                </c:pt>
                <c:pt idx="120">
                  <c:v>23.9030618040431</c:v>
                </c:pt>
                <c:pt idx="121">
                  <c:v>23.9490028262915</c:v>
                </c:pt>
                <c:pt idx="122">
                  <c:v>23.808060265595</c:v>
                </c:pt>
                <c:pt idx="123">
                  <c:v>23.5645402666282</c:v>
                </c:pt>
                <c:pt idx="124">
                  <c:v>24.2914502510898</c:v>
                </c:pt>
                <c:pt idx="125">
                  <c:v>26.8362566802782</c:v>
                </c:pt>
                <c:pt idx="126">
                  <c:v>30.8335821811472</c:v>
                </c:pt>
                <c:pt idx="127">
                  <c:v>35.8048485392519</c:v>
                </c:pt>
                <c:pt idx="128">
                  <c:v>41.2726057378352</c:v>
                </c:pt>
                <c:pt idx="129">
                  <c:v>45.8369763059986</c:v>
                </c:pt>
                <c:pt idx="130">
                  <c:v>48.420631681118</c:v>
                </c:pt>
                <c:pt idx="131">
                  <c:v>49.2610862753916</c:v>
                </c:pt>
                <c:pt idx="132">
                  <c:v>48.7979891627128</c:v>
                </c:pt>
                <c:pt idx="133">
                  <c:v>47.5357299081254</c:v>
                </c:pt>
                <c:pt idx="134">
                  <c:v>45.9409379158326</c:v>
                </c:pt>
                <c:pt idx="135">
                  <c:v>44.3798594047619</c:v>
                </c:pt>
                <c:pt idx="136">
                  <c:v>43.0925366051092</c:v>
                </c:pt>
                <c:pt idx="137">
                  <c:v>42.1958069015868</c:v>
                </c:pt>
                <c:pt idx="138">
                  <c:v>41.7051352165706</c:v>
                </c:pt>
                <c:pt idx="139">
                  <c:v>41.5655562612806</c:v>
                </c:pt>
                <c:pt idx="140">
                  <c:v>41.6837441585424</c:v>
                </c:pt>
                <c:pt idx="141">
                  <c:v>41.9556780090661</c:v>
                </c:pt>
                <c:pt idx="142">
                  <c:v>41.2869046789808</c:v>
                </c:pt>
                <c:pt idx="143">
                  <c:v>38.8108022453987</c:v>
                </c:pt>
                <c:pt idx="144">
                  <c:v>34.8782094975427</c:v>
                </c:pt>
                <c:pt idx="145">
                  <c:v>29.9585994967083</c:v>
                </c:pt>
                <c:pt idx="146">
                  <c:v>24.5254236304565</c:v>
                </c:pt>
                <c:pt idx="147">
                  <c:v>19.9786265813309</c:v>
                </c:pt>
                <c:pt idx="148">
                  <c:v>17.3983183268761</c:v>
                </c:pt>
                <c:pt idx="149">
                  <c:v>16.5511374904108</c:v>
                </c:pt>
                <c:pt idx="150">
                  <c:v>17.0018391468916</c:v>
                </c:pt>
                <c:pt idx="151">
                  <c:v>18.2498976032464</c:v>
                </c:pt>
                <c:pt idx="152">
                  <c:v>19.8315635676054</c:v>
                </c:pt>
                <c:pt idx="153">
                  <c:v>21.3823482177299</c:v>
                </c:pt>
                <c:pt idx="154">
                  <c:v>22.6629315055388</c:v>
                </c:pt>
                <c:pt idx="155">
                  <c:v>23.5563882135436</c:v>
                </c:pt>
                <c:pt idx="156">
                  <c:v>24.0466368279297</c:v>
                </c:pt>
                <c:pt idx="157">
                  <c:v>24.1877708629445</c:v>
                </c:pt>
                <c:pt idx="158">
                  <c:v>24.0722136506852</c:v>
                </c:pt>
                <c:pt idx="159">
                  <c:v>23.3561681317362</c:v>
                </c:pt>
                <c:pt idx="160">
                  <c:v>21.7786677289525</c:v>
                </c:pt>
                <c:pt idx="161">
                  <c:v>19.589908331051</c:v>
                </c:pt>
                <c:pt idx="162">
                  <c:v>17.055921563106</c:v>
                </c:pt>
                <c:pt idx="163">
                  <c:v>14.410550980037</c:v>
                </c:pt>
                <c:pt idx="164">
                  <c:v>11.8284441471296</c:v>
                </c:pt>
                <c:pt idx="165">
                  <c:v>9.41647530922523</c:v>
                </c:pt>
                <c:pt idx="166">
                  <c:v>7.21890064722538</c:v>
                </c:pt>
                <c:pt idx="167">
                  <c:v>5.23088799629591</c:v>
                </c:pt>
                <c:pt idx="168">
                  <c:v>3.41548253306883</c:v>
                </c:pt>
                <c:pt idx="169">
                  <c:v>2.16718573506114</c:v>
                </c:pt>
                <c:pt idx="170">
                  <c:v>1.78631782062212</c:v>
                </c:pt>
                <c:pt idx="171">
                  <c:v>2.04809743571582</c:v>
                </c:pt>
                <c:pt idx="172">
                  <c:v>2.69847627475224</c:v>
                </c:pt>
                <c:pt idx="173">
                  <c:v>3.50466422044406</c:v>
                </c:pt>
                <c:pt idx="174">
                  <c:v>4.28557220902303</c:v>
                </c:pt>
                <c:pt idx="175">
                  <c:v>4.92389758996114</c:v>
                </c:pt>
                <c:pt idx="176">
                  <c:v>5.36396147746723</c:v>
                </c:pt>
                <c:pt idx="177">
                  <c:v>5.60034471636322</c:v>
                </c:pt>
                <c:pt idx="178">
                  <c:v>5.66218522166628</c:v>
                </c:pt>
                <c:pt idx="179">
                  <c:v>5.59709385800124</c:v>
                </c:pt>
                <c:pt idx="180">
                  <c:v>5.45740241222211</c:v>
                </c:pt>
                <c:pt idx="181">
                  <c:v>5.29018713512892</c:v>
                </c:pt>
                <c:pt idx="182">
                  <c:v>5.13142785478522</c:v>
                </c:pt>
                <c:pt idx="183">
                  <c:v>5.0038785755894</c:v>
                </c:pt>
                <c:pt idx="184">
                  <c:v>4.91776819452684</c:v>
                </c:pt>
                <c:pt idx="185">
                  <c:v>4.87328528738863</c:v>
                </c:pt>
                <c:pt idx="186">
                  <c:v>4.86385884383344</c:v>
                </c:pt>
                <c:pt idx="187">
                  <c:v>4.87944463123404</c:v>
                </c:pt>
                <c:pt idx="188">
                  <c:v>4.90928659163114</c:v>
                </c:pt>
                <c:pt idx="189">
                  <c:v>4.94388211612363</c:v>
                </c:pt>
                <c:pt idx="190">
                  <c:v>4.97609754941163</c:v>
                </c:pt>
                <c:pt idx="191">
                  <c:v>5.00153468741655</c:v>
                </c:pt>
                <c:pt idx="192">
                  <c:v>5.01833630842407</c:v>
                </c:pt>
                <c:pt idx="193">
                  <c:v>5.02664701990398</c:v>
                </c:pt>
                <c:pt idx="194">
                  <c:v>5.02792983399581</c:v>
                </c:pt>
                <c:pt idx="195">
                  <c:v>5.02429600454866</c:v>
                </c:pt>
                <c:pt idx="196">
                  <c:v>5.01795157412516</c:v>
                </c:pt>
                <c:pt idx="197">
                  <c:v>5.01081118705315</c:v>
                </c:pt>
                <c:pt idx="198">
                  <c:v>5.00428614108978</c:v>
                </c:pt>
              </c:numCache>
            </c:numRef>
          </c:yVal>
          <c:smooth val="0"/>
        </c:ser>
        <c:axId val="87706508"/>
        <c:axId val="44944195"/>
      </c:scatterChart>
      <c:valAx>
        <c:axId val="8770650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4944195"/>
        <c:crosses val="autoZero"/>
        <c:crossBetween val="midCat"/>
      </c:valAx>
      <c:valAx>
        <c:axId val="449441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70650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'Extra Long Time Gap '!$C$1</c:f>
              <c:strCache>
                <c:ptCount val="1"/>
                <c:pt idx="0">
                  <c:v>Lead Speed [mph]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'Extra Long Time Gap '!$C$2:$C$200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2.00005696</c:v>
                </c:pt>
                <c:pt idx="12">
                  <c:v>4.00011392</c:v>
                </c:pt>
                <c:pt idx="13">
                  <c:v>6.00017088</c:v>
                </c:pt>
                <c:pt idx="14">
                  <c:v>8.00022784</c:v>
                </c:pt>
                <c:pt idx="15">
                  <c:v>10.0002848</c:v>
                </c:pt>
                <c:pt idx="16">
                  <c:v>12.00034176</c:v>
                </c:pt>
                <c:pt idx="17">
                  <c:v>14.00039872</c:v>
                </c:pt>
                <c:pt idx="18">
                  <c:v>16.00045568</c:v>
                </c:pt>
                <c:pt idx="19">
                  <c:v>18.00051264</c:v>
                </c:pt>
                <c:pt idx="20">
                  <c:v>20.0005696</c:v>
                </c:pt>
                <c:pt idx="21">
                  <c:v>20.0005696</c:v>
                </c:pt>
                <c:pt idx="22">
                  <c:v>20.0005696</c:v>
                </c:pt>
                <c:pt idx="23">
                  <c:v>20.0005696</c:v>
                </c:pt>
                <c:pt idx="24">
                  <c:v>20.0005696</c:v>
                </c:pt>
                <c:pt idx="25">
                  <c:v>20.0005696</c:v>
                </c:pt>
                <c:pt idx="26">
                  <c:v>20.0005696</c:v>
                </c:pt>
                <c:pt idx="27">
                  <c:v>20.0005696</c:v>
                </c:pt>
                <c:pt idx="28">
                  <c:v>20.0005696</c:v>
                </c:pt>
                <c:pt idx="29">
                  <c:v>20.0005696</c:v>
                </c:pt>
                <c:pt idx="30">
                  <c:v>20.0005696</c:v>
                </c:pt>
                <c:pt idx="31">
                  <c:v>20.0005696</c:v>
                </c:pt>
                <c:pt idx="32">
                  <c:v>20.0005696</c:v>
                </c:pt>
                <c:pt idx="33">
                  <c:v>20.0005696</c:v>
                </c:pt>
                <c:pt idx="34">
                  <c:v>20.0005696</c:v>
                </c:pt>
                <c:pt idx="35">
                  <c:v>20.0005696</c:v>
                </c:pt>
                <c:pt idx="36">
                  <c:v>22.00062656</c:v>
                </c:pt>
                <c:pt idx="37">
                  <c:v>24.00068352</c:v>
                </c:pt>
                <c:pt idx="38">
                  <c:v>26.00074048</c:v>
                </c:pt>
                <c:pt idx="39">
                  <c:v>28.00079744</c:v>
                </c:pt>
                <c:pt idx="40">
                  <c:v>30.0008544</c:v>
                </c:pt>
                <c:pt idx="41">
                  <c:v>32.00091136</c:v>
                </c:pt>
                <c:pt idx="42">
                  <c:v>34.00096832</c:v>
                </c:pt>
                <c:pt idx="43">
                  <c:v>36.00102528</c:v>
                </c:pt>
                <c:pt idx="44">
                  <c:v>38.00108224</c:v>
                </c:pt>
                <c:pt idx="45">
                  <c:v>40.0011392</c:v>
                </c:pt>
                <c:pt idx="46">
                  <c:v>40.0011392</c:v>
                </c:pt>
                <c:pt idx="47">
                  <c:v>40.0011392</c:v>
                </c:pt>
                <c:pt idx="48">
                  <c:v>40.0011392</c:v>
                </c:pt>
                <c:pt idx="49">
                  <c:v>40.0011392</c:v>
                </c:pt>
                <c:pt idx="50">
                  <c:v>40.0011392</c:v>
                </c:pt>
                <c:pt idx="51">
                  <c:v>40.0011392</c:v>
                </c:pt>
                <c:pt idx="52">
                  <c:v>40.0011392</c:v>
                </c:pt>
                <c:pt idx="53">
                  <c:v>40.0011392</c:v>
                </c:pt>
                <c:pt idx="54">
                  <c:v>40.0011392</c:v>
                </c:pt>
                <c:pt idx="55">
                  <c:v>40.0011392</c:v>
                </c:pt>
                <c:pt idx="56">
                  <c:v>40.0011392</c:v>
                </c:pt>
                <c:pt idx="57">
                  <c:v>40.0011392</c:v>
                </c:pt>
                <c:pt idx="58">
                  <c:v>40.0011392</c:v>
                </c:pt>
                <c:pt idx="59">
                  <c:v>40.0011392</c:v>
                </c:pt>
                <c:pt idx="60">
                  <c:v>40.0011392</c:v>
                </c:pt>
                <c:pt idx="61">
                  <c:v>38.00108224</c:v>
                </c:pt>
                <c:pt idx="62">
                  <c:v>36.00102528</c:v>
                </c:pt>
                <c:pt idx="63">
                  <c:v>34.00096832</c:v>
                </c:pt>
                <c:pt idx="64">
                  <c:v>32.00091136</c:v>
                </c:pt>
                <c:pt idx="65">
                  <c:v>30.0008544</c:v>
                </c:pt>
                <c:pt idx="66">
                  <c:v>28.00079744</c:v>
                </c:pt>
                <c:pt idx="67">
                  <c:v>26.00074048</c:v>
                </c:pt>
                <c:pt idx="68">
                  <c:v>24.00068352</c:v>
                </c:pt>
                <c:pt idx="69">
                  <c:v>22.00062656</c:v>
                </c:pt>
                <c:pt idx="70">
                  <c:v>20.0005696</c:v>
                </c:pt>
                <c:pt idx="71">
                  <c:v>20.0005696</c:v>
                </c:pt>
                <c:pt idx="72">
                  <c:v>20.0005696</c:v>
                </c:pt>
                <c:pt idx="73">
                  <c:v>20.0005696</c:v>
                </c:pt>
                <c:pt idx="74">
                  <c:v>20.0005696</c:v>
                </c:pt>
                <c:pt idx="75">
                  <c:v>20.0005696</c:v>
                </c:pt>
                <c:pt idx="76">
                  <c:v>20.0005696</c:v>
                </c:pt>
                <c:pt idx="77">
                  <c:v>20.0005696</c:v>
                </c:pt>
                <c:pt idx="78">
                  <c:v>20.0005696</c:v>
                </c:pt>
                <c:pt idx="79">
                  <c:v>20.0005696</c:v>
                </c:pt>
                <c:pt idx="80">
                  <c:v>20.0005696</c:v>
                </c:pt>
                <c:pt idx="81">
                  <c:v>20.0005696</c:v>
                </c:pt>
                <c:pt idx="82">
                  <c:v>20.0005696</c:v>
                </c:pt>
                <c:pt idx="83">
                  <c:v>20.0005696</c:v>
                </c:pt>
                <c:pt idx="84">
                  <c:v>20.0005696</c:v>
                </c:pt>
                <c:pt idx="85">
                  <c:v>20.0005696</c:v>
                </c:pt>
                <c:pt idx="86">
                  <c:v>23.3336996</c:v>
                </c:pt>
                <c:pt idx="87">
                  <c:v>26.6668296</c:v>
                </c:pt>
                <c:pt idx="88">
                  <c:v>29.9999596</c:v>
                </c:pt>
                <c:pt idx="89">
                  <c:v>33.3330896</c:v>
                </c:pt>
                <c:pt idx="90">
                  <c:v>36.6662196</c:v>
                </c:pt>
                <c:pt idx="91">
                  <c:v>39.9993496</c:v>
                </c:pt>
                <c:pt idx="92">
                  <c:v>39.9993496</c:v>
                </c:pt>
                <c:pt idx="93">
                  <c:v>39.9993496</c:v>
                </c:pt>
                <c:pt idx="94">
                  <c:v>39.9993496</c:v>
                </c:pt>
                <c:pt idx="95">
                  <c:v>39.9993496</c:v>
                </c:pt>
                <c:pt idx="96">
                  <c:v>39.9993496</c:v>
                </c:pt>
                <c:pt idx="97">
                  <c:v>39.9993496</c:v>
                </c:pt>
                <c:pt idx="98">
                  <c:v>39.9993496</c:v>
                </c:pt>
                <c:pt idx="99">
                  <c:v>39.9993496</c:v>
                </c:pt>
                <c:pt idx="100">
                  <c:v>39.9993496</c:v>
                </c:pt>
                <c:pt idx="101">
                  <c:v>39.9993496</c:v>
                </c:pt>
                <c:pt idx="102">
                  <c:v>39.9993496</c:v>
                </c:pt>
                <c:pt idx="103">
                  <c:v>39.9993496</c:v>
                </c:pt>
                <c:pt idx="104">
                  <c:v>39.9993496</c:v>
                </c:pt>
                <c:pt idx="105">
                  <c:v>36.6662196</c:v>
                </c:pt>
                <c:pt idx="106">
                  <c:v>33.3330896</c:v>
                </c:pt>
                <c:pt idx="107">
                  <c:v>29.9999596</c:v>
                </c:pt>
                <c:pt idx="108">
                  <c:v>26.6668296</c:v>
                </c:pt>
                <c:pt idx="109">
                  <c:v>23.3336996</c:v>
                </c:pt>
                <c:pt idx="110">
                  <c:v>20.0005696</c:v>
                </c:pt>
                <c:pt idx="111">
                  <c:v>20.0005696</c:v>
                </c:pt>
                <c:pt idx="112">
                  <c:v>20.0005696</c:v>
                </c:pt>
                <c:pt idx="113">
                  <c:v>20.0005696</c:v>
                </c:pt>
                <c:pt idx="114">
                  <c:v>20.0005696</c:v>
                </c:pt>
                <c:pt idx="115">
                  <c:v>20.0005696</c:v>
                </c:pt>
                <c:pt idx="116">
                  <c:v>20.0005696</c:v>
                </c:pt>
                <c:pt idx="117">
                  <c:v>20.0005696</c:v>
                </c:pt>
                <c:pt idx="118">
                  <c:v>20.0005696</c:v>
                </c:pt>
                <c:pt idx="119">
                  <c:v>20.0005696</c:v>
                </c:pt>
                <c:pt idx="120">
                  <c:v>20.0005696</c:v>
                </c:pt>
                <c:pt idx="121">
                  <c:v>20.0005696</c:v>
                </c:pt>
                <c:pt idx="122">
                  <c:v>20.0005696</c:v>
                </c:pt>
                <c:pt idx="123">
                  <c:v>20.0005696</c:v>
                </c:pt>
                <c:pt idx="124">
                  <c:v>24.4745696</c:v>
                </c:pt>
                <c:pt idx="125">
                  <c:v>28.9485696</c:v>
                </c:pt>
                <c:pt idx="126">
                  <c:v>33.4225696</c:v>
                </c:pt>
                <c:pt idx="127">
                  <c:v>37.8965696</c:v>
                </c:pt>
                <c:pt idx="128">
                  <c:v>42.3705696</c:v>
                </c:pt>
                <c:pt idx="129">
                  <c:v>42.3705696</c:v>
                </c:pt>
                <c:pt idx="130">
                  <c:v>42.3705696</c:v>
                </c:pt>
                <c:pt idx="131">
                  <c:v>42.3705696</c:v>
                </c:pt>
                <c:pt idx="132">
                  <c:v>42.3705696</c:v>
                </c:pt>
                <c:pt idx="133">
                  <c:v>42.3705696</c:v>
                </c:pt>
                <c:pt idx="134">
                  <c:v>42.3705696</c:v>
                </c:pt>
                <c:pt idx="135">
                  <c:v>42.3705696</c:v>
                </c:pt>
                <c:pt idx="136">
                  <c:v>42.3705696</c:v>
                </c:pt>
                <c:pt idx="137">
                  <c:v>42.3705696</c:v>
                </c:pt>
                <c:pt idx="138">
                  <c:v>42.3705696</c:v>
                </c:pt>
                <c:pt idx="139">
                  <c:v>42.3705696</c:v>
                </c:pt>
                <c:pt idx="140">
                  <c:v>42.3705696</c:v>
                </c:pt>
                <c:pt idx="141">
                  <c:v>42.3705696</c:v>
                </c:pt>
                <c:pt idx="142">
                  <c:v>37.8965696</c:v>
                </c:pt>
                <c:pt idx="143">
                  <c:v>33.4225696</c:v>
                </c:pt>
                <c:pt idx="144">
                  <c:v>28.9485696</c:v>
                </c:pt>
                <c:pt idx="145">
                  <c:v>24.4745696</c:v>
                </c:pt>
                <c:pt idx="146">
                  <c:v>20.0005696</c:v>
                </c:pt>
                <c:pt idx="147">
                  <c:v>20.0005696</c:v>
                </c:pt>
                <c:pt idx="148">
                  <c:v>20.0005696</c:v>
                </c:pt>
                <c:pt idx="149">
                  <c:v>20.0005696</c:v>
                </c:pt>
                <c:pt idx="150">
                  <c:v>20.0005696</c:v>
                </c:pt>
                <c:pt idx="151">
                  <c:v>20.0005696</c:v>
                </c:pt>
                <c:pt idx="152">
                  <c:v>20.0005696</c:v>
                </c:pt>
                <c:pt idx="153">
                  <c:v>20.0005696</c:v>
                </c:pt>
                <c:pt idx="154">
                  <c:v>20.0005696</c:v>
                </c:pt>
                <c:pt idx="155">
                  <c:v>20.0005696</c:v>
                </c:pt>
                <c:pt idx="156">
                  <c:v>20.0005696</c:v>
                </c:pt>
                <c:pt idx="157">
                  <c:v>20.0005696</c:v>
                </c:pt>
                <c:pt idx="158">
                  <c:v>20.0005696</c:v>
                </c:pt>
                <c:pt idx="159">
                  <c:v>18.00051264</c:v>
                </c:pt>
                <c:pt idx="160">
                  <c:v>16.00045568</c:v>
                </c:pt>
                <c:pt idx="161">
                  <c:v>14.00039872</c:v>
                </c:pt>
                <c:pt idx="162">
                  <c:v>12.00034176</c:v>
                </c:pt>
                <c:pt idx="163">
                  <c:v>10.0002848</c:v>
                </c:pt>
                <c:pt idx="164">
                  <c:v>8.00022783999999</c:v>
                </c:pt>
                <c:pt idx="165">
                  <c:v>6.00017087999999</c:v>
                </c:pt>
                <c:pt idx="166">
                  <c:v>4.00011391999999</c:v>
                </c:pt>
                <c:pt idx="167">
                  <c:v>2.00005695999999</c:v>
                </c:pt>
                <c:pt idx="168">
                  <c:v>-7.45070671825942E-015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'Extra Long Time Gap '!$E$1</c:f>
              <c:strCache>
                <c:ptCount val="1"/>
                <c:pt idx="0">
                  <c:v>Simulated Ego Spd [mph]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'Extra Long Time Gap '!$E$2:$E$200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-0.0200005696</c:v>
                </c:pt>
                <c:pt idx="12">
                  <c:v>0.146706400301512</c:v>
                </c:pt>
                <c:pt idx="13">
                  <c:v>0.733514555084772</c:v>
                </c:pt>
                <c:pt idx="14">
                  <c:v>1.82925988955253</c:v>
                </c:pt>
                <c:pt idx="15">
                  <c:v>3.41159992420114</c:v>
                </c:pt>
                <c:pt idx="16">
                  <c:v>5.38727255211639</c:v>
                </c:pt>
                <c:pt idx="17">
                  <c:v>7.63048859285862</c:v>
                </c:pt>
                <c:pt idx="18">
                  <c:v>10.0138965799629</c:v>
                </c:pt>
                <c:pt idx="19">
                  <c:v>12.4295874040902</c:v>
                </c:pt>
                <c:pt idx="20">
                  <c:v>14.8000440324029</c:v>
                </c:pt>
                <c:pt idx="21">
                  <c:v>17.1005910759965</c:v>
                </c:pt>
                <c:pt idx="22">
                  <c:v>19.1090431504091</c:v>
                </c:pt>
                <c:pt idx="23">
                  <c:v>20.5985890628385</c:v>
                </c:pt>
                <c:pt idx="24">
                  <c:v>21.500701147459</c:v>
                </c:pt>
                <c:pt idx="25">
                  <c:v>21.8639622156489</c:v>
                </c:pt>
                <c:pt idx="26">
                  <c:v>21.8076286885225</c:v>
                </c:pt>
                <c:pt idx="27">
                  <c:v>21.4791369778773</c:v>
                </c:pt>
                <c:pt idx="28">
                  <c:v>21.021089471013</c:v>
                </c:pt>
                <c:pt idx="29">
                  <c:v>20.5499055449428</c:v>
                </c:pt>
                <c:pt idx="30">
                  <c:v>20.145725557128</c:v>
                </c:pt>
                <c:pt idx="31">
                  <c:v>19.8514811668591</c:v>
                </c:pt>
                <c:pt idx="32">
                  <c:v>19.6782587100909</c:v>
                </c:pt>
                <c:pt idx="33">
                  <c:v>19.6140174111312</c:v>
                </c:pt>
                <c:pt idx="34">
                  <c:v>19.6331534171486</c:v>
                </c:pt>
                <c:pt idx="35">
                  <c:v>19.7050919750449</c:v>
                </c:pt>
                <c:pt idx="36">
                  <c:v>19.7808452923521</c:v>
                </c:pt>
                <c:pt idx="37">
                  <c:v>20.0438619754222</c:v>
                </c:pt>
                <c:pt idx="38">
                  <c:v>20.7118572077453</c:v>
                </c:pt>
                <c:pt idx="39">
                  <c:v>21.8655919945984</c:v>
                </c:pt>
                <c:pt idx="40">
                  <c:v>23.4810440591893</c:v>
                </c:pt>
                <c:pt idx="41">
                  <c:v>25.4678279579879</c:v>
                </c:pt>
                <c:pt idx="42">
                  <c:v>27.7056221919597</c:v>
                </c:pt>
                <c:pt idx="43">
                  <c:v>30.0733998447154</c:v>
                </c:pt>
                <c:pt idx="44">
                  <c:v>32.4691330995812</c:v>
                </c:pt>
                <c:pt idx="45">
                  <c:v>34.8199429007766</c:v>
                </c:pt>
                <c:pt idx="46">
                  <c:v>37.1042123397284</c:v>
                </c:pt>
                <c:pt idx="47">
                  <c:v>39.1012638229983</c:v>
                </c:pt>
                <c:pt idx="48">
                  <c:v>40.5845120555521</c:v>
                </c:pt>
                <c:pt idx="49">
                  <c:v>41.4847597715437</c:v>
                </c:pt>
                <c:pt idx="50">
                  <c:v>41.8494277310177</c:v>
                </c:pt>
                <c:pt idx="51">
                  <c:v>41.796467213088</c:v>
                </c:pt>
                <c:pt idx="52">
                  <c:v>41.4721235678544</c:v>
                </c:pt>
                <c:pt idx="53">
                  <c:v>41.0180762086652</c:v>
                </c:pt>
                <c:pt idx="54">
                  <c:v>40.5501497132012</c:v>
                </c:pt>
                <c:pt idx="55">
                  <c:v>40.1482052861175</c:v>
                </c:pt>
                <c:pt idx="56">
                  <c:v>39.8551518997988</c:v>
                </c:pt>
                <c:pt idx="57">
                  <c:v>39.6822287425119</c:v>
                </c:pt>
                <c:pt idx="58">
                  <c:v>39.6176409489215</c:v>
                </c:pt>
                <c:pt idx="59">
                  <c:v>39.6360533818801</c:v>
                </c:pt>
                <c:pt idx="60">
                  <c:v>39.7071320552404</c:v>
                </c:pt>
                <c:pt idx="61">
                  <c:v>39.8220736140982</c:v>
                </c:pt>
                <c:pt idx="62">
                  <c:v>39.7510257375712</c:v>
                </c:pt>
                <c:pt idx="63">
                  <c:v>39.2449674802541</c:v>
                </c:pt>
                <c:pt idx="64">
                  <c:v>38.2069878075581</c:v>
                </c:pt>
                <c:pt idx="65">
                  <c:v>36.6577150360194</c:v>
                </c:pt>
                <c:pt idx="66">
                  <c:v>34.6932361003578</c:v>
                </c:pt>
                <c:pt idx="67">
                  <c:v>32.4447526578921</c:v>
                </c:pt>
                <c:pt idx="68">
                  <c:v>30.0458921444897</c:v>
                </c:pt>
                <c:pt idx="69">
                  <c:v>27.610408637025</c:v>
                </c:pt>
                <c:pt idx="70">
                  <c:v>25.2204348785094</c:v>
                </c:pt>
                <c:pt idx="71">
                  <c:v>22.9036954759396</c:v>
                </c:pt>
                <c:pt idx="72">
                  <c:v>20.8838845487551</c:v>
                </c:pt>
                <c:pt idx="73">
                  <c:v>19.3880468200246</c:v>
                </c:pt>
                <c:pt idx="74">
                  <c:v>18.4840512428803</c:v>
                </c:pt>
                <c:pt idx="75">
                  <c:v>18.1221642717442</c:v>
                </c:pt>
                <c:pt idx="76">
                  <c:v>18.1818341279021</c:v>
                </c:pt>
                <c:pt idx="77">
                  <c:v>18.5144405207846</c:v>
                </c:pt>
                <c:pt idx="78">
                  <c:v>18.976462372848</c:v>
                </c:pt>
                <c:pt idx="79">
                  <c:v>19.4508871591327</c:v>
                </c:pt>
                <c:pt idx="80">
                  <c:v>19.8572949908266</c:v>
                </c:pt>
                <c:pt idx="81">
                  <c:v>20.1527298435889</c:v>
                </c:pt>
                <c:pt idx="82">
                  <c:v>20.326255954605</c:v>
                </c:pt>
                <c:pt idx="83">
                  <c:v>20.3901576946251</c:v>
                </c:pt>
                <c:pt idx="84">
                  <c:v>20.3703056651567</c:v>
                </c:pt>
                <c:pt idx="85">
                  <c:v>20.2975139691455</c:v>
                </c:pt>
                <c:pt idx="86">
                  <c:v>20.1676210072719</c:v>
                </c:pt>
                <c:pt idx="87">
                  <c:v>20.3484839735218</c:v>
                </c:pt>
                <c:pt idx="88">
                  <c:v>21.2447872090284</c:v>
                </c:pt>
                <c:pt idx="89">
                  <c:v>23.0126527622176</c:v>
                </c:pt>
                <c:pt idx="90">
                  <c:v>25.6164924064339</c:v>
                </c:pt>
                <c:pt idx="91">
                  <c:v>28.8979551786779</c:v>
                </c:pt>
                <c:pt idx="92">
                  <c:v>32.6752200124835</c:v>
                </c:pt>
                <c:pt idx="93">
                  <c:v>36.3851979147323</c:v>
                </c:pt>
                <c:pt idx="94">
                  <c:v>39.4531843976916</c:v>
                </c:pt>
                <c:pt idx="95">
                  <c:v>41.5972890285973</c:v>
                </c:pt>
                <c:pt idx="96">
                  <c:v>42.7772248998213</c:v>
                </c:pt>
                <c:pt idx="97">
                  <c:v>43.1211148710525</c:v>
                </c:pt>
                <c:pt idx="98">
                  <c:v>42.8493402259395</c:v>
                </c:pt>
                <c:pt idx="99">
                  <c:v>42.2086589941969</c:v>
                </c:pt>
                <c:pt idx="100">
                  <c:v>41.4238068616784</c:v>
                </c:pt>
                <c:pt idx="101">
                  <c:v>40.6686021752047</c:v>
                </c:pt>
                <c:pt idx="102">
                  <c:v>40.0547719087929</c:v>
                </c:pt>
                <c:pt idx="103">
                  <c:v>39.6344523898899</c:v>
                </c:pt>
                <c:pt idx="104">
                  <c:v>39.4114528145806</c:v>
                </c:pt>
                <c:pt idx="105">
                  <c:v>39.3899109042496</c:v>
                </c:pt>
                <c:pt idx="106">
                  <c:v>39.1787281207306</c:v>
                </c:pt>
                <c:pt idx="107">
                  <c:v>38.3381571909303</c:v>
                </c:pt>
                <c:pt idx="108">
                  <c:v>36.6747312797943</c:v>
                </c:pt>
                <c:pt idx="109">
                  <c:v>34.1911728388705</c:v>
                </c:pt>
                <c:pt idx="110">
                  <c:v>31.0212567271441</c:v>
                </c:pt>
                <c:pt idx="111">
                  <c:v>27.3317378509177</c:v>
                </c:pt>
                <c:pt idx="112">
                  <c:v>23.6794367966149</c:v>
                </c:pt>
                <c:pt idx="113">
                  <c:v>20.6396946121423</c:v>
                </c:pt>
                <c:pt idx="114">
                  <c:v>18.4995637372178</c:v>
                </c:pt>
                <c:pt idx="115">
                  <c:v>17.3066956318584</c:v>
                </c:pt>
                <c:pt idx="116">
                  <c:v>16.9406233090074</c:v>
                </c:pt>
                <c:pt idx="117">
                  <c:v>17.1875848621096</c:v>
                </c:pt>
                <c:pt idx="118">
                  <c:v>17.8056819719738</c:v>
                </c:pt>
                <c:pt idx="119">
                  <c:v>18.5730774222053</c:v>
                </c:pt>
                <c:pt idx="120">
                  <c:v>19.3170705365657</c:v>
                </c:pt>
                <c:pt idx="121">
                  <c:v>19.9256786598629</c:v>
                </c:pt>
                <c:pt idx="122">
                  <c:v>20.3456304688682</c:v>
                </c:pt>
                <c:pt idx="123">
                  <c:v>20.5715750437347</c:v>
                </c:pt>
                <c:pt idx="124">
                  <c:v>20.5863996874089</c:v>
                </c:pt>
                <c:pt idx="125">
                  <c:v>20.8977823856394</c:v>
                </c:pt>
                <c:pt idx="126">
                  <c:v>22.077643754764</c:v>
                </c:pt>
                <c:pt idx="127">
                  <c:v>24.3695691328152</c:v>
                </c:pt>
                <c:pt idx="128">
                  <c:v>27.7578960835808</c:v>
                </c:pt>
                <c:pt idx="129">
                  <c:v>32.1004684634467</c:v>
                </c:pt>
                <c:pt idx="130">
                  <c:v>36.6633021346778</c:v>
                </c:pt>
                <c:pt idx="131">
                  <c:v>40.6396505785281</c:v>
                </c:pt>
                <c:pt idx="132">
                  <c:v>43.5831733070168</c:v>
                </c:pt>
                <c:pt idx="133">
                  <c:v>45.3608931881815</c:v>
                </c:pt>
                <c:pt idx="134">
                  <c:v>46.0712507179038</c:v>
                </c:pt>
                <c:pt idx="135">
                  <c:v>45.9519496468549</c:v>
                </c:pt>
                <c:pt idx="136">
                  <c:v>45.2957871614756</c:v>
                </c:pt>
                <c:pt idx="137">
                  <c:v>44.3853774791619</c:v>
                </c:pt>
                <c:pt idx="138">
                  <c:v>43.4510404777459</c:v>
                </c:pt>
                <c:pt idx="139">
                  <c:v>42.6509912973553</c:v>
                </c:pt>
                <c:pt idx="140">
                  <c:v>42.0696638224791</c:v>
                </c:pt>
                <c:pt idx="141">
                  <c:v>41.7284576266341</c:v>
                </c:pt>
                <c:pt idx="142">
                  <c:v>41.6478223337562</c:v>
                </c:pt>
                <c:pt idx="143">
                  <c:v>41.3143603287431</c:v>
                </c:pt>
                <c:pt idx="144">
                  <c:v>40.1452816854698</c:v>
                </c:pt>
                <c:pt idx="145">
                  <c:v>37.8844290770271</c:v>
                </c:pt>
                <c:pt idx="146">
                  <c:v>34.5357744707092</c:v>
                </c:pt>
                <c:pt idx="147">
                  <c:v>30.2322552220317</c:v>
                </c:pt>
                <c:pt idx="148">
                  <c:v>25.7017764566179</c:v>
                </c:pt>
                <c:pt idx="149">
                  <c:v>21.7480880742449</c:v>
                </c:pt>
                <c:pt idx="150">
                  <c:v>18.8170819550025</c:v>
                </c:pt>
                <c:pt idx="151">
                  <c:v>17.0430665326343</c:v>
                </c:pt>
                <c:pt idx="152">
                  <c:v>16.3299113563922</c:v>
                </c:pt>
                <c:pt idx="153">
                  <c:v>16.4425070356869</c:v>
                </c:pt>
                <c:pt idx="154">
                  <c:v>17.090423894646</c:v>
                </c:pt>
                <c:pt idx="155">
                  <c:v>17.992882280712</c:v>
                </c:pt>
                <c:pt idx="156">
                  <c:v>18.9207445277209</c:v>
                </c:pt>
                <c:pt idx="157">
                  <c:v>19.7163502809007</c:v>
                </c:pt>
                <c:pt idx="158">
                  <c:v>20.2953106672603</c:v>
                </c:pt>
                <c:pt idx="159">
                  <c:v>20.6559227907635</c:v>
                </c:pt>
                <c:pt idx="160">
                  <c:v>20.615280076162</c:v>
                </c:pt>
                <c:pt idx="161">
                  <c:v>19.9904594714732</c:v>
                </c:pt>
                <c:pt idx="162">
                  <c:v>18.7528496139514</c:v>
                </c:pt>
                <c:pt idx="163">
                  <c:v>16.9818655144877</c:v>
                </c:pt>
                <c:pt idx="164">
                  <c:v>14.8165468673073</c:v>
                </c:pt>
                <c:pt idx="165">
                  <c:v>12.4135252124836</c:v>
                </c:pt>
                <c:pt idx="166">
                  <c:v>9.91602226165997</c:v>
                </c:pt>
                <c:pt idx="167">
                  <c:v>7.43522937941874</c:v>
                </c:pt>
                <c:pt idx="168">
                  <c:v>5.04298102485454</c:v>
                </c:pt>
                <c:pt idx="169">
                  <c:v>2.7531758484989</c:v>
                </c:pt>
                <c:pt idx="170">
                  <c:v>0.775542131565143</c:v>
                </c:pt>
                <c:pt idx="171">
                  <c:v>-0.674688044773772</c:v>
                </c:pt>
                <c:pt idx="172">
                  <c:v>-1.53811472642312</c:v>
                </c:pt>
                <c:pt idx="173">
                  <c:v>-1.8693369064063</c:v>
                </c:pt>
                <c:pt idx="174">
                  <c:v>-1.79057383409323</c:v>
                </c:pt>
                <c:pt idx="175">
                  <c:v>-1.44970163809777</c:v>
                </c:pt>
                <c:pt idx="176">
                  <c:v>-0.988000631630026</c:v>
                </c:pt>
                <c:pt idx="177">
                  <c:v>-0.519600033228524</c:v>
                </c:pt>
                <c:pt idx="178">
                  <c:v>-0.122069671264866</c:v>
                </c:pt>
                <c:pt idx="179">
                  <c:v>0.164003665108043</c:v>
                </c:pt>
                <c:pt idx="180">
                  <c:v>0.32935000487745</c:v>
                </c:pt>
                <c:pt idx="181">
                  <c:v>0.387180039813706</c:v>
                </c:pt>
                <c:pt idx="182">
                  <c:v>0.363646047934298</c:v>
                </c:pt>
                <c:pt idx="183">
                  <c:v>0.289366434998099</c:v>
                </c:pt>
                <c:pt idx="184">
                  <c:v>0.193026743541643</c:v>
                </c:pt>
                <c:pt idx="185">
                  <c:v>0.0974018831512522</c:v>
                </c:pt>
                <c:pt idx="186">
                  <c:v>0.0176410959647746</c:v>
                </c:pt>
                <c:pt idx="187">
                  <c:v>-0.0386546123980859</c:v>
                </c:pt>
                <c:pt idx="188">
                  <c:v>-0.0701661495194532</c:v>
                </c:pt>
                <c:pt idx="189">
                  <c:v>-0.0799969281207829</c:v>
                </c:pt>
                <c:pt idx="190">
                  <c:v>-0.073715117521244</c:v>
                </c:pt>
                <c:pt idx="191">
                  <c:v>-0.0576449651093259</c:v>
                </c:pt>
                <c:pt idx="192">
                  <c:v>-0.0375999574618824</c:v>
                </c:pt>
                <c:pt idx="193">
                  <c:v>-0.0181159325136416</c:v>
                </c:pt>
                <c:pt idx="194">
                  <c:v>-0.00214265376167751</c:v>
                </c:pt>
                <c:pt idx="195">
                  <c:v>0.00890772180262315</c:v>
                </c:pt>
                <c:pt idx="196">
                  <c:v>0.0148807756064141</c:v>
                </c:pt>
                <c:pt idx="197">
                  <c:v>0.016489897547168</c:v>
                </c:pt>
                <c:pt idx="198">
                  <c:v>0.0149153255359028</c:v>
                </c:pt>
              </c:numCache>
            </c:numRef>
          </c:yVal>
          <c:smooth val="0"/>
        </c:ser>
        <c:axId val="38770559"/>
        <c:axId val="47045636"/>
      </c:scatterChart>
      <c:valAx>
        <c:axId val="3877055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045636"/>
        <c:crosses val="autoZero"/>
        <c:crossBetween val="midCat"/>
      </c:valAx>
      <c:valAx>
        <c:axId val="4704563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877055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'Extra Long Time Gap '!$G$1</c:f>
              <c:strCache>
                <c:ptCount val="1"/>
                <c:pt idx="0">
                  <c:v>Safe Theorical Dist [m]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'Extra Long Time Gap '!$G$2:$G$200</c:f>
              <c:numCache>
                <c:formatCode>General</c:formatCode>
                <c:ptCount val="1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7.2352</c:v>
                </c:pt>
                <c:pt idx="12">
                  <c:v>9.4704</c:v>
                </c:pt>
                <c:pt idx="13">
                  <c:v>11.7056</c:v>
                </c:pt>
                <c:pt idx="14">
                  <c:v>13.9408</c:v>
                </c:pt>
                <c:pt idx="15">
                  <c:v>16.176</c:v>
                </c:pt>
                <c:pt idx="16">
                  <c:v>18.4112</c:v>
                </c:pt>
                <c:pt idx="17">
                  <c:v>20.6464</c:v>
                </c:pt>
                <c:pt idx="18">
                  <c:v>22.8816</c:v>
                </c:pt>
                <c:pt idx="19">
                  <c:v>25.1168</c:v>
                </c:pt>
                <c:pt idx="20">
                  <c:v>27.352</c:v>
                </c:pt>
                <c:pt idx="21">
                  <c:v>27.352</c:v>
                </c:pt>
                <c:pt idx="22">
                  <c:v>27.352</c:v>
                </c:pt>
                <c:pt idx="23">
                  <c:v>27.352</c:v>
                </c:pt>
                <c:pt idx="24">
                  <c:v>27.352</c:v>
                </c:pt>
                <c:pt idx="25">
                  <c:v>27.352</c:v>
                </c:pt>
                <c:pt idx="26">
                  <c:v>27.352</c:v>
                </c:pt>
                <c:pt idx="27">
                  <c:v>27.352</c:v>
                </c:pt>
                <c:pt idx="28">
                  <c:v>27.352</c:v>
                </c:pt>
                <c:pt idx="29">
                  <c:v>27.352</c:v>
                </c:pt>
                <c:pt idx="30">
                  <c:v>27.352</c:v>
                </c:pt>
                <c:pt idx="31">
                  <c:v>27.352</c:v>
                </c:pt>
                <c:pt idx="32">
                  <c:v>27.352</c:v>
                </c:pt>
                <c:pt idx="33">
                  <c:v>27.352</c:v>
                </c:pt>
                <c:pt idx="34">
                  <c:v>27.352</c:v>
                </c:pt>
                <c:pt idx="35">
                  <c:v>27.352</c:v>
                </c:pt>
                <c:pt idx="36">
                  <c:v>29.5872</c:v>
                </c:pt>
                <c:pt idx="37">
                  <c:v>31.8224</c:v>
                </c:pt>
                <c:pt idx="38">
                  <c:v>34.0576</c:v>
                </c:pt>
                <c:pt idx="39">
                  <c:v>36.2928</c:v>
                </c:pt>
                <c:pt idx="40">
                  <c:v>38.528</c:v>
                </c:pt>
                <c:pt idx="41">
                  <c:v>40.7632</c:v>
                </c:pt>
                <c:pt idx="42">
                  <c:v>42.9984</c:v>
                </c:pt>
                <c:pt idx="43">
                  <c:v>45.2336</c:v>
                </c:pt>
                <c:pt idx="44">
                  <c:v>47.4688</c:v>
                </c:pt>
                <c:pt idx="45">
                  <c:v>49.704</c:v>
                </c:pt>
                <c:pt idx="46">
                  <c:v>49.704</c:v>
                </c:pt>
                <c:pt idx="47">
                  <c:v>49.704</c:v>
                </c:pt>
                <c:pt idx="48">
                  <c:v>49.704</c:v>
                </c:pt>
                <c:pt idx="49">
                  <c:v>49.704</c:v>
                </c:pt>
                <c:pt idx="50">
                  <c:v>49.704</c:v>
                </c:pt>
                <c:pt idx="51">
                  <c:v>49.704</c:v>
                </c:pt>
                <c:pt idx="52">
                  <c:v>49.704</c:v>
                </c:pt>
                <c:pt idx="53">
                  <c:v>49.704</c:v>
                </c:pt>
                <c:pt idx="54">
                  <c:v>49.704</c:v>
                </c:pt>
                <c:pt idx="55">
                  <c:v>49.704</c:v>
                </c:pt>
                <c:pt idx="56">
                  <c:v>49.704</c:v>
                </c:pt>
                <c:pt idx="57">
                  <c:v>49.704</c:v>
                </c:pt>
                <c:pt idx="58">
                  <c:v>49.704</c:v>
                </c:pt>
                <c:pt idx="59">
                  <c:v>49.704</c:v>
                </c:pt>
                <c:pt idx="60">
                  <c:v>49.704</c:v>
                </c:pt>
                <c:pt idx="61">
                  <c:v>47.4688</c:v>
                </c:pt>
                <c:pt idx="62">
                  <c:v>45.2336</c:v>
                </c:pt>
                <c:pt idx="63">
                  <c:v>42.9984</c:v>
                </c:pt>
                <c:pt idx="64">
                  <c:v>40.7632</c:v>
                </c:pt>
                <c:pt idx="65">
                  <c:v>38.528</c:v>
                </c:pt>
                <c:pt idx="66">
                  <c:v>36.2928</c:v>
                </c:pt>
                <c:pt idx="67">
                  <c:v>34.0576</c:v>
                </c:pt>
                <c:pt idx="68">
                  <c:v>31.8224</c:v>
                </c:pt>
                <c:pt idx="69">
                  <c:v>29.5872</c:v>
                </c:pt>
                <c:pt idx="70">
                  <c:v>27.352</c:v>
                </c:pt>
                <c:pt idx="71">
                  <c:v>27.352</c:v>
                </c:pt>
                <c:pt idx="72">
                  <c:v>27.352</c:v>
                </c:pt>
                <c:pt idx="73">
                  <c:v>27.352</c:v>
                </c:pt>
                <c:pt idx="74">
                  <c:v>27.352</c:v>
                </c:pt>
                <c:pt idx="75">
                  <c:v>27.352</c:v>
                </c:pt>
                <c:pt idx="76">
                  <c:v>27.352</c:v>
                </c:pt>
                <c:pt idx="77">
                  <c:v>27.352</c:v>
                </c:pt>
                <c:pt idx="78">
                  <c:v>27.352</c:v>
                </c:pt>
                <c:pt idx="79">
                  <c:v>27.352</c:v>
                </c:pt>
                <c:pt idx="80">
                  <c:v>27.352</c:v>
                </c:pt>
                <c:pt idx="81">
                  <c:v>27.352</c:v>
                </c:pt>
                <c:pt idx="82">
                  <c:v>27.352</c:v>
                </c:pt>
                <c:pt idx="83">
                  <c:v>27.352</c:v>
                </c:pt>
                <c:pt idx="84">
                  <c:v>27.352</c:v>
                </c:pt>
                <c:pt idx="85">
                  <c:v>27.352</c:v>
                </c:pt>
                <c:pt idx="86">
                  <c:v>31.077</c:v>
                </c:pt>
                <c:pt idx="87">
                  <c:v>34.802</c:v>
                </c:pt>
                <c:pt idx="88">
                  <c:v>38.527</c:v>
                </c:pt>
                <c:pt idx="89">
                  <c:v>42.252</c:v>
                </c:pt>
                <c:pt idx="90">
                  <c:v>45.977</c:v>
                </c:pt>
                <c:pt idx="91">
                  <c:v>49.702</c:v>
                </c:pt>
                <c:pt idx="92">
                  <c:v>49.702</c:v>
                </c:pt>
                <c:pt idx="93">
                  <c:v>49.702</c:v>
                </c:pt>
                <c:pt idx="94">
                  <c:v>49.702</c:v>
                </c:pt>
                <c:pt idx="95">
                  <c:v>49.702</c:v>
                </c:pt>
                <c:pt idx="96">
                  <c:v>49.702</c:v>
                </c:pt>
                <c:pt idx="97">
                  <c:v>49.702</c:v>
                </c:pt>
                <c:pt idx="98">
                  <c:v>49.702</c:v>
                </c:pt>
                <c:pt idx="99">
                  <c:v>49.702</c:v>
                </c:pt>
                <c:pt idx="100">
                  <c:v>49.702</c:v>
                </c:pt>
                <c:pt idx="101">
                  <c:v>49.702</c:v>
                </c:pt>
                <c:pt idx="102">
                  <c:v>49.702</c:v>
                </c:pt>
                <c:pt idx="103">
                  <c:v>49.702</c:v>
                </c:pt>
                <c:pt idx="104">
                  <c:v>49.702</c:v>
                </c:pt>
                <c:pt idx="105">
                  <c:v>45.977</c:v>
                </c:pt>
                <c:pt idx="106">
                  <c:v>42.252</c:v>
                </c:pt>
                <c:pt idx="107">
                  <c:v>38.527</c:v>
                </c:pt>
                <c:pt idx="108">
                  <c:v>34.802</c:v>
                </c:pt>
                <c:pt idx="109">
                  <c:v>31.077</c:v>
                </c:pt>
                <c:pt idx="110">
                  <c:v>27.352</c:v>
                </c:pt>
                <c:pt idx="111">
                  <c:v>27.352</c:v>
                </c:pt>
                <c:pt idx="112">
                  <c:v>27.352</c:v>
                </c:pt>
                <c:pt idx="113">
                  <c:v>27.352</c:v>
                </c:pt>
                <c:pt idx="114">
                  <c:v>27.352</c:v>
                </c:pt>
                <c:pt idx="115">
                  <c:v>27.352</c:v>
                </c:pt>
                <c:pt idx="116">
                  <c:v>27.352</c:v>
                </c:pt>
                <c:pt idx="117">
                  <c:v>27.352</c:v>
                </c:pt>
                <c:pt idx="118">
                  <c:v>27.352</c:v>
                </c:pt>
                <c:pt idx="119">
                  <c:v>27.352</c:v>
                </c:pt>
                <c:pt idx="120">
                  <c:v>27.352</c:v>
                </c:pt>
                <c:pt idx="121">
                  <c:v>27.352</c:v>
                </c:pt>
                <c:pt idx="122">
                  <c:v>27.352</c:v>
                </c:pt>
                <c:pt idx="123">
                  <c:v>27.352</c:v>
                </c:pt>
                <c:pt idx="124">
                  <c:v>32.352</c:v>
                </c:pt>
                <c:pt idx="125">
                  <c:v>37.352</c:v>
                </c:pt>
                <c:pt idx="126">
                  <c:v>42.352</c:v>
                </c:pt>
                <c:pt idx="127">
                  <c:v>47.352</c:v>
                </c:pt>
                <c:pt idx="128">
                  <c:v>52.352</c:v>
                </c:pt>
                <c:pt idx="129">
                  <c:v>52.352</c:v>
                </c:pt>
                <c:pt idx="130">
                  <c:v>52.352</c:v>
                </c:pt>
                <c:pt idx="131">
                  <c:v>52.352</c:v>
                </c:pt>
                <c:pt idx="132">
                  <c:v>52.352</c:v>
                </c:pt>
                <c:pt idx="133">
                  <c:v>52.352</c:v>
                </c:pt>
                <c:pt idx="134">
                  <c:v>52.352</c:v>
                </c:pt>
                <c:pt idx="135">
                  <c:v>52.352</c:v>
                </c:pt>
                <c:pt idx="136">
                  <c:v>52.352</c:v>
                </c:pt>
                <c:pt idx="137">
                  <c:v>52.352</c:v>
                </c:pt>
                <c:pt idx="138">
                  <c:v>52.352</c:v>
                </c:pt>
                <c:pt idx="139">
                  <c:v>52.352</c:v>
                </c:pt>
                <c:pt idx="140">
                  <c:v>52.352</c:v>
                </c:pt>
                <c:pt idx="141">
                  <c:v>52.352</c:v>
                </c:pt>
                <c:pt idx="142">
                  <c:v>47.352</c:v>
                </c:pt>
                <c:pt idx="143">
                  <c:v>42.352</c:v>
                </c:pt>
                <c:pt idx="144">
                  <c:v>37.352</c:v>
                </c:pt>
                <c:pt idx="145">
                  <c:v>32.352</c:v>
                </c:pt>
                <c:pt idx="146">
                  <c:v>27.352</c:v>
                </c:pt>
                <c:pt idx="147">
                  <c:v>27.352</c:v>
                </c:pt>
                <c:pt idx="148">
                  <c:v>27.352</c:v>
                </c:pt>
                <c:pt idx="149">
                  <c:v>27.352</c:v>
                </c:pt>
                <c:pt idx="150">
                  <c:v>27.352</c:v>
                </c:pt>
                <c:pt idx="151">
                  <c:v>27.352</c:v>
                </c:pt>
                <c:pt idx="152">
                  <c:v>27.352</c:v>
                </c:pt>
                <c:pt idx="153">
                  <c:v>27.352</c:v>
                </c:pt>
                <c:pt idx="154">
                  <c:v>27.352</c:v>
                </c:pt>
                <c:pt idx="155">
                  <c:v>27.352</c:v>
                </c:pt>
                <c:pt idx="156">
                  <c:v>27.352</c:v>
                </c:pt>
                <c:pt idx="157">
                  <c:v>27.352</c:v>
                </c:pt>
                <c:pt idx="158">
                  <c:v>27.352</c:v>
                </c:pt>
                <c:pt idx="159">
                  <c:v>25.1168</c:v>
                </c:pt>
                <c:pt idx="160">
                  <c:v>22.8816</c:v>
                </c:pt>
                <c:pt idx="161">
                  <c:v>20.6464</c:v>
                </c:pt>
                <c:pt idx="162">
                  <c:v>18.4112</c:v>
                </c:pt>
                <c:pt idx="163">
                  <c:v>16.176</c:v>
                </c:pt>
                <c:pt idx="164">
                  <c:v>13.9408</c:v>
                </c:pt>
                <c:pt idx="165">
                  <c:v>11.7056</c:v>
                </c:pt>
                <c:pt idx="166">
                  <c:v>9.47039999999999</c:v>
                </c:pt>
                <c:pt idx="167">
                  <c:v>7.23519999999999</c:v>
                </c:pt>
                <c:pt idx="168">
                  <c:v>4.99999999999999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'Extra Long Time Gap '!$J$1</c:f>
              <c:strCache>
                <c:ptCount val="1"/>
                <c:pt idx="0">
                  <c:v>Simulated Dist [m]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'Extra Long Time Gap '!$J$2:$J$200</c:f>
              <c:numCache>
                <c:formatCode>General</c:formatCode>
                <c:ptCount val="1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5.46194133333333</c:v>
                </c:pt>
                <c:pt idx="12">
                  <c:v>6.79396158577778</c:v>
                </c:pt>
                <c:pt idx="13">
                  <c:v>8.85443965094874</c:v>
                </c:pt>
                <c:pt idx="14">
                  <c:v>11.4312571481196</c:v>
                </c:pt>
                <c:pt idx="15">
                  <c:v>14.2991743472815</c:v>
                </c:pt>
                <c:pt idx="16">
                  <c:v>17.2603958684461</c:v>
                </c:pt>
                <c:pt idx="17">
                  <c:v>20.1673432237966</c:v>
                </c:pt>
                <c:pt idx="18">
                  <c:v>22.9298381415096</c:v>
                </c:pt>
                <c:pt idx="19">
                  <c:v>25.5106819320361</c:v>
                </c:pt>
                <c:pt idx="20">
                  <c:v>27.9141688550214</c:v>
                </c:pt>
                <c:pt idx="21">
                  <c:v>29.7097704347299</c:v>
                </c:pt>
                <c:pt idx="22">
                  <c:v>30.5338834502091</c:v>
                </c:pt>
                <c:pt idx="23">
                  <c:v>30.5742926139277</c:v>
                </c:pt>
                <c:pt idx="24">
                  <c:v>30.0829446551036</c:v>
                </c:pt>
                <c:pt idx="25">
                  <c:v>29.3142536830796</c:v>
                </c:pt>
                <c:pt idx="26">
                  <c:v>28.4833550968186</c:v>
                </c:pt>
                <c:pt idx="27">
                  <c:v>27.7444459354276</c:v>
                </c:pt>
                <c:pt idx="28">
                  <c:v>27.1860724047598</c:v>
                </c:pt>
                <c:pt idx="29">
                  <c:v>26.8385339626398</c:v>
                </c:pt>
                <c:pt idx="30">
                  <c:v>26.6882169558875</c:v>
                </c:pt>
                <c:pt idx="31">
                  <c:v>26.6942664740148</c:v>
                </c:pt>
                <c:pt idx="32">
                  <c:v>26.8041430116781</c:v>
                </c:pt>
                <c:pt idx="33">
                  <c:v>26.9659288110421</c:v>
                </c:pt>
                <c:pt idx="34">
                  <c:v>27.1364758136392</c:v>
                </c:pt>
                <c:pt idx="35">
                  <c:v>27.2854556515855</c:v>
                </c:pt>
                <c:pt idx="36">
                  <c:v>27.8579528292517</c:v>
                </c:pt>
                <c:pt idx="37">
                  <c:v>29.256989104688</c:v>
                </c:pt>
                <c:pt idx="38">
                  <c:v>31.3445197035594</c:v>
                </c:pt>
                <c:pt idx="39">
                  <c:v>33.9172528637415</c:v>
                </c:pt>
                <c:pt idx="40">
                  <c:v>36.7608742276882</c:v>
                </c:pt>
                <c:pt idx="41">
                  <c:v>39.6881626483142</c:v>
                </c:pt>
                <c:pt idx="42">
                  <c:v>42.5601772525872</c:v>
                </c:pt>
                <c:pt idx="43">
                  <c:v>45.2926897227238</c:v>
                </c:pt>
                <c:pt idx="44">
                  <c:v>47.8516927117637</c:v>
                </c:pt>
                <c:pt idx="45">
                  <c:v>50.2423094876809</c:v>
                </c:pt>
                <c:pt idx="46">
                  <c:v>52.033123915922</c:v>
                </c:pt>
                <c:pt idx="47">
                  <c:v>52.8586373826882</c:v>
                </c:pt>
                <c:pt idx="48">
                  <c:v>52.9043687495106</c:v>
                </c:pt>
                <c:pt idx="49">
                  <c:v>52.420115155664</c:v>
                </c:pt>
                <c:pt idx="50">
                  <c:v>51.658564886388</c:v>
                </c:pt>
                <c:pt idx="51">
                  <c:v>50.8336891997477</c:v>
                </c:pt>
                <c:pt idx="52">
                  <c:v>50.0990847438534</c:v>
                </c:pt>
                <c:pt idx="53">
                  <c:v>49.543171767514</c:v>
                </c:pt>
                <c:pt idx="54">
                  <c:v>49.1964620127763</c:v>
                </c:pt>
                <c:pt idx="55">
                  <c:v>49.0457466533232</c:v>
                </c:pt>
                <c:pt idx="56">
                  <c:v>49.0506395197417</c:v>
                </c:pt>
                <c:pt idx="57">
                  <c:v>49.1590372692585</c:v>
                </c:pt>
                <c:pt idx="58">
                  <c:v>49.3193662980584</c:v>
                </c:pt>
                <c:pt idx="59">
                  <c:v>49.488705664962</c:v>
                </c:pt>
                <c:pt idx="60">
                  <c:v>49.6368391381062</c:v>
                </c:pt>
                <c:pt idx="61">
                  <c:v>49.284985586776</c:v>
                </c:pt>
                <c:pt idx="62">
                  <c:v>48.0198421477454</c:v>
                </c:pt>
                <c:pt idx="63">
                  <c:v>45.9865202083934</c:v>
                </c:pt>
                <c:pt idx="64">
                  <c:v>43.405868030624</c:v>
                </c:pt>
                <c:pt idx="65">
                  <c:v>40.5139623812186</c:v>
                </c:pt>
                <c:pt idx="66">
                  <c:v>37.5191043806387</c:v>
                </c:pt>
                <c:pt idx="67">
                  <c:v>34.5774659581207</c:v>
                </c:pt>
                <c:pt idx="68">
                  <c:v>31.7851545723444</c:v>
                </c:pt>
                <c:pt idx="69">
                  <c:v>29.1825585168158</c:v>
                </c:pt>
                <c:pt idx="70">
                  <c:v>26.7662238346716</c:v>
                </c:pt>
                <c:pt idx="71">
                  <c:v>24.9658095551939</c:v>
                </c:pt>
                <c:pt idx="72">
                  <c:v>24.1430434252239</c:v>
                </c:pt>
                <c:pt idx="73">
                  <c:v>24.1078927390347</c:v>
                </c:pt>
                <c:pt idx="74">
                  <c:v>24.6062747806774</c:v>
                </c:pt>
                <c:pt idx="75">
                  <c:v>25.3820581798738</c:v>
                </c:pt>
                <c:pt idx="76">
                  <c:v>26.2189472042621</c:v>
                </c:pt>
                <c:pt idx="77">
                  <c:v>26.9621444312998</c:v>
                </c:pt>
                <c:pt idx="78">
                  <c:v>27.5229751576296</c:v>
                </c:pt>
                <c:pt idx="79">
                  <c:v>27.8713483701823</c:v>
                </c:pt>
                <c:pt idx="80">
                  <c:v>28.0212784566371</c:v>
                </c:pt>
                <c:pt idx="81">
                  <c:v>28.0140854651132</c:v>
                </c:pt>
                <c:pt idx="82">
                  <c:v>27.902742367518</c:v>
                </c:pt>
                <c:pt idx="83">
                  <c:v>27.7395094216447</c:v>
                </c:pt>
                <c:pt idx="84">
                  <c:v>27.5677611136392</c:v>
                </c:pt>
                <c:pt idx="85">
                  <c:v>27.417938015146</c:v>
                </c:pt>
                <c:pt idx="86">
                  <c:v>28.0767478844746</c:v>
                </c:pt>
                <c:pt idx="87">
                  <c:v>30.2294263505936</c:v>
                </c:pt>
                <c:pt idx="88">
                  <c:v>33.6362978119237</c:v>
                </c:pt>
                <c:pt idx="89">
                  <c:v>37.9349406367101</c:v>
                </c:pt>
                <c:pt idx="90">
                  <c:v>42.7389756897273</c:v>
                </c:pt>
                <c:pt idx="91">
                  <c:v>47.7081310942913</c:v>
                </c:pt>
                <c:pt idx="92">
                  <c:v>51.8179497138242</c:v>
                </c:pt>
                <c:pt idx="93">
                  <c:v>54.2320086835358</c:v>
                </c:pt>
                <c:pt idx="94">
                  <c:v>55.1211365870404</c:v>
                </c:pt>
                <c:pt idx="95">
                  <c:v>54.8451710021409</c:v>
                </c:pt>
                <c:pt idx="96">
                  <c:v>53.8327336666728</c:v>
                </c:pt>
                <c:pt idx="97">
                  <c:v>52.4895865159076</c:v>
                </c:pt>
                <c:pt idx="98">
                  <c:v>51.1408877505243</c:v>
                </c:pt>
                <c:pt idx="99">
                  <c:v>50.005458815463</c:v>
                </c:pt>
                <c:pt idx="100">
                  <c:v>49.1956459597875</c:v>
                </c:pt>
                <c:pt idx="101">
                  <c:v>48.7343581269868</c:v>
                </c:pt>
                <c:pt idx="102">
                  <c:v>48.5808755963944</c:v>
                </c:pt>
                <c:pt idx="103">
                  <c:v>48.6583846532708</c:v>
                </c:pt>
                <c:pt idx="104">
                  <c:v>48.8782390591755</c:v>
                </c:pt>
                <c:pt idx="105">
                  <c:v>48.3882910168122</c:v>
                </c:pt>
                <c:pt idx="106">
                  <c:v>46.4435447963813</c:v>
                </c:pt>
                <c:pt idx="107">
                  <c:v>43.2373374556257</c:v>
                </c:pt>
                <c:pt idx="108">
                  <c:v>39.1022028650498</c:v>
                </c:pt>
                <c:pt idx="109">
                  <c:v>34.4104666873891</c:v>
                </c:pt>
                <c:pt idx="110">
                  <c:v>29.5012208666126</c:v>
                </c:pt>
                <c:pt idx="111">
                  <c:v>25.4065605770818</c:v>
                </c:pt>
                <c:pt idx="112">
                  <c:v>22.9752278457413</c:v>
                </c:pt>
                <c:pt idx="113">
                  <c:v>22.0498686283993</c:v>
                </c:pt>
                <c:pt idx="114">
                  <c:v>22.2827263425183</c:v>
                </c:pt>
                <c:pt idx="115">
                  <c:v>23.2543825633627</c:v>
                </c:pt>
                <c:pt idx="116">
                  <c:v>24.5648692714053</c:v>
                </c:pt>
                <c:pt idx="117">
                  <c:v>25.891604951174</c:v>
                </c:pt>
                <c:pt idx="118">
                  <c:v>27.0157740235147</c:v>
                </c:pt>
                <c:pt idx="119">
                  <c:v>27.8233121411047</c:v>
                </c:pt>
                <c:pt idx="120">
                  <c:v>28.2887132461028</c:v>
                </c:pt>
                <c:pt idx="121">
                  <c:v>28.4499286555465</c:v>
                </c:pt>
                <c:pt idx="122">
                  <c:v>28.3813342840501</c:v>
                </c:pt>
                <c:pt idx="123">
                  <c:v>28.1697523626979</c:v>
                </c:pt>
                <c:pt idx="124">
                  <c:v>28.9297115214997</c:v>
                </c:pt>
                <c:pt idx="125">
                  <c:v>31.6385501173622</c:v>
                </c:pt>
                <c:pt idx="126">
                  <c:v>36.0221934329513</c:v>
                </c:pt>
                <c:pt idx="127">
                  <c:v>41.6274930316981</c:v>
                </c:pt>
                <c:pt idx="128">
                  <c:v>47.9541878394473</c:v>
                </c:pt>
                <c:pt idx="129">
                  <c:v>53.5175939604276</c:v>
                </c:pt>
                <c:pt idx="130">
                  <c:v>57.0587812567669</c:v>
                </c:pt>
                <c:pt idx="131">
                  <c:v>58.6748948691804</c:v>
                </c:pt>
                <c:pt idx="132">
                  <c:v>58.7407665957921</c:v>
                </c:pt>
                <c:pt idx="133">
                  <c:v>57.7570337318161</c:v>
                </c:pt>
                <c:pt idx="134">
                  <c:v>56.2281042341301</c:v>
                </c:pt>
                <c:pt idx="135">
                  <c:v>54.5797596051232</c:v>
                </c:pt>
                <c:pt idx="136">
                  <c:v>53.1165806373024</c:v>
                </c:pt>
                <c:pt idx="137">
                  <c:v>52.0129130487792</c:v>
                </c:pt>
                <c:pt idx="138">
                  <c:v>51.3277658278232</c:v>
                </c:pt>
                <c:pt idx="139">
                  <c:v>51.0333528327683</c:v>
                </c:pt>
                <c:pt idx="140">
                  <c:v>51.048186378544</c:v>
                </c:pt>
                <c:pt idx="141">
                  <c:v>51.2678972754316</c:v>
                </c:pt>
                <c:pt idx="142">
                  <c:v>50.5562391504539</c:v>
                </c:pt>
                <c:pt idx="143">
                  <c:v>47.9148546949291</c:v>
                </c:pt>
                <c:pt idx="144">
                  <c:v>43.6006497355977</c:v>
                </c:pt>
                <c:pt idx="145">
                  <c:v>38.0549464987275</c:v>
                </c:pt>
                <c:pt idx="146">
                  <c:v>31.7716633370655</c:v>
                </c:pt>
                <c:pt idx="147">
                  <c:v>26.233837054486</c:v>
                </c:pt>
                <c:pt idx="148">
                  <c:v>22.7021628109953</c:v>
                </c:pt>
                <c:pt idx="149">
                  <c:v>21.0832633902114</c:v>
                </c:pt>
                <c:pt idx="150">
                  <c:v>21.0068110907453</c:v>
                </c:pt>
                <c:pt idx="151">
                  <c:v>21.9764414541032</c:v>
                </c:pt>
                <c:pt idx="152">
                  <c:v>23.4911769125738</c:v>
                </c:pt>
                <c:pt idx="153">
                  <c:v>25.1275498143614</c:v>
                </c:pt>
                <c:pt idx="154">
                  <c:v>26.5821726157378</c:v>
                </c:pt>
                <c:pt idx="155">
                  <c:v>27.6809498146617</c:v>
                </c:pt>
                <c:pt idx="156">
                  <c:v>28.3644503404705</c:v>
                </c:pt>
                <c:pt idx="157">
                  <c:v>28.6596555714348</c:v>
                </c:pt>
                <c:pt idx="158">
                  <c:v>28.6471214254057</c:v>
                </c:pt>
                <c:pt idx="159">
                  <c:v>27.9684087817575</c:v>
                </c:pt>
                <c:pt idx="160">
                  <c:v>26.3176090281495</c:v>
                </c:pt>
                <c:pt idx="161">
                  <c:v>23.9212713852023</c:v>
                </c:pt>
                <c:pt idx="162">
                  <c:v>21.0511829376435</c:v>
                </c:pt>
                <c:pt idx="163">
                  <c:v>17.9657226699342</c:v>
                </c:pt>
                <c:pt idx="164">
                  <c:v>14.8727128520577</c:v>
                </c:pt>
                <c:pt idx="165">
                  <c:v>11.9126552263679</c:v>
                </c:pt>
                <c:pt idx="166">
                  <c:v>9.1583266523744</c:v>
                </c:pt>
                <c:pt idx="167">
                  <c:v>6.62540428004468</c:v>
                </c:pt>
                <c:pt idx="168">
                  <c:v>4.28877348588935</c:v>
                </c:pt>
                <c:pt idx="169">
                  <c:v>2.56196209056566</c:v>
                </c:pt>
                <c:pt idx="170">
                  <c:v>1.79686793015117</c:v>
                </c:pt>
                <c:pt idx="171">
                  <c:v>1.79943318143114</c:v>
                </c:pt>
                <c:pt idx="172">
                  <c:v>2.3160881090987</c:v>
                </c:pt>
                <c:pt idx="173">
                  <c:v>3.09417332484486</c:v>
                </c:pt>
                <c:pt idx="174">
                  <c:v>3.92228966340099</c:v>
                </c:pt>
                <c:pt idx="175">
                  <c:v>4.65070325468605</c:v>
                </c:pt>
                <c:pt idx="176">
                  <c:v>5.19510019578001</c:v>
                </c:pt>
                <c:pt idx="177">
                  <c:v>5.52857766969009</c:v>
                </c:pt>
                <c:pt idx="178">
                  <c:v>5.66703940934713</c:v>
                </c:pt>
                <c:pt idx="179">
                  <c:v>5.6525203147778</c:v>
                </c:pt>
                <c:pt idx="180">
                  <c:v>5.53780602652887</c:v>
                </c:pt>
                <c:pt idx="181">
                  <c:v>5.3743949472921</c:v>
                </c:pt>
                <c:pt idx="182">
                  <c:v>5.20463722355476</c:v>
                </c:pt>
                <c:pt idx="183">
                  <c:v>5.0579379691892</c:v>
                </c:pt>
                <c:pt idx="184">
                  <c:v>4.95029529344265</c:v>
                </c:pt>
                <c:pt idx="185">
                  <c:v>4.88614771510834</c:v>
                </c:pt>
                <c:pt idx="186">
                  <c:v>4.86147215022061</c:v>
                </c:pt>
                <c:pt idx="187">
                  <c:v>4.86722163011814</c:v>
                </c:pt>
                <c:pt idx="188">
                  <c:v>4.89243762371052</c:v>
                </c:pt>
                <c:pt idx="189">
                  <c:v>4.92664353417899</c:v>
                </c:pt>
                <c:pt idx="190">
                  <c:v>4.96137133578509</c:v>
                </c:pt>
                <c:pt idx="191">
                  <c:v>4.99086160301522</c:v>
                </c:pt>
                <c:pt idx="192">
                  <c:v>5.01209690198925</c:v>
                </c:pt>
                <c:pt idx="193">
                  <c:v>5.02438301413713</c:v>
                </c:pt>
                <c:pt idx="194">
                  <c:v>5.0286944834711</c:v>
                </c:pt>
                <c:pt idx="195">
                  <c:v>5.02696750246628</c:v>
                </c:pt>
                <c:pt idx="196">
                  <c:v>5.02147126991167</c:v>
                </c:pt>
                <c:pt idx="197">
                  <c:v>5.01433308395599</c:v>
                </c:pt>
                <c:pt idx="198">
                  <c:v>5.00724287915</c:v>
                </c:pt>
              </c:numCache>
            </c:numRef>
          </c:yVal>
          <c:smooth val="0"/>
        </c:ser>
        <c:axId val="24328156"/>
        <c:axId val="20510525"/>
      </c:scatterChart>
      <c:valAx>
        <c:axId val="24328156"/>
        <c:scaling>
          <c:orientation val="minMax"/>
          <c:max val="22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0510525"/>
        <c:crosses val="autoZero"/>
        <c:crossBetween val="midCat"/>
      </c:valAx>
      <c:valAx>
        <c:axId val="205105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4328156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09710370293036"/>
          <c:y val="0.885941310958492"/>
          <c:w val="0.622402756180251"/>
          <c:h val="0.07116593292771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5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'Long Time Gap_xerrgain_0.1'!$C$1</c:f>
              <c:strCache>
                <c:ptCount val="1"/>
                <c:pt idx="0">
                  <c:v>Lead Speed [mph]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Gap_xerrgain_0.1'!$C$2:$C$170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2.00005696</c:v>
                </c:pt>
                <c:pt idx="12">
                  <c:v>4.00011392</c:v>
                </c:pt>
                <c:pt idx="13">
                  <c:v>6.00017088</c:v>
                </c:pt>
                <c:pt idx="14">
                  <c:v>8.00022784</c:v>
                </c:pt>
                <c:pt idx="15">
                  <c:v>10.0002848</c:v>
                </c:pt>
                <c:pt idx="16">
                  <c:v>12.00034176</c:v>
                </c:pt>
                <c:pt idx="17">
                  <c:v>14.00039872</c:v>
                </c:pt>
                <c:pt idx="18">
                  <c:v>16.00045568</c:v>
                </c:pt>
                <c:pt idx="19">
                  <c:v>18.00051264</c:v>
                </c:pt>
                <c:pt idx="20">
                  <c:v>20.0005696</c:v>
                </c:pt>
                <c:pt idx="21">
                  <c:v>20.0005696</c:v>
                </c:pt>
                <c:pt idx="22">
                  <c:v>20.0005696</c:v>
                </c:pt>
                <c:pt idx="23">
                  <c:v>20.0005696</c:v>
                </c:pt>
                <c:pt idx="24">
                  <c:v>20.0005696</c:v>
                </c:pt>
                <c:pt idx="25">
                  <c:v>20.0005696</c:v>
                </c:pt>
                <c:pt idx="26">
                  <c:v>20.0005696</c:v>
                </c:pt>
                <c:pt idx="27">
                  <c:v>20.0005696</c:v>
                </c:pt>
                <c:pt idx="28">
                  <c:v>20.0005696</c:v>
                </c:pt>
                <c:pt idx="29">
                  <c:v>20.0005696</c:v>
                </c:pt>
                <c:pt idx="30">
                  <c:v>20.0005696</c:v>
                </c:pt>
                <c:pt idx="31">
                  <c:v>20.0005696</c:v>
                </c:pt>
                <c:pt idx="32">
                  <c:v>20.0005696</c:v>
                </c:pt>
                <c:pt idx="33">
                  <c:v>20.0005696</c:v>
                </c:pt>
                <c:pt idx="34">
                  <c:v>20.0005696</c:v>
                </c:pt>
                <c:pt idx="35">
                  <c:v>20.0005696</c:v>
                </c:pt>
                <c:pt idx="36">
                  <c:v>22.00062656</c:v>
                </c:pt>
                <c:pt idx="37">
                  <c:v>24.00068352</c:v>
                </c:pt>
                <c:pt idx="38">
                  <c:v>26.00074048</c:v>
                </c:pt>
                <c:pt idx="39">
                  <c:v>28.00079744</c:v>
                </c:pt>
                <c:pt idx="40">
                  <c:v>30.0008544</c:v>
                </c:pt>
                <c:pt idx="41">
                  <c:v>32.00091136</c:v>
                </c:pt>
                <c:pt idx="42">
                  <c:v>34.00096832</c:v>
                </c:pt>
                <c:pt idx="43">
                  <c:v>36.00102528</c:v>
                </c:pt>
                <c:pt idx="44">
                  <c:v>38.00108224</c:v>
                </c:pt>
                <c:pt idx="45">
                  <c:v>40.0011392</c:v>
                </c:pt>
                <c:pt idx="46">
                  <c:v>40.0011392</c:v>
                </c:pt>
                <c:pt idx="47">
                  <c:v>40.0011392</c:v>
                </c:pt>
                <c:pt idx="48">
                  <c:v>40.0011392</c:v>
                </c:pt>
                <c:pt idx="49">
                  <c:v>40.0011392</c:v>
                </c:pt>
                <c:pt idx="50">
                  <c:v>40.0011392</c:v>
                </c:pt>
                <c:pt idx="51">
                  <c:v>40.0011392</c:v>
                </c:pt>
                <c:pt idx="52">
                  <c:v>40.0011392</c:v>
                </c:pt>
                <c:pt idx="53">
                  <c:v>40.0011392</c:v>
                </c:pt>
                <c:pt idx="54">
                  <c:v>40.0011392</c:v>
                </c:pt>
                <c:pt idx="55">
                  <c:v>40.0011392</c:v>
                </c:pt>
                <c:pt idx="56">
                  <c:v>40.0011392</c:v>
                </c:pt>
                <c:pt idx="57">
                  <c:v>40.0011392</c:v>
                </c:pt>
                <c:pt idx="58">
                  <c:v>40.0011392</c:v>
                </c:pt>
                <c:pt idx="59">
                  <c:v>40.0011392</c:v>
                </c:pt>
                <c:pt idx="60">
                  <c:v>40.0011392</c:v>
                </c:pt>
                <c:pt idx="61">
                  <c:v>38.00108224</c:v>
                </c:pt>
                <c:pt idx="62">
                  <c:v>36.00102528</c:v>
                </c:pt>
                <c:pt idx="63">
                  <c:v>34.00096832</c:v>
                </c:pt>
                <c:pt idx="64">
                  <c:v>32.00091136</c:v>
                </c:pt>
                <c:pt idx="65">
                  <c:v>30.0008544</c:v>
                </c:pt>
                <c:pt idx="66">
                  <c:v>28.00079744</c:v>
                </c:pt>
                <c:pt idx="67">
                  <c:v>26.00074048</c:v>
                </c:pt>
                <c:pt idx="68">
                  <c:v>24.00068352</c:v>
                </c:pt>
                <c:pt idx="69">
                  <c:v>22.00062656</c:v>
                </c:pt>
                <c:pt idx="70">
                  <c:v>20.0005696</c:v>
                </c:pt>
                <c:pt idx="71">
                  <c:v>20.0005696</c:v>
                </c:pt>
                <c:pt idx="72">
                  <c:v>20.0005696</c:v>
                </c:pt>
                <c:pt idx="73">
                  <c:v>20.0005696</c:v>
                </c:pt>
                <c:pt idx="74">
                  <c:v>20.0005696</c:v>
                </c:pt>
                <c:pt idx="75">
                  <c:v>20.0005696</c:v>
                </c:pt>
                <c:pt idx="76">
                  <c:v>20.0005696</c:v>
                </c:pt>
                <c:pt idx="77">
                  <c:v>20.0005696</c:v>
                </c:pt>
                <c:pt idx="78">
                  <c:v>20.0005696</c:v>
                </c:pt>
                <c:pt idx="79">
                  <c:v>20.0005696</c:v>
                </c:pt>
                <c:pt idx="80">
                  <c:v>20.0005696</c:v>
                </c:pt>
                <c:pt idx="81">
                  <c:v>20.0005696</c:v>
                </c:pt>
                <c:pt idx="82">
                  <c:v>20.0005696</c:v>
                </c:pt>
                <c:pt idx="83">
                  <c:v>20.0005696</c:v>
                </c:pt>
                <c:pt idx="84">
                  <c:v>20.0005696</c:v>
                </c:pt>
                <c:pt idx="85">
                  <c:v>20.0005696</c:v>
                </c:pt>
                <c:pt idx="86">
                  <c:v>23.3336996</c:v>
                </c:pt>
                <c:pt idx="87">
                  <c:v>26.6668296</c:v>
                </c:pt>
                <c:pt idx="88">
                  <c:v>29.9999596</c:v>
                </c:pt>
                <c:pt idx="89">
                  <c:v>33.3330896</c:v>
                </c:pt>
                <c:pt idx="90">
                  <c:v>36.6662196</c:v>
                </c:pt>
                <c:pt idx="91">
                  <c:v>39.9993496</c:v>
                </c:pt>
                <c:pt idx="92">
                  <c:v>39.9993496</c:v>
                </c:pt>
                <c:pt idx="93">
                  <c:v>39.9993496</c:v>
                </c:pt>
                <c:pt idx="94">
                  <c:v>39.9993496</c:v>
                </c:pt>
                <c:pt idx="95">
                  <c:v>39.9993496</c:v>
                </c:pt>
                <c:pt idx="96">
                  <c:v>39.9993496</c:v>
                </c:pt>
                <c:pt idx="97">
                  <c:v>39.9993496</c:v>
                </c:pt>
                <c:pt idx="98">
                  <c:v>39.9993496</c:v>
                </c:pt>
                <c:pt idx="99">
                  <c:v>39.9993496</c:v>
                </c:pt>
                <c:pt idx="100">
                  <c:v>39.9993496</c:v>
                </c:pt>
                <c:pt idx="101">
                  <c:v>39.9993496</c:v>
                </c:pt>
                <c:pt idx="102">
                  <c:v>39.9993496</c:v>
                </c:pt>
                <c:pt idx="103">
                  <c:v>39.9993496</c:v>
                </c:pt>
                <c:pt idx="104">
                  <c:v>39.9993496</c:v>
                </c:pt>
                <c:pt idx="105">
                  <c:v>36.6662196</c:v>
                </c:pt>
                <c:pt idx="106">
                  <c:v>33.3330896</c:v>
                </c:pt>
                <c:pt idx="107">
                  <c:v>29.9999596</c:v>
                </c:pt>
                <c:pt idx="108">
                  <c:v>26.6668296</c:v>
                </c:pt>
                <c:pt idx="109">
                  <c:v>23.3336996</c:v>
                </c:pt>
                <c:pt idx="110">
                  <c:v>20.0005696</c:v>
                </c:pt>
                <c:pt idx="111">
                  <c:v>20.0005696</c:v>
                </c:pt>
                <c:pt idx="112">
                  <c:v>20.0005696</c:v>
                </c:pt>
                <c:pt idx="113">
                  <c:v>20.0005696</c:v>
                </c:pt>
                <c:pt idx="114">
                  <c:v>20.0005696</c:v>
                </c:pt>
                <c:pt idx="115">
                  <c:v>20.0005696</c:v>
                </c:pt>
                <c:pt idx="116">
                  <c:v>20.0005696</c:v>
                </c:pt>
                <c:pt idx="117">
                  <c:v>20.0005696</c:v>
                </c:pt>
                <c:pt idx="118">
                  <c:v>20.0005696</c:v>
                </c:pt>
                <c:pt idx="119">
                  <c:v>20.0005696</c:v>
                </c:pt>
                <c:pt idx="120">
                  <c:v>20.0005696</c:v>
                </c:pt>
                <c:pt idx="121">
                  <c:v>20.0005696</c:v>
                </c:pt>
                <c:pt idx="122">
                  <c:v>20.0005696</c:v>
                </c:pt>
                <c:pt idx="123">
                  <c:v>20.0005696</c:v>
                </c:pt>
                <c:pt idx="124">
                  <c:v>24.4745696</c:v>
                </c:pt>
                <c:pt idx="125">
                  <c:v>28.9485696</c:v>
                </c:pt>
                <c:pt idx="126">
                  <c:v>33.4225696</c:v>
                </c:pt>
                <c:pt idx="127">
                  <c:v>37.8965696</c:v>
                </c:pt>
                <c:pt idx="128">
                  <c:v>42.3705696</c:v>
                </c:pt>
                <c:pt idx="129">
                  <c:v>42.3705696</c:v>
                </c:pt>
                <c:pt idx="130">
                  <c:v>42.3705696</c:v>
                </c:pt>
                <c:pt idx="131">
                  <c:v>42.3705696</c:v>
                </c:pt>
                <c:pt idx="132">
                  <c:v>42.3705696</c:v>
                </c:pt>
                <c:pt idx="133">
                  <c:v>42.3705696</c:v>
                </c:pt>
                <c:pt idx="134">
                  <c:v>42.3705696</c:v>
                </c:pt>
                <c:pt idx="135">
                  <c:v>42.3705696</c:v>
                </c:pt>
                <c:pt idx="136">
                  <c:v>42.3705696</c:v>
                </c:pt>
                <c:pt idx="137">
                  <c:v>42.3705696</c:v>
                </c:pt>
                <c:pt idx="138">
                  <c:v>42.3705696</c:v>
                </c:pt>
                <c:pt idx="139">
                  <c:v>42.3705696</c:v>
                </c:pt>
                <c:pt idx="140">
                  <c:v>42.3705696</c:v>
                </c:pt>
                <c:pt idx="141">
                  <c:v>42.3705696</c:v>
                </c:pt>
                <c:pt idx="142">
                  <c:v>37.8965696</c:v>
                </c:pt>
                <c:pt idx="143">
                  <c:v>33.4225696</c:v>
                </c:pt>
                <c:pt idx="144">
                  <c:v>28.9485696</c:v>
                </c:pt>
                <c:pt idx="145">
                  <c:v>24.4745696</c:v>
                </c:pt>
                <c:pt idx="146">
                  <c:v>20.0005696</c:v>
                </c:pt>
                <c:pt idx="147">
                  <c:v>20.0005696</c:v>
                </c:pt>
                <c:pt idx="148">
                  <c:v>20.0005696</c:v>
                </c:pt>
                <c:pt idx="149">
                  <c:v>20.0005696</c:v>
                </c:pt>
                <c:pt idx="150">
                  <c:v>20.0005696</c:v>
                </c:pt>
                <c:pt idx="151">
                  <c:v>20.0005696</c:v>
                </c:pt>
                <c:pt idx="152">
                  <c:v>20.0005696</c:v>
                </c:pt>
                <c:pt idx="153">
                  <c:v>20.0005696</c:v>
                </c:pt>
                <c:pt idx="154">
                  <c:v>20.0005696</c:v>
                </c:pt>
                <c:pt idx="155">
                  <c:v>20.0005696</c:v>
                </c:pt>
                <c:pt idx="156">
                  <c:v>20.0005696</c:v>
                </c:pt>
                <c:pt idx="157">
                  <c:v>20.0005696</c:v>
                </c:pt>
                <c:pt idx="158">
                  <c:v>20.0005696</c:v>
                </c:pt>
                <c:pt idx="159">
                  <c:v>18.00051264</c:v>
                </c:pt>
                <c:pt idx="160">
                  <c:v>16.00045568</c:v>
                </c:pt>
                <c:pt idx="161">
                  <c:v>14.00039872</c:v>
                </c:pt>
                <c:pt idx="162">
                  <c:v>12.00034176</c:v>
                </c:pt>
                <c:pt idx="163">
                  <c:v>10.0002848</c:v>
                </c:pt>
                <c:pt idx="164">
                  <c:v>8.00022783999999</c:v>
                </c:pt>
                <c:pt idx="165">
                  <c:v>6.00017087999999</c:v>
                </c:pt>
                <c:pt idx="166">
                  <c:v>4.00011391999999</c:v>
                </c:pt>
                <c:pt idx="167">
                  <c:v>2.00005695999999</c:v>
                </c:pt>
                <c:pt idx="168">
                  <c:v>-7.45070671825942E-015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'Long Time Gap_xerrgain_0.1'!$E$1</c:f>
              <c:strCache>
                <c:ptCount val="1"/>
                <c:pt idx="0">
                  <c:v>Simulated Ego Spd [mph]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Gap_xerrgain_0.1'!$E$2:$E$170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0.206672552533333</c:v>
                </c:pt>
                <c:pt idx="12">
                  <c:v>0.823707902977423</c:v>
                </c:pt>
                <c:pt idx="13">
                  <c:v>1.82879437443232</c:v>
                </c:pt>
                <c:pt idx="14">
                  <c:v>3.17532698498201</c:v>
                </c:pt>
                <c:pt idx="15">
                  <c:v>4.80420291972376</c:v>
                </c:pt>
                <c:pt idx="16">
                  <c:v>6.65275357479039</c:v>
                </c:pt>
                <c:pt idx="17">
                  <c:v>8.66102742917773</c:v>
                </c:pt>
                <c:pt idx="18">
                  <c:v>10.775783461392</c:v>
                </c:pt>
                <c:pt idx="19">
                  <c:v>12.9526230852659</c:v>
                </c:pt>
                <c:pt idx="20">
                  <c:v>15.1566994786871</c:v>
                </c:pt>
                <c:pt idx="21">
                  <c:v>17.1557421580262</c:v>
                </c:pt>
                <c:pt idx="22">
                  <c:v>18.7287546105515</c:v>
                </c:pt>
                <c:pt idx="23">
                  <c:v>19.8877157420785</c:v>
                </c:pt>
                <c:pt idx="24">
                  <c:v>20.6744184187593</c:v>
                </c:pt>
                <c:pt idx="25">
                  <c:v>21.1472492537998</c:v>
                </c:pt>
                <c:pt idx="26">
                  <c:v>21.3709668291654</c:v>
                </c:pt>
                <c:pt idx="27">
                  <c:v>21.4093248095835</c:v>
                </c:pt>
                <c:pt idx="28">
                  <c:v>21.3202050052766</c:v>
                </c:pt>
                <c:pt idx="29">
                  <c:v>21.1528310522682</c:v>
                </c:pt>
                <c:pt idx="30">
                  <c:v>20.9466050605595</c:v>
                </c:pt>
                <c:pt idx="31">
                  <c:v>20.7311278938234</c:v>
                </c:pt>
                <c:pt idx="32">
                  <c:v>20.5270118480952</c:v>
                </c:pt>
                <c:pt idx="33">
                  <c:v>20.3471586642469</c:v>
                </c:pt>
                <c:pt idx="34">
                  <c:v>20.1982455212833</c:v>
                </c:pt>
                <c:pt idx="35">
                  <c:v>20.0822294061534</c:v>
                </c:pt>
                <c:pt idx="36">
                  <c:v>20.2044137162544</c:v>
                </c:pt>
                <c:pt idx="37">
                  <c:v>20.7649997866289</c:v>
                </c:pt>
                <c:pt idx="38">
                  <c:v>21.7370494118206</c:v>
                </c:pt>
                <c:pt idx="39">
                  <c:v>23.0689450881248</c:v>
                </c:pt>
                <c:pt idx="40">
                  <c:v>24.6967211907641</c:v>
                </c:pt>
                <c:pt idx="41">
                  <c:v>26.5533431959804</c:v>
                </c:pt>
                <c:pt idx="42">
                  <c:v>28.5751829507921</c:v>
                </c:pt>
                <c:pt idx="43">
                  <c:v>30.7060849658176</c:v>
                </c:pt>
                <c:pt idx="44">
                  <c:v>32.8994851033411</c:v>
                </c:pt>
                <c:pt idx="45">
                  <c:v>35.1190499611541</c:v>
                </c:pt>
                <c:pt idx="46">
                  <c:v>37.1315991686456</c:v>
                </c:pt>
                <c:pt idx="47">
                  <c:v>38.7156873881498</c:v>
                </c:pt>
                <c:pt idx="48">
                  <c:v>39.8831906008448</c:v>
                </c:pt>
                <c:pt idx="49">
                  <c:v>40.6760391905204</c:v>
                </c:pt>
                <c:pt idx="50">
                  <c:v>41.1529073798839</c:v>
                </c:pt>
                <c:pt idx="51">
                  <c:v>41.3789186030325</c:v>
                </c:pt>
                <c:pt idx="52">
                  <c:v>41.4182134503205</c:v>
                </c:pt>
                <c:pt idx="53">
                  <c:v>41.3290439206581</c:v>
                </c:pt>
                <c:pt idx="54">
                  <c:v>41.1609624299359</c:v>
                </c:pt>
                <c:pt idx="55">
                  <c:v>40.9536452837609</c:v>
                </c:pt>
                <c:pt idx="56">
                  <c:v>40.7369085683968</c:v>
                </c:pt>
                <c:pt idx="57">
                  <c:v>40.5315226931467</c:v>
                </c:pt>
                <c:pt idx="58">
                  <c:v>40.3504963091036</c:v>
                </c:pt>
                <c:pt idx="59">
                  <c:v>40.200570439208</c:v>
                </c:pt>
                <c:pt idx="60">
                  <c:v>40.0837318177933</c:v>
                </c:pt>
                <c:pt idx="61">
                  <c:v>39.7919431852877</c:v>
                </c:pt>
                <c:pt idx="62">
                  <c:v>39.1180124991236</c:v>
                </c:pt>
                <c:pt idx="63">
                  <c:v>38.0796014420815</c:v>
                </c:pt>
                <c:pt idx="64">
                  <c:v>36.7182738249769</c:v>
                </c:pt>
                <c:pt idx="65">
                  <c:v>35.0882398616645</c:v>
                </c:pt>
                <c:pt idx="66">
                  <c:v>33.247774107726</c:v>
                </c:pt>
                <c:pt idx="67">
                  <c:v>31.2531267325322</c:v>
                </c:pt>
                <c:pt idx="68">
                  <c:v>29.1546038721617</c:v>
                </c:pt>
                <c:pt idx="69">
                  <c:v>26.9944226944331</c:v>
                </c:pt>
                <c:pt idx="70">
                  <c:v>24.8059319210517</c:v>
                </c:pt>
                <c:pt idx="71">
                  <c:v>22.8204844834722</c:v>
                </c:pt>
                <c:pt idx="72">
                  <c:v>21.2586236154729</c:v>
                </c:pt>
                <c:pt idx="73">
                  <c:v>20.1082655499601</c:v>
                </c:pt>
                <c:pt idx="74">
                  <c:v>19.3277548484786</c:v>
                </c:pt>
                <c:pt idx="75">
                  <c:v>18.8589936635962</c:v>
                </c:pt>
                <c:pt idx="76">
                  <c:v>18.6375901635199</c:v>
                </c:pt>
                <c:pt idx="77">
                  <c:v>18.6001798500678</c:v>
                </c:pt>
                <c:pt idx="78">
                  <c:v>18.6892533899531</c:v>
                </c:pt>
                <c:pt idx="79">
                  <c:v>18.8559180604602</c:v>
                </c:pt>
                <c:pt idx="80">
                  <c:v>19.0610478028482</c:v>
                </c:pt>
                <c:pt idx="81">
                  <c:v>19.2752584940441</c:v>
                </c:pt>
                <c:pt idx="82">
                  <c:v>19.4780971190178</c:v>
                </c:pt>
                <c:pt idx="83">
                  <c:v>19.6567696846684</c:v>
                </c:pt>
                <c:pt idx="84">
                  <c:v>19.804663403683</c:v>
                </c:pt>
                <c:pt idx="85">
                  <c:v>19.9198513451861</c:v>
                </c:pt>
                <c:pt idx="86">
                  <c:v>20.3481306688839</c:v>
                </c:pt>
                <c:pt idx="87">
                  <c:v>21.4324307530353</c:v>
                </c:pt>
                <c:pt idx="88">
                  <c:v>23.1401717590959</c:v>
                </c:pt>
                <c:pt idx="89">
                  <c:v>25.3986693874411</c:v>
                </c:pt>
                <c:pt idx="90">
                  <c:v>28.1142606045527</c:v>
                </c:pt>
                <c:pt idx="91">
                  <c:v>31.1868446991668</c:v>
                </c:pt>
                <c:pt idx="92">
                  <c:v>34.1757397275826</c:v>
                </c:pt>
                <c:pt idx="93">
                  <c:v>36.6556591388829</c:v>
                </c:pt>
                <c:pt idx="94">
                  <c:v>38.5919442834855</c:v>
                </c:pt>
                <c:pt idx="95">
                  <c:v>40.0056653149096</c:v>
                </c:pt>
                <c:pt idx="96">
                  <c:v>40.9535608706505</c:v>
                </c:pt>
                <c:pt idx="97">
                  <c:v>41.5116724119651</c:v>
                </c:pt>
                <c:pt idx="98">
                  <c:v>41.7627914225533</c:v>
                </c:pt>
                <c:pt idx="99">
                  <c:v>41.7874879079845</c:v>
                </c:pt>
                <c:pt idx="100">
                  <c:v>41.6582728770322</c:v>
                </c:pt>
                <c:pt idx="101">
                  <c:v>41.4363392095149</c:v>
                </c:pt>
                <c:pt idx="102">
                  <c:v>41.1702979731778</c:v>
                </c:pt>
                <c:pt idx="103">
                  <c:v>40.8963564350095</c:v>
                </c:pt>
                <c:pt idx="104">
                  <c:v>40.6394487364246</c:v>
                </c:pt>
                <c:pt idx="105">
                  <c:v>40.0704900588156</c:v>
                </c:pt>
                <c:pt idx="106">
                  <c:v>38.8576778618833</c:v>
                </c:pt>
                <c:pt idx="107">
                  <c:v>37.0400645789184</c:v>
                </c:pt>
                <c:pt idx="108">
                  <c:v>34.6931570572513</c:v>
                </c:pt>
                <c:pt idx="109">
                  <c:v>31.9107620874509</c:v>
                </c:pt>
                <c:pt idx="110">
                  <c:v>28.7913153211644</c:v>
                </c:pt>
                <c:pt idx="111">
                  <c:v>25.7727559263254</c:v>
                </c:pt>
                <c:pt idx="112">
                  <c:v>23.2771282926442</c:v>
                </c:pt>
                <c:pt idx="113">
                  <c:v>21.3357782164235</c:v>
                </c:pt>
                <c:pt idx="114">
                  <c:v>19.9245453558677</c:v>
                </c:pt>
                <c:pt idx="115">
                  <c:v>18.9840021986801</c:v>
                </c:pt>
                <c:pt idx="116">
                  <c:v>18.4359068523922</c:v>
                </c:pt>
                <c:pt idx="117">
                  <c:v>18.1957744761708</c:v>
                </c:pt>
                <c:pt idx="118">
                  <c:v>18.1818199392352</c:v>
                </c:pt>
                <c:pt idx="119">
                  <c:v>18.3207370012578</c:v>
                </c:pt>
                <c:pt idx="120">
                  <c:v>18.5508840746526</c:v>
                </c:pt>
                <c:pt idx="121">
                  <c:v>18.8234704353875</c:v>
                </c:pt>
                <c:pt idx="122">
                  <c:v>19.1023043033388</c:v>
                </c:pt>
                <c:pt idx="123">
                  <c:v>19.3625966752997</c:v>
                </c:pt>
                <c:pt idx="124">
                  <c:v>20.0515425533337</c:v>
                </c:pt>
                <c:pt idx="125">
                  <c:v>21.617385950066</c:v>
                </c:pt>
                <c:pt idx="126">
                  <c:v>24.0086013358171</c:v>
                </c:pt>
                <c:pt idx="127">
                  <c:v>27.1233314923907</c:v>
                </c:pt>
                <c:pt idx="128">
                  <c:v>30.8342578217587</c:v>
                </c:pt>
                <c:pt idx="129">
                  <c:v>34.5450473453615</c:v>
                </c:pt>
                <c:pt idx="130">
                  <c:v>37.6724691676366</c:v>
                </c:pt>
                <c:pt idx="131">
                  <c:v>40.1535605342686</c:v>
                </c:pt>
                <c:pt idx="132">
                  <c:v>41.9987760676975</c:v>
                </c:pt>
                <c:pt idx="133">
                  <c:v>43.2669709111742</c:v>
                </c:pt>
                <c:pt idx="134">
                  <c:v>44.0446719060771</c:v>
                </c:pt>
                <c:pt idx="135">
                  <c:v>44.4299154188429</c:v>
                </c:pt>
                <c:pt idx="136">
                  <c:v>44.5204664215789</c:v>
                </c:pt>
                <c:pt idx="137">
                  <c:v>44.405937257572</c:v>
                </c:pt>
                <c:pt idx="138">
                  <c:v>44.1631650932689</c:v>
                </c:pt>
                <c:pt idx="139">
                  <c:v>43.8541523623571</c:v>
                </c:pt>
                <c:pt idx="140">
                  <c:v>43.5258945325857</c:v>
                </c:pt>
                <c:pt idx="141">
                  <c:v>43.2114880458095</c:v>
                </c:pt>
                <c:pt idx="142">
                  <c:v>42.4696934152377</c:v>
                </c:pt>
                <c:pt idx="143">
                  <c:v>40.8561587896638</c:v>
                </c:pt>
                <c:pt idx="144">
                  <c:v>38.4246003170555</c:v>
                </c:pt>
                <c:pt idx="145">
                  <c:v>35.2777457385411</c:v>
                </c:pt>
                <c:pt idx="146">
                  <c:v>31.5428276026434</c:v>
                </c:pt>
                <c:pt idx="147">
                  <c:v>27.8154581265925</c:v>
                </c:pt>
                <c:pt idx="148">
                  <c:v>24.6777804032134</c:v>
                </c:pt>
                <c:pt idx="149">
                  <c:v>22.1915118364145</c:v>
                </c:pt>
                <c:pt idx="150">
                  <c:v>20.3449482913968</c:v>
                </c:pt>
                <c:pt idx="151">
                  <c:v>19.0780841904254</c:v>
                </c:pt>
                <c:pt idx="152">
                  <c:v>18.303402517496</c:v>
                </c:pt>
                <c:pt idx="153">
                  <c:v>17.9220649703914</c:v>
                </c:pt>
                <c:pt idx="154">
                  <c:v>17.8356963033852</c:v>
                </c:pt>
                <c:pt idx="155">
                  <c:v>17.9542522325157</c:v>
                </c:pt>
                <c:pt idx="156">
                  <c:v>18.20061850246</c:v>
                </c:pt>
                <c:pt idx="157">
                  <c:v>18.5126420651463</c:v>
                </c:pt>
                <c:pt idx="158">
                  <c:v>18.8432739645139</c:v>
                </c:pt>
                <c:pt idx="159">
                  <c:v>18.9527612367522</c:v>
                </c:pt>
                <c:pt idx="160">
                  <c:v>18.6164011511</c:v>
                </c:pt>
                <c:pt idx="161">
                  <c:v>17.845301902486</c:v>
                </c:pt>
                <c:pt idx="162">
                  <c:v>16.6823588647717</c:v>
                </c:pt>
                <c:pt idx="163">
                  <c:v>15.1882950294889</c:v>
                </c:pt>
                <c:pt idx="164">
                  <c:v>13.4308426330081</c:v>
                </c:pt>
                <c:pt idx="165">
                  <c:v>11.4769140827658</c:v>
                </c:pt>
                <c:pt idx="166">
                  <c:v>9.3874165749641</c:v>
                </c:pt>
                <c:pt idx="167">
                  <c:v>7.2142630147675</c:v>
                </c:pt>
                <c:pt idx="168">
                  <c:v>4.99910004346501</c:v>
                </c:pt>
              </c:numCache>
            </c:numRef>
          </c:yVal>
          <c:smooth val="0"/>
        </c:ser>
        <c:axId val="48206979"/>
        <c:axId val="60229138"/>
      </c:scatterChart>
      <c:valAx>
        <c:axId val="4820697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229138"/>
        <c:crosses val="autoZero"/>
        <c:crossBetween val="midCat"/>
      </c:valAx>
      <c:valAx>
        <c:axId val="602291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20697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Gap_xerrgain_0.1'!$J$2:$J$103</c:f>
              <c:numCache>
                <c:formatCode>General</c:formatCode>
                <c:ptCount val="10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5.41723733333333</c:v>
                </c:pt>
                <c:pt idx="12">
                  <c:v>6.54325161955556</c:v>
                </c:pt>
                <c:pt idx="13">
                  <c:v>8.19874006853215</c:v>
                </c:pt>
                <c:pt idx="14">
                  <c:v>10.220248559368</c:v>
                </c:pt>
                <c:pt idx="15">
                  <c:v>12.4682812782689</c:v>
                </c:pt>
                <c:pt idx="16">
                  <c:v>14.8307878916705</c:v>
                </c:pt>
                <c:pt idx="17">
                  <c:v>17.2232653860652</c:v>
                </c:pt>
                <c:pt idx="18">
                  <c:v>19.5865805165936</c:v>
                </c:pt>
                <c:pt idx="19">
                  <c:v>21.8834406316267</c:v>
                </c:pt>
                <c:pt idx="20">
                  <c:v>24.0942454711917</c:v>
                </c:pt>
                <c:pt idx="21">
                  <c:v>25.7956245451468</c:v>
                </c:pt>
                <c:pt idx="22">
                  <c:v>26.6994396555659</c:v>
                </c:pt>
                <c:pt idx="23">
                  <c:v>26.9945140817504</c:v>
                </c:pt>
                <c:pt idx="24">
                  <c:v>26.8571512938851</c:v>
                </c:pt>
                <c:pt idx="25">
                  <c:v>26.4408820789603</c:v>
                </c:pt>
                <c:pt idx="26">
                  <c:v>25.8714428925327</c:v>
                </c:pt>
                <c:pt idx="27">
                  <c:v>25.2456730402828</c:v>
                </c:pt>
                <c:pt idx="28">
                  <c:v>24.6331307604239</c:v>
                </c:pt>
                <c:pt idx="29">
                  <c:v>24.0794015553485</c:v>
                </c:pt>
                <c:pt idx="30">
                  <c:v>23.6102720665506</c:v>
                </c:pt>
                <c:pt idx="31">
                  <c:v>23.2361443221261</c:v>
                </c:pt>
                <c:pt idx="32">
                  <c:v>22.9562513570972</c:v>
                </c:pt>
                <c:pt idx="33">
                  <c:v>22.7623958923336</c:v>
                </c:pt>
                <c:pt idx="34">
                  <c:v>22.6420642458473</c:v>
                </c:pt>
                <c:pt idx="35">
                  <c:v>22.5808672415181</c:v>
                </c:pt>
                <c:pt idx="36">
                  <c:v>22.9815679580344</c:v>
                </c:pt>
                <c:pt idx="37">
                  <c:v>24.1223547382499</c:v>
                </c:pt>
                <c:pt idx="38">
                  <c:v>25.8124153774782</c:v>
                </c:pt>
                <c:pt idx="39">
                  <c:v>27.8789603109533</c:v>
                </c:pt>
                <c:pt idx="40">
                  <c:v>30.1753778113897</c:v>
                </c:pt>
                <c:pt idx="41">
                  <c:v>32.5845707729622</c:v>
                </c:pt>
                <c:pt idx="42">
                  <c:v>35.0187889684148</c:v>
                </c:pt>
                <c:pt idx="43">
                  <c:v>37.4171239310837</c:v>
                </c:pt>
                <c:pt idx="44">
                  <c:v>39.7416400195749</c:v>
                </c:pt>
                <c:pt idx="45">
                  <c:v>41.9729059761221</c:v>
                </c:pt>
                <c:pt idx="46">
                  <c:v>43.6882512682514</c:v>
                </c:pt>
                <c:pt idx="47">
                  <c:v>44.6005367870818</c:v>
                </c:pt>
                <c:pt idx="48">
                  <c:v>44.8997041230593</c:v>
                </c:pt>
                <c:pt idx="49">
                  <c:v>44.7631638655597</c:v>
                </c:pt>
                <c:pt idx="50">
                  <c:v>44.3454561515516</c:v>
                </c:pt>
                <c:pt idx="51">
                  <c:v>43.7731789069456</c:v>
                </c:pt>
                <c:pt idx="52">
                  <c:v>43.1438634673244</c:v>
                </c:pt>
                <c:pt idx="53">
                  <c:v>42.5275900101331</c:v>
                </c:pt>
                <c:pt idx="54">
                  <c:v>41.9703093172339</c:v>
                </c:pt>
                <c:pt idx="55">
                  <c:v>41.4980384322259</c:v>
                </c:pt>
                <c:pt idx="56">
                  <c:v>41.1213005171589</c:v>
                </c:pt>
                <c:pt idx="57">
                  <c:v>40.8393665614744</c:v>
                </c:pt>
                <c:pt idx="58">
                  <c:v>40.644018344206</c:v>
                </c:pt>
                <c:pt idx="59">
                  <c:v>40.5226834376645</c:v>
                </c:pt>
                <c:pt idx="60">
                  <c:v>40.4608933482915</c:v>
                </c:pt>
                <c:pt idx="61">
                  <c:v>40.026849836467</c:v>
                </c:pt>
                <c:pt idx="62">
                  <c:v>38.9155774985752</c:v>
                </c:pt>
                <c:pt idx="63">
                  <c:v>37.2947935310546</c:v>
                </c:pt>
                <c:pt idx="64">
                  <c:v>35.3185522295759</c:v>
                </c:pt>
                <c:pt idx="65">
                  <c:v>33.1191822766365</c:v>
                </c:pt>
                <c:pt idx="66">
                  <c:v>30.8036490223207</c:v>
                </c:pt>
                <c:pt idx="67">
                  <c:v>28.453181896057</c:v>
                </c:pt>
                <c:pt idx="68">
                  <c:v>26.1251226440759</c:v>
                </c:pt>
                <c:pt idx="69">
                  <c:v>23.8561127497715</c:v>
                </c:pt>
                <c:pt idx="70">
                  <c:v>21.6659193964957</c:v>
                </c:pt>
                <c:pt idx="71">
                  <c:v>19.9786152147269</c:v>
                </c:pt>
                <c:pt idx="72">
                  <c:v>19.083342355029</c:v>
                </c:pt>
                <c:pt idx="73">
                  <c:v>18.7924021148464</c:v>
                </c:pt>
                <c:pt idx="74">
                  <c:v>18.9306048385207</c:v>
                </c:pt>
                <c:pt idx="75">
                  <c:v>19.3454355268096</c:v>
                </c:pt>
                <c:pt idx="76">
                  <c:v>19.912024934634</c:v>
                </c:pt>
                <c:pt idx="77">
                  <c:v>20.5342305903345</c:v>
                </c:pt>
                <c:pt idx="78">
                  <c:v>21.1430199794509</c:v>
                </c:pt>
                <c:pt idx="79">
                  <c:v>21.6931756710303</c:v>
                </c:pt>
                <c:pt idx="80">
                  <c:v>22.1591433241654</c:v>
                </c:pt>
                <c:pt idx="81">
                  <c:v>22.5306431890109</c:v>
                </c:pt>
                <c:pt idx="82">
                  <c:v>22.8084807300147</c:v>
                </c:pt>
                <c:pt idx="83">
                  <c:v>23.0008323830755</c:v>
                </c:pt>
                <c:pt idx="84">
                  <c:v>23.1201528755406</c:v>
                </c:pt>
                <c:pt idx="85">
                  <c:v>23.1807516678688</c:v>
                </c:pt>
                <c:pt idx="86">
                  <c:v>23.8923492036555</c:v>
                </c:pt>
                <c:pt idx="87">
                  <c:v>25.7540676251571</c:v>
                </c:pt>
                <c:pt idx="88">
                  <c:v>28.4785284339862</c:v>
                </c:pt>
                <c:pt idx="89">
                  <c:v>31.8026031017718</c:v>
                </c:pt>
                <c:pt idx="90">
                  <c:v>35.5008837461604</c:v>
                </c:pt>
                <c:pt idx="91">
                  <c:v>39.3916448030395</c:v>
                </c:pt>
                <c:pt idx="92">
                  <c:v>42.641947824922</c:v>
                </c:pt>
                <c:pt idx="93">
                  <c:v>44.6691491420147</c:v>
                </c:pt>
                <c:pt idx="94">
                  <c:v>45.7105458719395</c:v>
                </c:pt>
                <c:pt idx="95">
                  <c:v>46.0057018800027</c:v>
                </c:pt>
                <c:pt idx="96">
                  <c:v>45.7761705948061</c:v>
                </c:pt>
                <c:pt idx="97">
                  <c:v>45.2133601846799</c:v>
                </c:pt>
                <c:pt idx="98">
                  <c:v>44.4728504525413</c:v>
                </c:pt>
                <c:pt idx="99">
                  <c:v>43.6735012686777</c:v>
                </c:pt>
                <c:pt idx="100">
                  <c:v>42.8998481474816</c:v>
                </c:pt>
                <c:pt idx="101">
                  <c:v>42.2065077351797</c:v>
                </c:pt>
              </c:numCache>
            </c:numRef>
          </c:yVal>
          <c:smooth val="0"/>
        </c:ser>
        <c:axId val="69368878"/>
        <c:axId val="61717892"/>
      </c:scatterChart>
      <c:valAx>
        <c:axId val="6936887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717892"/>
        <c:crosses val="autoZero"/>
        <c:crossBetween val="midCat"/>
      </c:valAx>
      <c:valAx>
        <c:axId val="617178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93688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'Long Time Gap_xerrgain_0.1'!$G$1</c:f>
              <c:strCache>
                <c:ptCount val="1"/>
                <c:pt idx="0">
                  <c:v>Safe Theorical Dist [m]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Gap_xerrgain_0.1'!$G$2:$G$170</c:f>
              <c:numCache>
                <c:formatCode>General</c:formatCode>
                <c:ptCount val="16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6.78816</c:v>
                </c:pt>
                <c:pt idx="12">
                  <c:v>8.57632</c:v>
                </c:pt>
                <c:pt idx="13">
                  <c:v>10.36448</c:v>
                </c:pt>
                <c:pt idx="14">
                  <c:v>12.15264</c:v>
                </c:pt>
                <c:pt idx="15">
                  <c:v>13.9408</c:v>
                </c:pt>
                <c:pt idx="16">
                  <c:v>15.72896</c:v>
                </c:pt>
                <c:pt idx="17">
                  <c:v>17.51712</c:v>
                </c:pt>
                <c:pt idx="18">
                  <c:v>19.30528</c:v>
                </c:pt>
                <c:pt idx="19">
                  <c:v>21.09344</c:v>
                </c:pt>
                <c:pt idx="20">
                  <c:v>22.8816</c:v>
                </c:pt>
                <c:pt idx="21">
                  <c:v>22.8816</c:v>
                </c:pt>
                <c:pt idx="22">
                  <c:v>22.8816</c:v>
                </c:pt>
                <c:pt idx="23">
                  <c:v>22.8816</c:v>
                </c:pt>
                <c:pt idx="24">
                  <c:v>22.8816</c:v>
                </c:pt>
                <c:pt idx="25">
                  <c:v>22.8816</c:v>
                </c:pt>
                <c:pt idx="26">
                  <c:v>22.8816</c:v>
                </c:pt>
                <c:pt idx="27">
                  <c:v>22.8816</c:v>
                </c:pt>
                <c:pt idx="28">
                  <c:v>22.8816</c:v>
                </c:pt>
                <c:pt idx="29">
                  <c:v>22.8816</c:v>
                </c:pt>
                <c:pt idx="30">
                  <c:v>22.8816</c:v>
                </c:pt>
                <c:pt idx="31">
                  <c:v>22.8816</c:v>
                </c:pt>
                <c:pt idx="32">
                  <c:v>22.8816</c:v>
                </c:pt>
                <c:pt idx="33">
                  <c:v>22.8816</c:v>
                </c:pt>
                <c:pt idx="34">
                  <c:v>22.8816</c:v>
                </c:pt>
                <c:pt idx="35">
                  <c:v>22.8816</c:v>
                </c:pt>
                <c:pt idx="36">
                  <c:v>24.66976</c:v>
                </c:pt>
                <c:pt idx="37">
                  <c:v>26.45792</c:v>
                </c:pt>
                <c:pt idx="38">
                  <c:v>28.24608</c:v>
                </c:pt>
                <c:pt idx="39">
                  <c:v>30.03424</c:v>
                </c:pt>
                <c:pt idx="40">
                  <c:v>31.8224</c:v>
                </c:pt>
                <c:pt idx="41">
                  <c:v>33.61056</c:v>
                </c:pt>
                <c:pt idx="42">
                  <c:v>35.39872</c:v>
                </c:pt>
                <c:pt idx="43">
                  <c:v>37.18688</c:v>
                </c:pt>
                <c:pt idx="44">
                  <c:v>38.97504</c:v>
                </c:pt>
                <c:pt idx="45">
                  <c:v>40.7632</c:v>
                </c:pt>
                <c:pt idx="46">
                  <c:v>40.7632</c:v>
                </c:pt>
                <c:pt idx="47">
                  <c:v>40.7632</c:v>
                </c:pt>
                <c:pt idx="48">
                  <c:v>40.7632</c:v>
                </c:pt>
                <c:pt idx="49">
                  <c:v>40.7632</c:v>
                </c:pt>
                <c:pt idx="50">
                  <c:v>40.7632</c:v>
                </c:pt>
                <c:pt idx="51">
                  <c:v>40.7632</c:v>
                </c:pt>
                <c:pt idx="52">
                  <c:v>40.7632</c:v>
                </c:pt>
                <c:pt idx="53">
                  <c:v>40.7632</c:v>
                </c:pt>
                <c:pt idx="54">
                  <c:v>40.7632</c:v>
                </c:pt>
                <c:pt idx="55">
                  <c:v>40.7632</c:v>
                </c:pt>
                <c:pt idx="56">
                  <c:v>40.7632</c:v>
                </c:pt>
                <c:pt idx="57">
                  <c:v>40.7632</c:v>
                </c:pt>
                <c:pt idx="58">
                  <c:v>40.7632</c:v>
                </c:pt>
                <c:pt idx="59">
                  <c:v>40.7632</c:v>
                </c:pt>
                <c:pt idx="60">
                  <c:v>40.7632</c:v>
                </c:pt>
                <c:pt idx="61">
                  <c:v>38.97504</c:v>
                </c:pt>
                <c:pt idx="62">
                  <c:v>37.18688</c:v>
                </c:pt>
                <c:pt idx="63">
                  <c:v>35.39872</c:v>
                </c:pt>
                <c:pt idx="64">
                  <c:v>33.61056</c:v>
                </c:pt>
                <c:pt idx="65">
                  <c:v>31.8224</c:v>
                </c:pt>
                <c:pt idx="66">
                  <c:v>30.03424</c:v>
                </c:pt>
                <c:pt idx="67">
                  <c:v>28.24608</c:v>
                </c:pt>
                <c:pt idx="68">
                  <c:v>26.45792</c:v>
                </c:pt>
                <c:pt idx="69">
                  <c:v>24.66976</c:v>
                </c:pt>
                <c:pt idx="70">
                  <c:v>22.8816</c:v>
                </c:pt>
                <c:pt idx="71">
                  <c:v>22.8816</c:v>
                </c:pt>
                <c:pt idx="72">
                  <c:v>22.8816</c:v>
                </c:pt>
                <c:pt idx="73">
                  <c:v>22.8816</c:v>
                </c:pt>
                <c:pt idx="74">
                  <c:v>22.8816</c:v>
                </c:pt>
                <c:pt idx="75">
                  <c:v>22.8816</c:v>
                </c:pt>
                <c:pt idx="76">
                  <c:v>22.8816</c:v>
                </c:pt>
                <c:pt idx="77">
                  <c:v>22.8816</c:v>
                </c:pt>
                <c:pt idx="78">
                  <c:v>22.8816</c:v>
                </c:pt>
                <c:pt idx="79">
                  <c:v>22.8816</c:v>
                </c:pt>
                <c:pt idx="80">
                  <c:v>22.8816</c:v>
                </c:pt>
                <c:pt idx="81">
                  <c:v>22.8816</c:v>
                </c:pt>
                <c:pt idx="82">
                  <c:v>22.8816</c:v>
                </c:pt>
                <c:pt idx="83">
                  <c:v>22.8816</c:v>
                </c:pt>
                <c:pt idx="84">
                  <c:v>22.8816</c:v>
                </c:pt>
                <c:pt idx="85">
                  <c:v>22.8816</c:v>
                </c:pt>
                <c:pt idx="86">
                  <c:v>25.8616</c:v>
                </c:pt>
                <c:pt idx="87">
                  <c:v>28.8416</c:v>
                </c:pt>
                <c:pt idx="88">
                  <c:v>31.8216</c:v>
                </c:pt>
                <c:pt idx="89">
                  <c:v>34.8016</c:v>
                </c:pt>
                <c:pt idx="90">
                  <c:v>37.7816</c:v>
                </c:pt>
                <c:pt idx="91">
                  <c:v>40.7616</c:v>
                </c:pt>
                <c:pt idx="92">
                  <c:v>40.7616</c:v>
                </c:pt>
                <c:pt idx="93">
                  <c:v>40.7616</c:v>
                </c:pt>
                <c:pt idx="94">
                  <c:v>40.7616</c:v>
                </c:pt>
                <c:pt idx="95">
                  <c:v>40.7616</c:v>
                </c:pt>
                <c:pt idx="96">
                  <c:v>40.7616</c:v>
                </c:pt>
                <c:pt idx="97">
                  <c:v>40.7616</c:v>
                </c:pt>
                <c:pt idx="98">
                  <c:v>40.7616</c:v>
                </c:pt>
                <c:pt idx="99">
                  <c:v>40.7616</c:v>
                </c:pt>
                <c:pt idx="100">
                  <c:v>40.7616</c:v>
                </c:pt>
                <c:pt idx="101">
                  <c:v>40.7616</c:v>
                </c:pt>
                <c:pt idx="102">
                  <c:v>40.7616</c:v>
                </c:pt>
                <c:pt idx="103">
                  <c:v>40.7616</c:v>
                </c:pt>
                <c:pt idx="104">
                  <c:v>40.7616</c:v>
                </c:pt>
                <c:pt idx="105">
                  <c:v>37.7816</c:v>
                </c:pt>
                <c:pt idx="106">
                  <c:v>34.8016</c:v>
                </c:pt>
                <c:pt idx="107">
                  <c:v>31.8216</c:v>
                </c:pt>
                <c:pt idx="108">
                  <c:v>28.8416</c:v>
                </c:pt>
                <c:pt idx="109">
                  <c:v>25.8616</c:v>
                </c:pt>
                <c:pt idx="110">
                  <c:v>22.8816</c:v>
                </c:pt>
                <c:pt idx="111">
                  <c:v>22.8816</c:v>
                </c:pt>
                <c:pt idx="112">
                  <c:v>22.8816</c:v>
                </c:pt>
                <c:pt idx="113">
                  <c:v>22.8816</c:v>
                </c:pt>
                <c:pt idx="114">
                  <c:v>22.8816</c:v>
                </c:pt>
                <c:pt idx="115">
                  <c:v>22.8816</c:v>
                </c:pt>
                <c:pt idx="116">
                  <c:v>22.8816</c:v>
                </c:pt>
                <c:pt idx="117">
                  <c:v>22.8816</c:v>
                </c:pt>
                <c:pt idx="118">
                  <c:v>22.8816</c:v>
                </c:pt>
                <c:pt idx="119">
                  <c:v>22.8816</c:v>
                </c:pt>
                <c:pt idx="120">
                  <c:v>22.8816</c:v>
                </c:pt>
                <c:pt idx="121">
                  <c:v>22.8816</c:v>
                </c:pt>
                <c:pt idx="122">
                  <c:v>22.8816</c:v>
                </c:pt>
                <c:pt idx="123">
                  <c:v>22.8816</c:v>
                </c:pt>
                <c:pt idx="124">
                  <c:v>26.8816</c:v>
                </c:pt>
                <c:pt idx="125">
                  <c:v>30.8816</c:v>
                </c:pt>
                <c:pt idx="126">
                  <c:v>34.8816</c:v>
                </c:pt>
                <c:pt idx="127">
                  <c:v>38.8816</c:v>
                </c:pt>
                <c:pt idx="128">
                  <c:v>42.8816</c:v>
                </c:pt>
                <c:pt idx="129">
                  <c:v>42.8816</c:v>
                </c:pt>
                <c:pt idx="130">
                  <c:v>42.8816</c:v>
                </c:pt>
                <c:pt idx="131">
                  <c:v>42.8816</c:v>
                </c:pt>
                <c:pt idx="132">
                  <c:v>42.8816</c:v>
                </c:pt>
                <c:pt idx="133">
                  <c:v>42.8816</c:v>
                </c:pt>
                <c:pt idx="134">
                  <c:v>42.8816</c:v>
                </c:pt>
                <c:pt idx="135">
                  <c:v>42.8816</c:v>
                </c:pt>
                <c:pt idx="136">
                  <c:v>42.8816</c:v>
                </c:pt>
                <c:pt idx="137">
                  <c:v>42.8816</c:v>
                </c:pt>
                <c:pt idx="138">
                  <c:v>42.8816</c:v>
                </c:pt>
                <c:pt idx="139">
                  <c:v>42.8816</c:v>
                </c:pt>
                <c:pt idx="140">
                  <c:v>42.8816</c:v>
                </c:pt>
                <c:pt idx="141">
                  <c:v>42.8816</c:v>
                </c:pt>
                <c:pt idx="142">
                  <c:v>38.8816</c:v>
                </c:pt>
                <c:pt idx="143">
                  <c:v>34.8816</c:v>
                </c:pt>
                <c:pt idx="144">
                  <c:v>30.8816</c:v>
                </c:pt>
                <c:pt idx="145">
                  <c:v>26.8816</c:v>
                </c:pt>
                <c:pt idx="146">
                  <c:v>22.8816</c:v>
                </c:pt>
                <c:pt idx="147">
                  <c:v>22.8816</c:v>
                </c:pt>
                <c:pt idx="148">
                  <c:v>22.8816</c:v>
                </c:pt>
                <c:pt idx="149">
                  <c:v>22.8816</c:v>
                </c:pt>
                <c:pt idx="150">
                  <c:v>22.8816</c:v>
                </c:pt>
                <c:pt idx="151">
                  <c:v>22.8816</c:v>
                </c:pt>
                <c:pt idx="152">
                  <c:v>22.8816</c:v>
                </c:pt>
                <c:pt idx="153">
                  <c:v>22.8816</c:v>
                </c:pt>
                <c:pt idx="154">
                  <c:v>22.8816</c:v>
                </c:pt>
                <c:pt idx="155">
                  <c:v>22.8816</c:v>
                </c:pt>
                <c:pt idx="156">
                  <c:v>22.8816</c:v>
                </c:pt>
                <c:pt idx="157">
                  <c:v>22.8816</c:v>
                </c:pt>
                <c:pt idx="158">
                  <c:v>22.8816</c:v>
                </c:pt>
                <c:pt idx="159">
                  <c:v>21.09344</c:v>
                </c:pt>
                <c:pt idx="160">
                  <c:v>19.30528</c:v>
                </c:pt>
                <c:pt idx="161">
                  <c:v>17.51712</c:v>
                </c:pt>
                <c:pt idx="162">
                  <c:v>15.72896</c:v>
                </c:pt>
                <c:pt idx="163">
                  <c:v>13.9408</c:v>
                </c:pt>
                <c:pt idx="164">
                  <c:v>12.15264</c:v>
                </c:pt>
                <c:pt idx="165">
                  <c:v>10.36448</c:v>
                </c:pt>
                <c:pt idx="166">
                  <c:v>8.57631999999999</c:v>
                </c:pt>
                <c:pt idx="167">
                  <c:v>6.78815999999999</c:v>
                </c:pt>
                <c:pt idx="168">
                  <c:v>4.99999999999999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'Long Time Gap_xerrgain_0.1'!$J$1</c:f>
              <c:strCache>
                <c:ptCount val="1"/>
                <c:pt idx="0">
                  <c:v>Simulated Dist [m]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Gap_xerrgain_0.1'!$J$2:$J$170</c:f>
              <c:numCache>
                <c:formatCode>General</c:formatCode>
                <c:ptCount val="16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5.41723733333333</c:v>
                </c:pt>
                <c:pt idx="12">
                  <c:v>6.54325161955556</c:v>
                </c:pt>
                <c:pt idx="13">
                  <c:v>8.19874006853215</c:v>
                </c:pt>
                <c:pt idx="14">
                  <c:v>10.220248559368</c:v>
                </c:pt>
                <c:pt idx="15">
                  <c:v>12.4682812782689</c:v>
                </c:pt>
                <c:pt idx="16">
                  <c:v>14.8307878916705</c:v>
                </c:pt>
                <c:pt idx="17">
                  <c:v>17.2232653860652</c:v>
                </c:pt>
                <c:pt idx="18">
                  <c:v>19.5865805165936</c:v>
                </c:pt>
                <c:pt idx="19">
                  <c:v>21.8834406316267</c:v>
                </c:pt>
                <c:pt idx="20">
                  <c:v>24.0942454711917</c:v>
                </c:pt>
                <c:pt idx="21">
                  <c:v>25.7956245451468</c:v>
                </c:pt>
                <c:pt idx="22">
                  <c:v>26.6994396555659</c:v>
                </c:pt>
                <c:pt idx="23">
                  <c:v>26.9945140817504</c:v>
                </c:pt>
                <c:pt idx="24">
                  <c:v>26.8571512938851</c:v>
                </c:pt>
                <c:pt idx="25">
                  <c:v>26.4408820789603</c:v>
                </c:pt>
                <c:pt idx="26">
                  <c:v>25.8714428925327</c:v>
                </c:pt>
                <c:pt idx="27">
                  <c:v>25.2456730402828</c:v>
                </c:pt>
                <c:pt idx="28">
                  <c:v>24.6331307604239</c:v>
                </c:pt>
                <c:pt idx="29">
                  <c:v>24.0794015553485</c:v>
                </c:pt>
                <c:pt idx="30">
                  <c:v>23.6102720665506</c:v>
                </c:pt>
                <c:pt idx="31">
                  <c:v>23.2361443221261</c:v>
                </c:pt>
                <c:pt idx="32">
                  <c:v>22.9562513570972</c:v>
                </c:pt>
                <c:pt idx="33">
                  <c:v>22.7623958923336</c:v>
                </c:pt>
                <c:pt idx="34">
                  <c:v>22.6420642458473</c:v>
                </c:pt>
                <c:pt idx="35">
                  <c:v>22.5808672415181</c:v>
                </c:pt>
                <c:pt idx="36">
                  <c:v>22.9815679580344</c:v>
                </c:pt>
                <c:pt idx="37">
                  <c:v>24.1223547382499</c:v>
                </c:pt>
                <c:pt idx="38">
                  <c:v>25.8124153774782</c:v>
                </c:pt>
                <c:pt idx="39">
                  <c:v>27.8789603109533</c:v>
                </c:pt>
                <c:pt idx="40">
                  <c:v>30.1753778113897</c:v>
                </c:pt>
                <c:pt idx="41">
                  <c:v>32.5845707729622</c:v>
                </c:pt>
                <c:pt idx="42">
                  <c:v>35.0187889684148</c:v>
                </c:pt>
                <c:pt idx="43">
                  <c:v>37.4171239310837</c:v>
                </c:pt>
                <c:pt idx="44">
                  <c:v>39.7416400195749</c:v>
                </c:pt>
                <c:pt idx="45">
                  <c:v>41.9729059761221</c:v>
                </c:pt>
                <c:pt idx="46">
                  <c:v>43.6882512682514</c:v>
                </c:pt>
                <c:pt idx="47">
                  <c:v>44.6005367870818</c:v>
                </c:pt>
                <c:pt idx="48">
                  <c:v>44.8997041230593</c:v>
                </c:pt>
                <c:pt idx="49">
                  <c:v>44.7631638655597</c:v>
                </c:pt>
                <c:pt idx="50">
                  <c:v>44.3454561515516</c:v>
                </c:pt>
                <c:pt idx="51">
                  <c:v>43.7731789069456</c:v>
                </c:pt>
                <c:pt idx="52">
                  <c:v>43.1438634673244</c:v>
                </c:pt>
                <c:pt idx="53">
                  <c:v>42.5275900101331</c:v>
                </c:pt>
                <c:pt idx="54">
                  <c:v>41.9703093172339</c:v>
                </c:pt>
                <c:pt idx="55">
                  <c:v>41.4980384322259</c:v>
                </c:pt>
                <c:pt idx="56">
                  <c:v>41.1213005171589</c:v>
                </c:pt>
                <c:pt idx="57">
                  <c:v>40.8393665614744</c:v>
                </c:pt>
                <c:pt idx="58">
                  <c:v>40.644018344206</c:v>
                </c:pt>
                <c:pt idx="59">
                  <c:v>40.5226834376645</c:v>
                </c:pt>
                <c:pt idx="60">
                  <c:v>40.4608933482915</c:v>
                </c:pt>
                <c:pt idx="61">
                  <c:v>40.026849836467</c:v>
                </c:pt>
                <c:pt idx="62">
                  <c:v>38.9155774985752</c:v>
                </c:pt>
                <c:pt idx="63">
                  <c:v>37.2947935310546</c:v>
                </c:pt>
                <c:pt idx="64">
                  <c:v>35.3185522295759</c:v>
                </c:pt>
                <c:pt idx="65">
                  <c:v>33.1191822766365</c:v>
                </c:pt>
                <c:pt idx="66">
                  <c:v>30.8036490223207</c:v>
                </c:pt>
                <c:pt idx="67">
                  <c:v>28.453181896057</c:v>
                </c:pt>
                <c:pt idx="68">
                  <c:v>26.1251226440759</c:v>
                </c:pt>
                <c:pt idx="69">
                  <c:v>23.8561127497715</c:v>
                </c:pt>
                <c:pt idx="70">
                  <c:v>21.6659193964957</c:v>
                </c:pt>
                <c:pt idx="71">
                  <c:v>19.9786152147269</c:v>
                </c:pt>
                <c:pt idx="72">
                  <c:v>19.083342355029</c:v>
                </c:pt>
                <c:pt idx="73">
                  <c:v>18.7924021148464</c:v>
                </c:pt>
                <c:pt idx="74">
                  <c:v>18.9306048385207</c:v>
                </c:pt>
                <c:pt idx="75">
                  <c:v>19.3454355268096</c:v>
                </c:pt>
                <c:pt idx="76">
                  <c:v>19.912024934634</c:v>
                </c:pt>
                <c:pt idx="77">
                  <c:v>20.5342305903345</c:v>
                </c:pt>
                <c:pt idx="78">
                  <c:v>21.1430199794509</c:v>
                </c:pt>
                <c:pt idx="79">
                  <c:v>21.6931756710303</c:v>
                </c:pt>
                <c:pt idx="80">
                  <c:v>22.1591433241654</c:v>
                </c:pt>
                <c:pt idx="81">
                  <c:v>22.5306431890109</c:v>
                </c:pt>
                <c:pt idx="82">
                  <c:v>22.8084807300147</c:v>
                </c:pt>
                <c:pt idx="83">
                  <c:v>23.0008323830755</c:v>
                </c:pt>
                <c:pt idx="84">
                  <c:v>23.1201528755406</c:v>
                </c:pt>
                <c:pt idx="85">
                  <c:v>23.1807516678688</c:v>
                </c:pt>
                <c:pt idx="86">
                  <c:v>23.8923492036555</c:v>
                </c:pt>
                <c:pt idx="87">
                  <c:v>25.7540676251571</c:v>
                </c:pt>
                <c:pt idx="88">
                  <c:v>28.4785284339862</c:v>
                </c:pt>
                <c:pt idx="89">
                  <c:v>31.8026031017718</c:v>
                </c:pt>
                <c:pt idx="90">
                  <c:v>35.5008837461604</c:v>
                </c:pt>
                <c:pt idx="91">
                  <c:v>39.3916448030395</c:v>
                </c:pt>
                <c:pt idx="92">
                  <c:v>42.641947824922</c:v>
                </c:pt>
                <c:pt idx="93">
                  <c:v>44.6691491420147</c:v>
                </c:pt>
                <c:pt idx="94">
                  <c:v>45.7105458719395</c:v>
                </c:pt>
                <c:pt idx="95">
                  <c:v>46.0057018800027</c:v>
                </c:pt>
                <c:pt idx="96">
                  <c:v>45.7761705948061</c:v>
                </c:pt>
                <c:pt idx="97">
                  <c:v>45.2133601846799</c:v>
                </c:pt>
                <c:pt idx="98">
                  <c:v>44.4728504525413</c:v>
                </c:pt>
                <c:pt idx="99">
                  <c:v>43.6735012686777</c:v>
                </c:pt>
                <c:pt idx="100">
                  <c:v>42.8998481474816</c:v>
                </c:pt>
                <c:pt idx="101">
                  <c:v>42.2065077351797</c:v>
                </c:pt>
                <c:pt idx="102">
                  <c:v>41.6235724990615</c:v>
                </c:pt>
                <c:pt idx="103">
                  <c:v>41.1622292164993</c:v>
                </c:pt>
                <c:pt idx="104">
                  <c:v>40.820069539622</c:v>
                </c:pt>
                <c:pt idx="105">
                  <c:v>39.8904276936482</c:v>
                </c:pt>
                <c:pt idx="106">
                  <c:v>37.8710524296769</c:v>
                </c:pt>
                <c:pt idx="107">
                  <c:v>35.0422997940859</c:v>
                </c:pt>
                <c:pt idx="108">
                  <c:v>31.6582364941471</c:v>
                </c:pt>
                <c:pt idx="109">
                  <c:v>27.9345792478375</c:v>
                </c:pt>
                <c:pt idx="110">
                  <c:v>24.0437303520589</c:v>
                </c:pt>
                <c:pt idx="111">
                  <c:v>20.8103119002467</c:v>
                </c:pt>
                <c:pt idx="112">
                  <c:v>18.8100047208873</c:v>
                </c:pt>
                <c:pt idx="113">
                  <c:v>17.8000245390954</c:v>
                </c:pt>
                <c:pt idx="114">
                  <c:v>17.5367576670758</c:v>
                </c:pt>
                <c:pt idx="115">
                  <c:v>17.7958952787699</c:v>
                </c:pt>
                <c:pt idx="116">
                  <c:v>18.3843668292375</c:v>
                </c:pt>
                <c:pt idx="117">
                  <c:v>19.1457989340024</c:v>
                </c:pt>
                <c:pt idx="118">
                  <c:v>19.9611856809713</c:v>
                </c:pt>
                <c:pt idx="119">
                  <c:v>20.746291829649</c:v>
                </c:pt>
                <c:pt idx="120">
                  <c:v>21.4470759428905</c:v>
                </c:pt>
                <c:pt idx="121">
                  <c:v>22.0341583102936</c:v>
                </c:pt>
                <c:pt idx="122">
                  <c:v>22.4970990773616</c:v>
                </c:pt>
                <c:pt idx="123">
                  <c:v>22.8390155405116</c:v>
                </c:pt>
                <c:pt idx="124">
                  <c:v>24.0051991485709</c:v>
                </c:pt>
                <c:pt idx="125">
                  <c:v>26.6647196157151</c:v>
                </c:pt>
                <c:pt idx="126">
                  <c:v>30.4353480248783</c:v>
                </c:pt>
                <c:pt idx="127">
                  <c:v>34.9700756986751</c:v>
                </c:pt>
                <c:pt idx="128">
                  <c:v>39.9738126951822</c:v>
                </c:pt>
                <c:pt idx="129">
                  <c:v>44.2770240269124</c:v>
                </c:pt>
                <c:pt idx="130">
                  <c:v>47.0501153422908</c:v>
                </c:pt>
                <c:pt idx="131">
                  <c:v>48.5706246708487</c:v>
                </c:pt>
                <c:pt idx="132">
                  <c:v>49.1268617093226</c:v>
                </c:pt>
                <c:pt idx="133">
                  <c:v>48.9908571981928</c:v>
                </c:pt>
                <c:pt idx="134">
                  <c:v>48.4015428974985</c:v>
                </c:pt>
                <c:pt idx="135">
                  <c:v>47.5561661730478</c:v>
                </c:pt>
                <c:pt idx="136">
                  <c:v>46.6079288122116</c:v>
                </c:pt>
                <c:pt idx="137">
                  <c:v>45.6679939353951</c:v>
                </c:pt>
                <c:pt idx="138">
                  <c:v>44.8102596739957</c:v>
                </c:pt>
                <c:pt idx="139">
                  <c:v>44.0775997770447</c:v>
                </c:pt>
                <c:pt idx="140">
                  <c:v>43.4885795404646</c:v>
                </c:pt>
                <c:pt idx="141">
                  <c:v>43.0439430769948</c:v>
                </c:pt>
                <c:pt idx="142">
                  <c:v>41.7990849614328</c:v>
                </c:pt>
                <c:pt idx="143">
                  <c:v>39.0834353305788</c:v>
                </c:pt>
                <c:pt idx="144">
                  <c:v>35.2763786380788</c:v>
                </c:pt>
                <c:pt idx="145">
                  <c:v>30.7214091524306</c:v>
                </c:pt>
                <c:pt idx="146">
                  <c:v>25.7099394882564</c:v>
                </c:pt>
                <c:pt idx="147">
                  <c:v>21.408017814437</c:v>
                </c:pt>
                <c:pt idx="148">
                  <c:v>18.6421637413873</c:v>
                </c:pt>
                <c:pt idx="149">
                  <c:v>17.1322916219654</c:v>
                </c:pt>
                <c:pt idx="150">
                  <c:v>16.5881054701147</c:v>
                </c:pt>
                <c:pt idx="151">
                  <c:v>16.736126767111</c:v>
                </c:pt>
                <c:pt idx="152">
                  <c:v>17.3364552749524</c:v>
                </c:pt>
                <c:pt idx="153">
                  <c:v>18.1912756516438</c:v>
                </c:pt>
                <c:pt idx="154">
                  <c:v>19.1471331205298</c:v>
                </c:pt>
                <c:pt idx="155">
                  <c:v>20.0928435100386</c:v>
                </c:pt>
                <c:pt idx="156">
                  <c:v>20.9546449521238</c:v>
                </c:pt>
                <c:pt idx="157">
                  <c:v>21.6898943880492</c:v>
                </c:pt>
                <c:pt idx="158">
                  <c:v>22.2803017518856</c:v>
                </c:pt>
                <c:pt idx="159">
                  <c:v>22.3081682686143</c:v>
                </c:pt>
                <c:pt idx="160">
                  <c:v>21.493491027979</c:v>
                </c:pt>
                <c:pt idx="161">
                  <c:v>20.0342180600428</c:v>
                </c:pt>
                <c:pt idx="162">
                  <c:v>18.115697457408</c:v>
                </c:pt>
                <c:pt idx="163">
                  <c:v>15.8997134865267</c:v>
                </c:pt>
                <c:pt idx="164">
                  <c:v>13.5190524475347</c:v>
                </c:pt>
                <c:pt idx="165">
                  <c:v>11.0762212606958</c:v>
                </c:pt>
                <c:pt idx="166">
                  <c:v>8.64505642643212</c:v>
                </c:pt>
                <c:pt idx="167">
                  <c:v>6.27414084965767</c:v>
                </c:pt>
                <c:pt idx="168">
                  <c:v>3.99115492386818</c:v>
                </c:pt>
              </c:numCache>
            </c:numRef>
          </c:yVal>
          <c:smooth val="0"/>
        </c:ser>
        <c:axId val="5858871"/>
        <c:axId val="61735166"/>
      </c:scatterChart>
      <c:valAx>
        <c:axId val="585887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735166"/>
        <c:crosses val="autoZero"/>
        <c:crossBetween val="midCat"/>
      </c:valAx>
      <c:valAx>
        <c:axId val="617351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5887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'Long Time Gap_vxgain_0.2'!$C$1</c:f>
              <c:strCache>
                <c:ptCount val="1"/>
                <c:pt idx="0">
                  <c:v>Lead Speed [mph]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Gap_vxgain_0.2'!$C$2:$C$170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2.00005696</c:v>
                </c:pt>
                <c:pt idx="12">
                  <c:v>4.00011392</c:v>
                </c:pt>
                <c:pt idx="13">
                  <c:v>6.00017088</c:v>
                </c:pt>
                <c:pt idx="14">
                  <c:v>8.00022784</c:v>
                </c:pt>
                <c:pt idx="15">
                  <c:v>10.0002848</c:v>
                </c:pt>
                <c:pt idx="16">
                  <c:v>12.00034176</c:v>
                </c:pt>
                <c:pt idx="17">
                  <c:v>14.00039872</c:v>
                </c:pt>
                <c:pt idx="18">
                  <c:v>16.00045568</c:v>
                </c:pt>
                <c:pt idx="19">
                  <c:v>18.00051264</c:v>
                </c:pt>
                <c:pt idx="20">
                  <c:v>20.0005696</c:v>
                </c:pt>
                <c:pt idx="21">
                  <c:v>20.0005696</c:v>
                </c:pt>
                <c:pt idx="22">
                  <c:v>20.0005696</c:v>
                </c:pt>
                <c:pt idx="23">
                  <c:v>20.0005696</c:v>
                </c:pt>
                <c:pt idx="24">
                  <c:v>20.0005696</c:v>
                </c:pt>
                <c:pt idx="25">
                  <c:v>20.0005696</c:v>
                </c:pt>
                <c:pt idx="26">
                  <c:v>20.0005696</c:v>
                </c:pt>
                <c:pt idx="27">
                  <c:v>20.0005696</c:v>
                </c:pt>
                <c:pt idx="28">
                  <c:v>20.0005696</c:v>
                </c:pt>
                <c:pt idx="29">
                  <c:v>20.0005696</c:v>
                </c:pt>
                <c:pt idx="30">
                  <c:v>20.0005696</c:v>
                </c:pt>
                <c:pt idx="31">
                  <c:v>20.0005696</c:v>
                </c:pt>
                <c:pt idx="32">
                  <c:v>20.0005696</c:v>
                </c:pt>
                <c:pt idx="33">
                  <c:v>20.0005696</c:v>
                </c:pt>
                <c:pt idx="34">
                  <c:v>20.0005696</c:v>
                </c:pt>
                <c:pt idx="35">
                  <c:v>20.0005696</c:v>
                </c:pt>
                <c:pt idx="36">
                  <c:v>22.00062656</c:v>
                </c:pt>
                <c:pt idx="37">
                  <c:v>24.00068352</c:v>
                </c:pt>
                <c:pt idx="38">
                  <c:v>26.00074048</c:v>
                </c:pt>
                <c:pt idx="39">
                  <c:v>28.00079744</c:v>
                </c:pt>
                <c:pt idx="40">
                  <c:v>30.0008544</c:v>
                </c:pt>
                <c:pt idx="41">
                  <c:v>32.00091136</c:v>
                </c:pt>
                <c:pt idx="42">
                  <c:v>34.00096832</c:v>
                </c:pt>
                <c:pt idx="43">
                  <c:v>36.00102528</c:v>
                </c:pt>
                <c:pt idx="44">
                  <c:v>38.00108224</c:v>
                </c:pt>
                <c:pt idx="45">
                  <c:v>40.0011392</c:v>
                </c:pt>
                <c:pt idx="46">
                  <c:v>40.0011392</c:v>
                </c:pt>
                <c:pt idx="47">
                  <c:v>40.0011392</c:v>
                </c:pt>
                <c:pt idx="48">
                  <c:v>40.0011392</c:v>
                </c:pt>
                <c:pt idx="49">
                  <c:v>40.0011392</c:v>
                </c:pt>
                <c:pt idx="50">
                  <c:v>40.0011392</c:v>
                </c:pt>
                <c:pt idx="51">
                  <c:v>40.0011392</c:v>
                </c:pt>
                <c:pt idx="52">
                  <c:v>40.0011392</c:v>
                </c:pt>
                <c:pt idx="53">
                  <c:v>40.0011392</c:v>
                </c:pt>
                <c:pt idx="54">
                  <c:v>40.0011392</c:v>
                </c:pt>
                <c:pt idx="55">
                  <c:v>40.0011392</c:v>
                </c:pt>
                <c:pt idx="56">
                  <c:v>40.0011392</c:v>
                </c:pt>
                <c:pt idx="57">
                  <c:v>40.0011392</c:v>
                </c:pt>
                <c:pt idx="58">
                  <c:v>40.0011392</c:v>
                </c:pt>
                <c:pt idx="59">
                  <c:v>40.0011392</c:v>
                </c:pt>
                <c:pt idx="60">
                  <c:v>40.0011392</c:v>
                </c:pt>
                <c:pt idx="61">
                  <c:v>38.00108224</c:v>
                </c:pt>
                <c:pt idx="62">
                  <c:v>36.00102528</c:v>
                </c:pt>
                <c:pt idx="63">
                  <c:v>34.00096832</c:v>
                </c:pt>
                <c:pt idx="64">
                  <c:v>32.00091136</c:v>
                </c:pt>
                <c:pt idx="65">
                  <c:v>30.0008544</c:v>
                </c:pt>
                <c:pt idx="66">
                  <c:v>28.00079744</c:v>
                </c:pt>
                <c:pt idx="67">
                  <c:v>26.00074048</c:v>
                </c:pt>
                <c:pt idx="68">
                  <c:v>24.00068352</c:v>
                </c:pt>
                <c:pt idx="69">
                  <c:v>22.00062656</c:v>
                </c:pt>
                <c:pt idx="70">
                  <c:v>20.0005696</c:v>
                </c:pt>
                <c:pt idx="71">
                  <c:v>20.0005696</c:v>
                </c:pt>
                <c:pt idx="72">
                  <c:v>20.0005696</c:v>
                </c:pt>
                <c:pt idx="73">
                  <c:v>20.0005696</c:v>
                </c:pt>
                <c:pt idx="74">
                  <c:v>20.0005696</c:v>
                </c:pt>
                <c:pt idx="75">
                  <c:v>20.0005696</c:v>
                </c:pt>
                <c:pt idx="76">
                  <c:v>20.0005696</c:v>
                </c:pt>
                <c:pt idx="77">
                  <c:v>20.0005696</c:v>
                </c:pt>
                <c:pt idx="78">
                  <c:v>20.0005696</c:v>
                </c:pt>
                <c:pt idx="79">
                  <c:v>20.0005696</c:v>
                </c:pt>
                <c:pt idx="80">
                  <c:v>20.0005696</c:v>
                </c:pt>
                <c:pt idx="81">
                  <c:v>20.0005696</c:v>
                </c:pt>
                <c:pt idx="82">
                  <c:v>20.0005696</c:v>
                </c:pt>
                <c:pt idx="83">
                  <c:v>20.0005696</c:v>
                </c:pt>
                <c:pt idx="84">
                  <c:v>20.0005696</c:v>
                </c:pt>
                <c:pt idx="85">
                  <c:v>20.0005696</c:v>
                </c:pt>
                <c:pt idx="86">
                  <c:v>23.3336996</c:v>
                </c:pt>
                <c:pt idx="87">
                  <c:v>26.6668296</c:v>
                </c:pt>
                <c:pt idx="88">
                  <c:v>29.9999596</c:v>
                </c:pt>
                <c:pt idx="89">
                  <c:v>33.3330896</c:v>
                </c:pt>
                <c:pt idx="90">
                  <c:v>36.6662196</c:v>
                </c:pt>
                <c:pt idx="91">
                  <c:v>39.9993496</c:v>
                </c:pt>
                <c:pt idx="92">
                  <c:v>39.9993496</c:v>
                </c:pt>
                <c:pt idx="93">
                  <c:v>39.9993496</c:v>
                </c:pt>
                <c:pt idx="94">
                  <c:v>39.9993496</c:v>
                </c:pt>
                <c:pt idx="95">
                  <c:v>39.9993496</c:v>
                </c:pt>
                <c:pt idx="96">
                  <c:v>39.9993496</c:v>
                </c:pt>
                <c:pt idx="97">
                  <c:v>39.9993496</c:v>
                </c:pt>
                <c:pt idx="98">
                  <c:v>39.9993496</c:v>
                </c:pt>
                <c:pt idx="99">
                  <c:v>39.9993496</c:v>
                </c:pt>
                <c:pt idx="100">
                  <c:v>39.9993496</c:v>
                </c:pt>
                <c:pt idx="101">
                  <c:v>39.9993496</c:v>
                </c:pt>
                <c:pt idx="102">
                  <c:v>39.9993496</c:v>
                </c:pt>
                <c:pt idx="103">
                  <c:v>39.9993496</c:v>
                </c:pt>
                <c:pt idx="104">
                  <c:v>39.9993496</c:v>
                </c:pt>
                <c:pt idx="105">
                  <c:v>36.6662196</c:v>
                </c:pt>
                <c:pt idx="106">
                  <c:v>33.3330896</c:v>
                </c:pt>
                <c:pt idx="107">
                  <c:v>29.9999596</c:v>
                </c:pt>
                <c:pt idx="108">
                  <c:v>26.6668296</c:v>
                </c:pt>
                <c:pt idx="109">
                  <c:v>23.3336996</c:v>
                </c:pt>
                <c:pt idx="110">
                  <c:v>20.0005696</c:v>
                </c:pt>
                <c:pt idx="111">
                  <c:v>20.0005696</c:v>
                </c:pt>
                <c:pt idx="112">
                  <c:v>20.0005696</c:v>
                </c:pt>
                <c:pt idx="113">
                  <c:v>20.0005696</c:v>
                </c:pt>
                <c:pt idx="114">
                  <c:v>20.0005696</c:v>
                </c:pt>
                <c:pt idx="115">
                  <c:v>20.0005696</c:v>
                </c:pt>
                <c:pt idx="116">
                  <c:v>20.0005696</c:v>
                </c:pt>
                <c:pt idx="117">
                  <c:v>20.0005696</c:v>
                </c:pt>
                <c:pt idx="118">
                  <c:v>20.0005696</c:v>
                </c:pt>
                <c:pt idx="119">
                  <c:v>20.0005696</c:v>
                </c:pt>
                <c:pt idx="120">
                  <c:v>20.0005696</c:v>
                </c:pt>
                <c:pt idx="121">
                  <c:v>20.0005696</c:v>
                </c:pt>
                <c:pt idx="122">
                  <c:v>20.0005696</c:v>
                </c:pt>
                <c:pt idx="123">
                  <c:v>20.0005696</c:v>
                </c:pt>
                <c:pt idx="124">
                  <c:v>24.4745696</c:v>
                </c:pt>
                <c:pt idx="125">
                  <c:v>28.9485696</c:v>
                </c:pt>
                <c:pt idx="126">
                  <c:v>33.4225696</c:v>
                </c:pt>
                <c:pt idx="127">
                  <c:v>37.8965696</c:v>
                </c:pt>
                <c:pt idx="128">
                  <c:v>42.3705696</c:v>
                </c:pt>
                <c:pt idx="129">
                  <c:v>42.3705696</c:v>
                </c:pt>
                <c:pt idx="130">
                  <c:v>42.3705696</c:v>
                </c:pt>
                <c:pt idx="131">
                  <c:v>42.3705696</c:v>
                </c:pt>
                <c:pt idx="132">
                  <c:v>42.3705696</c:v>
                </c:pt>
                <c:pt idx="133">
                  <c:v>42.3705696</c:v>
                </c:pt>
                <c:pt idx="134">
                  <c:v>42.3705696</c:v>
                </c:pt>
                <c:pt idx="135">
                  <c:v>42.3705696</c:v>
                </c:pt>
                <c:pt idx="136">
                  <c:v>42.3705696</c:v>
                </c:pt>
                <c:pt idx="137">
                  <c:v>42.3705696</c:v>
                </c:pt>
                <c:pt idx="138">
                  <c:v>42.3705696</c:v>
                </c:pt>
                <c:pt idx="139">
                  <c:v>42.3705696</c:v>
                </c:pt>
                <c:pt idx="140">
                  <c:v>42.3705696</c:v>
                </c:pt>
                <c:pt idx="141">
                  <c:v>42.3705696</c:v>
                </c:pt>
                <c:pt idx="142">
                  <c:v>37.8965696</c:v>
                </c:pt>
                <c:pt idx="143">
                  <c:v>33.4225696</c:v>
                </c:pt>
                <c:pt idx="144">
                  <c:v>28.9485696</c:v>
                </c:pt>
                <c:pt idx="145">
                  <c:v>24.4745696</c:v>
                </c:pt>
                <c:pt idx="146">
                  <c:v>20.0005696</c:v>
                </c:pt>
                <c:pt idx="147">
                  <c:v>20.0005696</c:v>
                </c:pt>
                <c:pt idx="148">
                  <c:v>20.0005696</c:v>
                </c:pt>
                <c:pt idx="149">
                  <c:v>20.0005696</c:v>
                </c:pt>
                <c:pt idx="150">
                  <c:v>20.0005696</c:v>
                </c:pt>
                <c:pt idx="151">
                  <c:v>20.0005696</c:v>
                </c:pt>
                <c:pt idx="152">
                  <c:v>20.0005696</c:v>
                </c:pt>
                <c:pt idx="153">
                  <c:v>20.0005696</c:v>
                </c:pt>
                <c:pt idx="154">
                  <c:v>20.0005696</c:v>
                </c:pt>
                <c:pt idx="155">
                  <c:v>20.0005696</c:v>
                </c:pt>
                <c:pt idx="156">
                  <c:v>20.0005696</c:v>
                </c:pt>
                <c:pt idx="157">
                  <c:v>20.0005696</c:v>
                </c:pt>
                <c:pt idx="158">
                  <c:v>20.0005696</c:v>
                </c:pt>
                <c:pt idx="159">
                  <c:v>18.00051264</c:v>
                </c:pt>
                <c:pt idx="160">
                  <c:v>16.00045568</c:v>
                </c:pt>
                <c:pt idx="161">
                  <c:v>14.00039872</c:v>
                </c:pt>
                <c:pt idx="162">
                  <c:v>12.00034176</c:v>
                </c:pt>
                <c:pt idx="163">
                  <c:v>10.0002848</c:v>
                </c:pt>
                <c:pt idx="164">
                  <c:v>8.00022783999999</c:v>
                </c:pt>
                <c:pt idx="165">
                  <c:v>6.00017087999999</c:v>
                </c:pt>
                <c:pt idx="166">
                  <c:v>4.00011391999999</c:v>
                </c:pt>
                <c:pt idx="167">
                  <c:v>2.00005695999999</c:v>
                </c:pt>
                <c:pt idx="168">
                  <c:v>-7.45070671825942E-015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'Long Time Gap_vxgain_0.2'!$E$1</c:f>
              <c:strCache>
                <c:ptCount val="1"/>
                <c:pt idx="0">
                  <c:v>Simulated Ego Spd [mps]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Gap_vxgain_0.2'!$E$2:$E$170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-0.1200034176</c:v>
                </c:pt>
                <c:pt idx="12">
                  <c:v>-0.184200801444977</c:v>
                </c:pt>
                <c:pt idx="13">
                  <c:v>0.163671766424341</c:v>
                </c:pt>
                <c:pt idx="14">
                  <c:v>1.14123950361789</c:v>
                </c:pt>
                <c:pt idx="15">
                  <c:v>2.81432707324482</c:v>
                </c:pt>
                <c:pt idx="16">
                  <c:v>5.11316861785752</c:v>
                </c:pt>
                <c:pt idx="17">
                  <c:v>7.86971359958512</c:v>
                </c:pt>
                <c:pt idx="18">
                  <c:v>10.8655276469045</c:v>
                </c:pt>
                <c:pt idx="19">
                  <c:v>13.8798362198127</c:v>
                </c:pt>
                <c:pt idx="20">
                  <c:v>16.7291544268931</c:v>
                </c:pt>
                <c:pt idx="21">
                  <c:v>19.413016195995</c:v>
                </c:pt>
                <c:pt idx="22">
                  <c:v>21.7079671843753</c:v>
                </c:pt>
                <c:pt idx="23">
                  <c:v>23.2779992533542</c:v>
                </c:pt>
                <c:pt idx="24">
                  <c:v>23.9775684747608</c:v>
                </c:pt>
                <c:pt idx="25">
                  <c:v>23.8424341746034</c:v>
                </c:pt>
                <c:pt idx="26">
                  <c:v>23.0499901569177</c:v>
                </c:pt>
                <c:pt idx="27">
                  <c:v>21.8617381787095</c:v>
                </c:pt>
                <c:pt idx="28">
                  <c:v>20.5613996875212</c:v>
                </c:pt>
                <c:pt idx="29">
                  <c:v>19.4004560168402</c:v>
                </c:pt>
                <c:pt idx="30">
                  <c:v>18.5594214947365</c:v>
                </c:pt>
                <c:pt idx="31">
                  <c:v>18.1288342806074</c:v>
                </c:pt>
                <c:pt idx="32">
                  <c:v>18.1097164323181</c:v>
                </c:pt>
                <c:pt idx="33">
                  <c:v>18.4298435043651</c:v>
                </c:pt>
                <c:pt idx="34">
                  <c:v>18.9700294790408</c:v>
                </c:pt>
                <c:pt idx="35">
                  <c:v>19.5939193994031</c:v>
                </c:pt>
                <c:pt idx="36">
                  <c:v>20.055351801307</c:v>
                </c:pt>
                <c:pt idx="37">
                  <c:v>20.434701096469</c:v>
                </c:pt>
                <c:pt idx="38">
                  <c:v>21.0348179856626</c:v>
                </c:pt>
                <c:pt idx="39">
                  <c:v>22.0636974280678</c:v>
                </c:pt>
                <c:pt idx="40">
                  <c:v>23.6149803581407</c:v>
                </c:pt>
                <c:pt idx="41">
                  <c:v>25.672342946017</c:v>
                </c:pt>
                <c:pt idx="42">
                  <c:v>28.132604064213</c:v>
                </c:pt>
                <c:pt idx="43">
                  <c:v>30.8400081111792</c:v>
                </c:pt>
                <c:pt idx="44">
                  <c:v>33.6235423036758</c:v>
                </c:pt>
                <c:pt idx="45">
                  <c:v>36.3301048774542</c:v>
                </c:pt>
                <c:pt idx="46">
                  <c:v>38.968400926397</c:v>
                </c:pt>
                <c:pt idx="47">
                  <c:v>41.3052052082581</c:v>
                </c:pt>
                <c:pt idx="48">
                  <c:v>42.9810126275198</c:v>
                </c:pt>
                <c:pt idx="49">
                  <c:v>43.8197508013777</c:v>
                </c:pt>
                <c:pt idx="50">
                  <c:v>43.8263318331729</c:v>
                </c:pt>
                <c:pt idx="51">
                  <c:v>43.1525192144794</c:v>
                </c:pt>
                <c:pt idx="52">
                  <c:v>42.0429933522504</c:v>
                </c:pt>
                <c:pt idx="53">
                  <c:v>40.7748311390026</c:v>
                </c:pt>
                <c:pt idx="54">
                  <c:v>39.6023556571087</c:v>
                </c:pt>
                <c:pt idx="55">
                  <c:v>38.7161613472808</c:v>
                </c:pt>
                <c:pt idx="56">
                  <c:v>38.2209848149083</c:v>
                </c:pt>
                <c:pt idx="57">
                  <c:v>38.1328870260827</c:v>
                </c:pt>
                <c:pt idx="58">
                  <c:v>38.3926982057724</c:v>
                </c:pt>
                <c:pt idx="59">
                  <c:v>38.8903494985252</c:v>
                </c:pt>
                <c:pt idx="60">
                  <c:v>39.4937704251386</c:v>
                </c:pt>
                <c:pt idx="61">
                  <c:v>40.1963855570864</c:v>
                </c:pt>
                <c:pt idx="62">
                  <c:v>40.7227637671868</c:v>
                </c:pt>
                <c:pt idx="63">
                  <c:v>40.6567108850973</c:v>
                </c:pt>
                <c:pt idx="64">
                  <c:v>39.7637094119266</c:v>
                </c:pt>
                <c:pt idx="65">
                  <c:v>37.9991702700856</c:v>
                </c:pt>
                <c:pt idx="66">
                  <c:v>35.4814452185255</c:v>
                </c:pt>
                <c:pt idx="67">
                  <c:v>32.4408679355782</c:v>
                </c:pt>
                <c:pt idx="68">
                  <c:v>29.1582772064422</c:v>
                </c:pt>
                <c:pt idx="69">
                  <c:v>25.905870720348</c:v>
                </c:pt>
                <c:pt idx="70">
                  <c:v>22.900462900041</c:v>
                </c:pt>
                <c:pt idx="71">
                  <c:v>20.1551630925386</c:v>
                </c:pt>
                <c:pt idx="72">
                  <c:v>17.8869394495398</c:v>
                </c:pt>
                <c:pt idx="73">
                  <c:v>16.4108516827582</c:v>
                </c:pt>
                <c:pt idx="74">
                  <c:v>15.8434104046444</c:v>
                </c:pt>
                <c:pt idx="75">
                  <c:v>16.1183789341059</c:v>
                </c:pt>
                <c:pt idx="76">
                  <c:v>17.0321188787196</c:v>
                </c:pt>
                <c:pt idx="77">
                  <c:v>18.3049986438016</c:v>
                </c:pt>
                <c:pt idx="78">
                  <c:v>19.6450094373902</c:v>
                </c:pt>
                <c:pt idx="79">
                  <c:v>20.8018877073405</c:v>
                </c:pt>
                <c:pt idx="80">
                  <c:v>21.6038789779543</c:v>
                </c:pt>
                <c:pt idx="81">
                  <c:v>21.9738055877273</c:v>
                </c:pt>
                <c:pt idx="82">
                  <c:v>21.9253888951723</c:v>
                </c:pt>
                <c:pt idx="83">
                  <c:v>21.544107755484</c:v>
                </c:pt>
                <c:pt idx="84">
                  <c:v>20.9588338416381</c:v>
                </c:pt>
                <c:pt idx="85">
                  <c:v>20.3109751272769</c:v>
                </c:pt>
                <c:pt idx="86">
                  <c:v>19.5270764219119</c:v>
                </c:pt>
                <c:pt idx="87">
                  <c:v>18.9920516984644</c:v>
                </c:pt>
                <c:pt idx="88">
                  <c:v>19.3469758104876</c:v>
                </c:pt>
                <c:pt idx="89">
                  <c:v>20.9570929396613</c:v>
                </c:pt>
                <c:pt idx="90">
                  <c:v>23.8976570101204</c:v>
                </c:pt>
                <c:pt idx="91">
                  <c:v>27.9938637012559</c:v>
                </c:pt>
                <c:pt idx="92">
                  <c:v>33.0978308745085</c:v>
                </c:pt>
                <c:pt idx="93">
                  <c:v>38.4892052942918</c:v>
                </c:pt>
                <c:pt idx="94">
                  <c:v>43.1578994152085</c:v>
                </c:pt>
                <c:pt idx="95">
                  <c:v>46.4077732382697</c:v>
                </c:pt>
                <c:pt idx="96">
                  <c:v>47.9225412527422</c:v>
                </c:pt>
                <c:pt idx="97">
                  <c:v>47.7521218719904</c:v>
                </c:pt>
                <c:pt idx="98">
                  <c:v>46.2364739984744</c:v>
                </c:pt>
                <c:pt idx="99">
                  <c:v>43.8919324354064</c:v>
                </c:pt>
                <c:pt idx="100">
                  <c:v>41.2871158028201</c:v>
                </c:pt>
                <c:pt idx="101">
                  <c:v>38.9323565389217</c:v>
                </c:pt>
                <c:pt idx="102">
                  <c:v>37.1998002454778</c:v>
                </c:pt>
                <c:pt idx="103">
                  <c:v>36.2827248384652</c:v>
                </c:pt>
                <c:pt idx="104">
                  <c:v>36.194094886134</c:v>
                </c:pt>
                <c:pt idx="105">
                  <c:v>36.9973850642374</c:v>
                </c:pt>
                <c:pt idx="106">
                  <c:v>38.1653243638481</c:v>
                </c:pt>
                <c:pt idx="107">
                  <c:v>38.8317085196606</c:v>
                </c:pt>
                <c:pt idx="108">
                  <c:v>38.3785762635473</c:v>
                </c:pt>
                <c:pt idx="109">
                  <c:v>36.5003102344632</c:v>
                </c:pt>
                <c:pt idx="110">
                  <c:v>33.2004991696271</c:v>
                </c:pt>
                <c:pt idx="111">
                  <c:v>28.5344876946772</c:v>
                </c:pt>
                <c:pt idx="112">
                  <c:v>23.2107408713132</c:v>
                </c:pt>
                <c:pt idx="113">
                  <c:v>18.295396665092</c:v>
                </c:pt>
                <c:pt idx="114">
                  <c:v>14.586146421879</c:v>
                </c:pt>
                <c:pt idx="115">
                  <c:v>12.5199348609895</c:v>
                </c:pt>
                <c:pt idx="116">
                  <c:v>12.1616753261723</c:v>
                </c:pt>
                <c:pt idx="117">
                  <c:v>13.2610951602623</c:v>
                </c:pt>
                <c:pt idx="118">
                  <c:v>15.3550971886986</c:v>
                </c:pt>
                <c:pt idx="119">
                  <c:v>17.8890976124934</c:v>
                </c:pt>
                <c:pt idx="120">
                  <c:v>20.3323086512969</c:v>
                </c:pt>
                <c:pt idx="121">
                  <c:v>22.2676096831945</c:v>
                </c:pt>
                <c:pt idx="122">
                  <c:v>23.4447198306808</c:v>
                </c:pt>
                <c:pt idx="123">
                  <c:v>23.793975283437</c:v>
                </c:pt>
                <c:pt idx="124">
                  <c:v>23.1370650916385</c:v>
                </c:pt>
                <c:pt idx="125">
                  <c:v>22.0718164177955</c:v>
                </c:pt>
                <c:pt idx="126">
                  <c:v>21.6567971763634</c:v>
                </c:pt>
                <c:pt idx="127">
                  <c:v>22.6405821747424</c:v>
                </c:pt>
                <c:pt idx="128">
                  <c:v>25.3858093418152</c:v>
                </c:pt>
                <c:pt idx="129">
                  <c:v>30.1441579709147</c:v>
                </c:pt>
                <c:pt idx="130">
                  <c:v>36.1988951723197</c:v>
                </c:pt>
                <c:pt idx="131">
                  <c:v>42.2367213075368</c:v>
                </c:pt>
                <c:pt idx="132">
                  <c:v>47.1886946809436</c:v>
                </c:pt>
                <c:pt idx="133">
                  <c:v>50.3751205166881</c:v>
                </c:pt>
                <c:pt idx="134">
                  <c:v>51.5546996083002</c:v>
                </c:pt>
                <c:pt idx="135">
                  <c:v>50.8868049698248</c:v>
                </c:pt>
                <c:pt idx="136">
                  <c:v>48.8295496214668</c:v>
                </c:pt>
                <c:pt idx="137">
                  <c:v>46.0035443033179</c:v>
                </c:pt>
                <c:pt idx="138">
                  <c:v>43.0518411207596</c:v>
                </c:pt>
                <c:pt idx="139">
                  <c:v>40.521631846399</c:v>
                </c:pt>
                <c:pt idx="140">
                  <c:v>38.7847079798214</c:v>
                </c:pt>
                <c:pt idx="141">
                  <c:v>38.0036817737288</c:v>
                </c:pt>
                <c:pt idx="142">
                  <c:v>38.4099960222206</c:v>
                </c:pt>
                <c:pt idx="143">
                  <c:v>39.417022360744</c:v>
                </c:pt>
                <c:pt idx="144">
                  <c:v>39.941176579758</c:v>
                </c:pt>
                <c:pt idx="145">
                  <c:v>39.1837497952274</c:v>
                </c:pt>
                <c:pt idx="146">
                  <c:v>36.7203698939901</c:v>
                </c:pt>
                <c:pt idx="147">
                  <c:v>32.2391163801807</c:v>
                </c:pt>
                <c:pt idx="148">
                  <c:v>26.4083957060505</c:v>
                </c:pt>
                <c:pt idx="149">
                  <c:v>20.5114867960916</c:v>
                </c:pt>
                <c:pt idx="150">
                  <c:v>15.6075825147681</c:v>
                </c:pt>
                <c:pt idx="151">
                  <c:v>12.384906127168</c:v>
                </c:pt>
                <c:pt idx="152">
                  <c:v>11.1066894034208</c:v>
                </c:pt>
                <c:pt idx="153">
                  <c:v>11.6425383480304</c:v>
                </c:pt>
                <c:pt idx="154">
                  <c:v>13.5639250466693</c:v>
                </c:pt>
                <c:pt idx="155">
                  <c:v>16.2750655671609</c:v>
                </c:pt>
                <c:pt idx="156">
                  <c:v>19.1494426458286</c:v>
                </c:pt>
                <c:pt idx="157">
                  <c:v>21.6466954116796</c:v>
                </c:pt>
                <c:pt idx="158">
                  <c:v>23.392729830666</c:v>
                </c:pt>
                <c:pt idx="159">
                  <c:v>24.3355884475183</c:v>
                </c:pt>
                <c:pt idx="160">
                  <c:v>24.3230191243295</c:v>
                </c:pt>
                <c:pt idx="161">
                  <c:v>23.1777188132339</c:v>
                </c:pt>
                <c:pt idx="162">
                  <c:v>20.9560915063475</c:v>
                </c:pt>
                <c:pt idx="163">
                  <c:v>17.8952832331552</c:v>
                </c:pt>
                <c:pt idx="164">
                  <c:v>14.3378590955183</c:v>
                </c:pt>
                <c:pt idx="165">
                  <c:v>10.6516052478428</c:v>
                </c:pt>
                <c:pt idx="166">
                  <c:v>7.15959135311873</c:v>
                </c:pt>
                <c:pt idx="167">
                  <c:v>4.09102566684695</c:v>
                </c:pt>
                <c:pt idx="168">
                  <c:v>1.55780747878317</c:v>
                </c:pt>
              </c:numCache>
            </c:numRef>
          </c:yVal>
          <c:smooth val="0"/>
        </c:ser>
        <c:axId val="54270299"/>
        <c:axId val="62276859"/>
      </c:scatterChart>
      <c:valAx>
        <c:axId val="5427029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276859"/>
        <c:crosses val="autoZero"/>
        <c:crossBetween val="midCat"/>
      </c:valAx>
      <c:valAx>
        <c:axId val="622768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27029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Gap_vxgain_0.2'!$J$2:$J$103</c:f>
              <c:numCache>
                <c:formatCode>General</c:formatCode>
                <c:ptCount val="10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5.47684266666667</c:v>
                </c:pt>
                <c:pt idx="12">
                  <c:v>6.90375460977778</c:v>
                </c:pt>
                <c:pt idx="13">
                  <c:v>9.1702758084077</c:v>
                </c:pt>
                <c:pt idx="14">
                  <c:v>12.0371690509966</c:v>
                </c:pt>
                <c:pt idx="15">
                  <c:v>15.2025642172816</c:v>
                </c:pt>
                <c:pt idx="16">
                  <c:v>18.3670675319832</c:v>
                </c:pt>
                <c:pt idx="17">
                  <c:v>21.2864654957263</c:v>
                </c:pt>
                <c:pt idx="18">
                  <c:v>23.8049454401137</c:v>
                </c:pt>
                <c:pt idx="19">
                  <c:v>25.8665148243546</c:v>
                </c:pt>
                <c:pt idx="20">
                  <c:v>27.5065983007229</c:v>
                </c:pt>
                <c:pt idx="21">
                  <c:v>28.3521047554837</c:v>
                </c:pt>
                <c:pt idx="22">
                  <c:v>28.0709074018625</c:v>
                </c:pt>
                <c:pt idx="23">
                  <c:v>26.9199975143205</c:v>
                </c:pt>
                <c:pt idx="24">
                  <c:v>25.2635593741242</c:v>
                </c:pt>
                <c:pt idx="25">
                  <c:v>23.4886076343761</c:v>
                </c:pt>
                <c:pt idx="26">
                  <c:v>21.9320750032736</c:v>
                </c:pt>
                <c:pt idx="27">
                  <c:v>20.8301919184613</c:v>
                </c:pt>
                <c:pt idx="28">
                  <c:v>20.2950493599356</c:v>
                </c:pt>
                <c:pt idx="29">
                  <c:v>20.3175105474792</c:v>
                </c:pt>
                <c:pt idx="30">
                  <c:v>20.7911121951263</c:v>
                </c:pt>
                <c:pt idx="31">
                  <c:v>21.5488541079934</c:v>
                </c:pt>
                <c:pt idx="32">
                  <c:v>22.4039763332543</c:v>
                </c:pt>
                <c:pt idx="33">
                  <c:v>23.1867508317239</c:v>
                </c:pt>
                <c:pt idx="34">
                  <c:v>23.7714875469086</c:v>
                </c:pt>
                <c:pt idx="35">
                  <c:v>24.0907581702183</c:v>
                </c:pt>
                <c:pt idx="36">
                  <c:v>24.6135038638655</c:v>
                </c:pt>
                <c:pt idx="37">
                  <c:v>25.8550397895405</c:v>
                </c:pt>
                <c:pt idx="38">
                  <c:v>27.7803244169097</c:v>
                </c:pt>
                <c:pt idx="39">
                  <c:v>30.2393526896244</c:v>
                </c:pt>
                <c:pt idx="40">
                  <c:v>33.0149179977735</c:v>
                </c:pt>
                <c:pt idx="41">
                  <c:v>35.8735285703537</c:v>
                </c:pt>
                <c:pt idx="42">
                  <c:v>38.6098580871036</c:v>
                </c:pt>
                <c:pt idx="43">
                  <c:v>41.0780263234206</c:v>
                </c:pt>
                <c:pt idx="44">
                  <c:v>43.2065761233271</c:v>
                </c:pt>
                <c:pt idx="45">
                  <c:v>44.9974837083312</c:v>
                </c:pt>
                <c:pt idx="46">
                  <c:v>46.035469698723</c:v>
                </c:pt>
                <c:pt idx="47">
                  <c:v>45.9465761550407</c:v>
                </c:pt>
                <c:pt idx="48">
                  <c:v>44.9536820364135</c:v>
                </c:pt>
                <c:pt idx="49">
                  <c:v>43.3992164264552</c:v>
                </c:pt>
                <c:pt idx="50">
                  <c:v>41.6623876908741</c:v>
                </c:pt>
                <c:pt idx="51">
                  <c:v>40.0850937106969</c:v>
                </c:pt>
                <c:pt idx="52">
                  <c:v>38.9180728520219</c:v>
                </c:pt>
                <c:pt idx="53">
                  <c:v>38.2931370692043</c:v>
                </c:pt>
                <c:pt idx="54">
                  <c:v>38.2216239917414</c:v>
                </c:pt>
                <c:pt idx="55">
                  <c:v>38.6145243688697</c:v>
                </c:pt>
                <c:pt idx="56">
                  <c:v>39.3167276831953</c:v>
                </c:pt>
                <c:pt idx="57">
                  <c:v>40.146710828672</c:v>
                </c:pt>
                <c:pt idx="58">
                  <c:v>40.9336225933891</c:v>
                </c:pt>
                <c:pt idx="59">
                  <c:v>41.5456579844309</c:v>
                </c:pt>
                <c:pt idx="60">
                  <c:v>41.9062851092613</c:v>
                </c:pt>
                <c:pt idx="61">
                  <c:v>41.520833204195</c:v>
                </c:pt>
                <c:pt idx="62">
                  <c:v>39.9493283825371</c:v>
                </c:pt>
                <c:pt idx="63">
                  <c:v>37.3712724830713</c:v>
                </c:pt>
                <c:pt idx="64">
                  <c:v>34.1118976313576</c:v>
                </c:pt>
                <c:pt idx="65">
                  <c:v>30.5576374807355</c:v>
                </c:pt>
                <c:pt idx="66">
                  <c:v>27.0762662895482</c:v>
                </c:pt>
                <c:pt idx="67">
                  <c:v>23.9550277405305</c:v>
                </c:pt>
                <c:pt idx="68">
                  <c:v>21.3644329593692</c:v>
                </c:pt>
                <c:pt idx="69">
                  <c:v>19.3494381669822</c:v>
                </c:pt>
                <c:pt idx="70">
                  <c:v>17.8445366541253</c:v>
                </c:pt>
                <c:pt idx="71">
                  <c:v>17.1825331600431</c:v>
                </c:pt>
                <c:pt idx="72">
                  <c:v>17.6540921759013</c:v>
                </c:pt>
                <c:pt idx="73">
                  <c:v>18.9671621796128</c:v>
                </c:pt>
                <c:pt idx="74">
                  <c:v>20.7339492778622</c:v>
                </c:pt>
                <c:pt idx="75">
                  <c:v>22.5573674864972</c:v>
                </c:pt>
                <c:pt idx="76">
                  <c:v>24.103251232854</c:v>
                </c:pt>
                <c:pt idx="77">
                  <c:v>25.1481249362579</c:v>
                </c:pt>
                <c:pt idx="78">
                  <c:v>25.598539978154</c:v>
                </c:pt>
                <c:pt idx="79">
                  <c:v>25.4837709573405</c:v>
                </c:pt>
                <c:pt idx="80">
                  <c:v>24.9280640221488</c:v>
                </c:pt>
                <c:pt idx="81">
                  <c:v>24.1111226162251</c:v>
                </c:pt>
                <c:pt idx="82">
                  <c:v>23.2260083152648</c:v>
                </c:pt>
                <c:pt idx="83">
                  <c:v>22.4424067438596</c:v>
                </c:pt>
                <c:pt idx="84">
                  <c:v>21.8807949305005</c:v>
                </c:pt>
                <c:pt idx="85">
                  <c:v>21.6000933882922</c:v>
                </c:pt>
                <c:pt idx="86">
                  <c:v>22.3931838367862</c:v>
                </c:pt>
                <c:pt idx="87">
                  <c:v>24.9976895549477</c:v>
                </c:pt>
                <c:pt idx="88">
                  <c:v>29.147383765704</c:v>
                </c:pt>
                <c:pt idx="89">
                  <c:v>34.3506094562175</c:v>
                </c:pt>
                <c:pt idx="90">
                  <c:v>40.0190048797149</c:v>
                </c:pt>
                <c:pt idx="91">
                  <c:v>45.5897426334068</c:v>
                </c:pt>
                <c:pt idx="92">
                  <c:v>49.826103479011</c:v>
                </c:pt>
                <c:pt idx="93">
                  <c:v>51.6744623914941</c:v>
                </c:pt>
                <c:pt idx="94">
                  <c:v>51.2454946658824</c:v>
                </c:pt>
                <c:pt idx="95">
                  <c:v>49.0338879338352</c:v>
                </c:pt>
                <c:pt idx="96">
                  <c:v>45.7599346925144</c:v>
                </c:pt>
                <c:pt idx="97">
                  <c:v>42.2001792092499</c:v>
                </c:pt>
                <c:pt idx="98">
                  <c:v>39.0391999474228</c:v>
                </c:pt>
                <c:pt idx="99">
                  <c:v>36.7649601281603</c:v>
                </c:pt>
                <c:pt idx="100">
                  <c:v>35.6183006618155</c:v>
                </c:pt>
                <c:pt idx="101">
                  <c:v>35.5955930954433</c:v>
                </c:pt>
              </c:numCache>
            </c:numRef>
          </c:yVal>
          <c:smooth val="0"/>
        </c:ser>
        <c:axId val="50637999"/>
        <c:axId val="69954555"/>
      </c:scatterChart>
      <c:valAx>
        <c:axId val="5063799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9954555"/>
        <c:crosses val="autoZero"/>
        <c:crossBetween val="midCat"/>
      </c:valAx>
      <c:valAx>
        <c:axId val="699545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063799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'Long Time Gap_vxgain_0.2'!$G$1</c:f>
              <c:strCache>
                <c:ptCount val="1"/>
                <c:pt idx="0">
                  <c:v>Safe Theorical Dist [m]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Gap_vxgain_0.2'!$G$2:$G$170</c:f>
              <c:numCache>
                <c:formatCode>General</c:formatCode>
                <c:ptCount val="16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6.78816</c:v>
                </c:pt>
                <c:pt idx="12">
                  <c:v>8.57632</c:v>
                </c:pt>
                <c:pt idx="13">
                  <c:v>10.36448</c:v>
                </c:pt>
                <c:pt idx="14">
                  <c:v>12.15264</c:v>
                </c:pt>
                <c:pt idx="15">
                  <c:v>13.9408</c:v>
                </c:pt>
                <c:pt idx="16">
                  <c:v>15.72896</c:v>
                </c:pt>
                <c:pt idx="17">
                  <c:v>17.51712</c:v>
                </c:pt>
                <c:pt idx="18">
                  <c:v>19.30528</c:v>
                </c:pt>
                <c:pt idx="19">
                  <c:v>21.09344</c:v>
                </c:pt>
                <c:pt idx="20">
                  <c:v>22.8816</c:v>
                </c:pt>
                <c:pt idx="21">
                  <c:v>22.8816</c:v>
                </c:pt>
                <c:pt idx="22">
                  <c:v>22.8816</c:v>
                </c:pt>
                <c:pt idx="23">
                  <c:v>22.8816</c:v>
                </c:pt>
                <c:pt idx="24">
                  <c:v>22.8816</c:v>
                </c:pt>
                <c:pt idx="25">
                  <c:v>22.8816</c:v>
                </c:pt>
                <c:pt idx="26">
                  <c:v>22.8816</c:v>
                </c:pt>
                <c:pt idx="27">
                  <c:v>22.8816</c:v>
                </c:pt>
                <c:pt idx="28">
                  <c:v>22.8816</c:v>
                </c:pt>
                <c:pt idx="29">
                  <c:v>22.8816</c:v>
                </c:pt>
                <c:pt idx="30">
                  <c:v>22.8816</c:v>
                </c:pt>
                <c:pt idx="31">
                  <c:v>22.8816</c:v>
                </c:pt>
                <c:pt idx="32">
                  <c:v>22.8816</c:v>
                </c:pt>
                <c:pt idx="33">
                  <c:v>22.8816</c:v>
                </c:pt>
                <c:pt idx="34">
                  <c:v>22.8816</c:v>
                </c:pt>
                <c:pt idx="35">
                  <c:v>22.8816</c:v>
                </c:pt>
                <c:pt idx="36">
                  <c:v>24.66976</c:v>
                </c:pt>
                <c:pt idx="37">
                  <c:v>26.45792</c:v>
                </c:pt>
                <c:pt idx="38">
                  <c:v>28.24608</c:v>
                </c:pt>
                <c:pt idx="39">
                  <c:v>30.03424</c:v>
                </c:pt>
                <c:pt idx="40">
                  <c:v>31.8224</c:v>
                </c:pt>
                <c:pt idx="41">
                  <c:v>33.61056</c:v>
                </c:pt>
                <c:pt idx="42">
                  <c:v>35.39872</c:v>
                </c:pt>
                <c:pt idx="43">
                  <c:v>37.18688</c:v>
                </c:pt>
                <c:pt idx="44">
                  <c:v>38.97504</c:v>
                </c:pt>
                <c:pt idx="45">
                  <c:v>40.7632</c:v>
                </c:pt>
                <c:pt idx="46">
                  <c:v>40.7632</c:v>
                </c:pt>
                <c:pt idx="47">
                  <c:v>40.7632</c:v>
                </c:pt>
                <c:pt idx="48">
                  <c:v>40.7632</c:v>
                </c:pt>
                <c:pt idx="49">
                  <c:v>40.7632</c:v>
                </c:pt>
                <c:pt idx="50">
                  <c:v>40.7632</c:v>
                </c:pt>
                <c:pt idx="51">
                  <c:v>40.7632</c:v>
                </c:pt>
                <c:pt idx="52">
                  <c:v>40.7632</c:v>
                </c:pt>
                <c:pt idx="53">
                  <c:v>40.7632</c:v>
                </c:pt>
                <c:pt idx="54">
                  <c:v>40.7632</c:v>
                </c:pt>
                <c:pt idx="55">
                  <c:v>40.7632</c:v>
                </c:pt>
                <c:pt idx="56">
                  <c:v>40.7632</c:v>
                </c:pt>
                <c:pt idx="57">
                  <c:v>40.7632</c:v>
                </c:pt>
                <c:pt idx="58">
                  <c:v>40.7632</c:v>
                </c:pt>
                <c:pt idx="59">
                  <c:v>40.7632</c:v>
                </c:pt>
                <c:pt idx="60">
                  <c:v>40.7632</c:v>
                </c:pt>
                <c:pt idx="61">
                  <c:v>38.97504</c:v>
                </c:pt>
                <c:pt idx="62">
                  <c:v>37.18688</c:v>
                </c:pt>
                <c:pt idx="63">
                  <c:v>35.39872</c:v>
                </c:pt>
                <c:pt idx="64">
                  <c:v>33.61056</c:v>
                </c:pt>
                <c:pt idx="65">
                  <c:v>31.8224</c:v>
                </c:pt>
                <c:pt idx="66">
                  <c:v>30.03424</c:v>
                </c:pt>
                <c:pt idx="67">
                  <c:v>28.24608</c:v>
                </c:pt>
                <c:pt idx="68">
                  <c:v>26.45792</c:v>
                </c:pt>
                <c:pt idx="69">
                  <c:v>24.66976</c:v>
                </c:pt>
                <c:pt idx="70">
                  <c:v>22.8816</c:v>
                </c:pt>
                <c:pt idx="71">
                  <c:v>22.8816</c:v>
                </c:pt>
                <c:pt idx="72">
                  <c:v>22.8816</c:v>
                </c:pt>
                <c:pt idx="73">
                  <c:v>22.8816</c:v>
                </c:pt>
                <c:pt idx="74">
                  <c:v>22.8816</c:v>
                </c:pt>
                <c:pt idx="75">
                  <c:v>22.8816</c:v>
                </c:pt>
                <c:pt idx="76">
                  <c:v>22.8816</c:v>
                </c:pt>
                <c:pt idx="77">
                  <c:v>22.8816</c:v>
                </c:pt>
                <c:pt idx="78">
                  <c:v>22.8816</c:v>
                </c:pt>
                <c:pt idx="79">
                  <c:v>22.8816</c:v>
                </c:pt>
                <c:pt idx="80">
                  <c:v>22.8816</c:v>
                </c:pt>
                <c:pt idx="81">
                  <c:v>22.8816</c:v>
                </c:pt>
                <c:pt idx="82">
                  <c:v>22.8816</c:v>
                </c:pt>
                <c:pt idx="83">
                  <c:v>22.8816</c:v>
                </c:pt>
                <c:pt idx="84">
                  <c:v>22.8816</c:v>
                </c:pt>
                <c:pt idx="85">
                  <c:v>22.8816</c:v>
                </c:pt>
                <c:pt idx="86">
                  <c:v>25.8616</c:v>
                </c:pt>
                <c:pt idx="87">
                  <c:v>28.8416</c:v>
                </c:pt>
                <c:pt idx="88">
                  <c:v>31.8216</c:v>
                </c:pt>
                <c:pt idx="89">
                  <c:v>34.8016</c:v>
                </c:pt>
                <c:pt idx="90">
                  <c:v>37.7816</c:v>
                </c:pt>
                <c:pt idx="91">
                  <c:v>40.7616</c:v>
                </c:pt>
                <c:pt idx="92">
                  <c:v>40.7616</c:v>
                </c:pt>
                <c:pt idx="93">
                  <c:v>40.7616</c:v>
                </c:pt>
                <c:pt idx="94">
                  <c:v>40.7616</c:v>
                </c:pt>
                <c:pt idx="95">
                  <c:v>40.7616</c:v>
                </c:pt>
                <c:pt idx="96">
                  <c:v>40.7616</c:v>
                </c:pt>
                <c:pt idx="97">
                  <c:v>40.7616</c:v>
                </c:pt>
                <c:pt idx="98">
                  <c:v>40.7616</c:v>
                </c:pt>
                <c:pt idx="99">
                  <c:v>40.7616</c:v>
                </c:pt>
                <c:pt idx="100">
                  <c:v>40.7616</c:v>
                </c:pt>
                <c:pt idx="101">
                  <c:v>40.7616</c:v>
                </c:pt>
                <c:pt idx="102">
                  <c:v>40.7616</c:v>
                </c:pt>
                <c:pt idx="103">
                  <c:v>40.7616</c:v>
                </c:pt>
                <c:pt idx="104">
                  <c:v>40.7616</c:v>
                </c:pt>
                <c:pt idx="105">
                  <c:v>37.7816</c:v>
                </c:pt>
                <c:pt idx="106">
                  <c:v>34.8016</c:v>
                </c:pt>
                <c:pt idx="107">
                  <c:v>31.8216</c:v>
                </c:pt>
                <c:pt idx="108">
                  <c:v>28.8416</c:v>
                </c:pt>
                <c:pt idx="109">
                  <c:v>25.8616</c:v>
                </c:pt>
                <c:pt idx="110">
                  <c:v>22.8816</c:v>
                </c:pt>
                <c:pt idx="111">
                  <c:v>22.8816</c:v>
                </c:pt>
                <c:pt idx="112">
                  <c:v>22.8816</c:v>
                </c:pt>
                <c:pt idx="113">
                  <c:v>22.8816</c:v>
                </c:pt>
                <c:pt idx="114">
                  <c:v>22.8816</c:v>
                </c:pt>
                <c:pt idx="115">
                  <c:v>22.8816</c:v>
                </c:pt>
                <c:pt idx="116">
                  <c:v>22.8816</c:v>
                </c:pt>
                <c:pt idx="117">
                  <c:v>22.8816</c:v>
                </c:pt>
                <c:pt idx="118">
                  <c:v>22.8816</c:v>
                </c:pt>
                <c:pt idx="119">
                  <c:v>22.8816</c:v>
                </c:pt>
                <c:pt idx="120">
                  <c:v>22.8816</c:v>
                </c:pt>
                <c:pt idx="121">
                  <c:v>22.8816</c:v>
                </c:pt>
                <c:pt idx="122">
                  <c:v>22.8816</c:v>
                </c:pt>
                <c:pt idx="123">
                  <c:v>22.8816</c:v>
                </c:pt>
                <c:pt idx="124">
                  <c:v>26.8816</c:v>
                </c:pt>
                <c:pt idx="125">
                  <c:v>30.8816</c:v>
                </c:pt>
                <c:pt idx="126">
                  <c:v>34.8816</c:v>
                </c:pt>
                <c:pt idx="127">
                  <c:v>38.8816</c:v>
                </c:pt>
                <c:pt idx="128">
                  <c:v>42.8816</c:v>
                </c:pt>
                <c:pt idx="129">
                  <c:v>42.8816</c:v>
                </c:pt>
                <c:pt idx="130">
                  <c:v>42.8816</c:v>
                </c:pt>
                <c:pt idx="131">
                  <c:v>42.8816</c:v>
                </c:pt>
                <c:pt idx="132">
                  <c:v>42.8816</c:v>
                </c:pt>
                <c:pt idx="133">
                  <c:v>42.8816</c:v>
                </c:pt>
                <c:pt idx="134">
                  <c:v>42.8816</c:v>
                </c:pt>
                <c:pt idx="135">
                  <c:v>42.8816</c:v>
                </c:pt>
                <c:pt idx="136">
                  <c:v>42.8816</c:v>
                </c:pt>
                <c:pt idx="137">
                  <c:v>42.8816</c:v>
                </c:pt>
                <c:pt idx="138">
                  <c:v>42.8816</c:v>
                </c:pt>
                <c:pt idx="139">
                  <c:v>42.8816</c:v>
                </c:pt>
                <c:pt idx="140">
                  <c:v>42.8816</c:v>
                </c:pt>
                <c:pt idx="141">
                  <c:v>42.8816</c:v>
                </c:pt>
                <c:pt idx="142">
                  <c:v>38.8816</c:v>
                </c:pt>
                <c:pt idx="143">
                  <c:v>34.8816</c:v>
                </c:pt>
                <c:pt idx="144">
                  <c:v>30.8816</c:v>
                </c:pt>
                <c:pt idx="145">
                  <c:v>26.8816</c:v>
                </c:pt>
                <c:pt idx="146">
                  <c:v>22.8816</c:v>
                </c:pt>
                <c:pt idx="147">
                  <c:v>22.8816</c:v>
                </c:pt>
                <c:pt idx="148">
                  <c:v>22.8816</c:v>
                </c:pt>
                <c:pt idx="149">
                  <c:v>22.8816</c:v>
                </c:pt>
                <c:pt idx="150">
                  <c:v>22.8816</c:v>
                </c:pt>
                <c:pt idx="151">
                  <c:v>22.8816</c:v>
                </c:pt>
                <c:pt idx="152">
                  <c:v>22.8816</c:v>
                </c:pt>
                <c:pt idx="153">
                  <c:v>22.8816</c:v>
                </c:pt>
                <c:pt idx="154">
                  <c:v>22.8816</c:v>
                </c:pt>
                <c:pt idx="155">
                  <c:v>22.8816</c:v>
                </c:pt>
                <c:pt idx="156">
                  <c:v>22.8816</c:v>
                </c:pt>
                <c:pt idx="157">
                  <c:v>22.8816</c:v>
                </c:pt>
                <c:pt idx="158">
                  <c:v>22.8816</c:v>
                </c:pt>
                <c:pt idx="159">
                  <c:v>21.09344</c:v>
                </c:pt>
                <c:pt idx="160">
                  <c:v>19.30528</c:v>
                </c:pt>
                <c:pt idx="161">
                  <c:v>17.51712</c:v>
                </c:pt>
                <c:pt idx="162">
                  <c:v>15.72896</c:v>
                </c:pt>
                <c:pt idx="163">
                  <c:v>13.9408</c:v>
                </c:pt>
                <c:pt idx="164">
                  <c:v>12.15264</c:v>
                </c:pt>
                <c:pt idx="165">
                  <c:v>10.36448</c:v>
                </c:pt>
                <c:pt idx="166">
                  <c:v>8.57631999999999</c:v>
                </c:pt>
                <c:pt idx="167">
                  <c:v>6.78815999999999</c:v>
                </c:pt>
                <c:pt idx="168">
                  <c:v>4.99999999999999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'Long Time Gap_vxgain_0.2'!$J$1</c:f>
              <c:strCache>
                <c:ptCount val="1"/>
                <c:pt idx="0">
                  <c:v>Simulated Dist [m]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Gap_vxgain_0.2'!$J$2:$J$170</c:f>
              <c:numCache>
                <c:formatCode>General</c:formatCode>
                <c:ptCount val="16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5.47684266666667</c:v>
                </c:pt>
                <c:pt idx="12">
                  <c:v>6.90375460977778</c:v>
                </c:pt>
                <c:pt idx="13">
                  <c:v>9.1702758084077</c:v>
                </c:pt>
                <c:pt idx="14">
                  <c:v>12.0371690509966</c:v>
                </c:pt>
                <c:pt idx="15">
                  <c:v>15.2025642172816</c:v>
                </c:pt>
                <c:pt idx="16">
                  <c:v>18.3670675319832</c:v>
                </c:pt>
                <c:pt idx="17">
                  <c:v>21.2864654957263</c:v>
                </c:pt>
                <c:pt idx="18">
                  <c:v>23.8049454401137</c:v>
                </c:pt>
                <c:pt idx="19">
                  <c:v>25.8665148243546</c:v>
                </c:pt>
                <c:pt idx="20">
                  <c:v>27.5065983007229</c:v>
                </c:pt>
                <c:pt idx="21">
                  <c:v>28.3521047554837</c:v>
                </c:pt>
                <c:pt idx="22">
                  <c:v>28.0709074018625</c:v>
                </c:pt>
                <c:pt idx="23">
                  <c:v>26.9199975143205</c:v>
                </c:pt>
                <c:pt idx="24">
                  <c:v>25.2635593741242</c:v>
                </c:pt>
                <c:pt idx="25">
                  <c:v>23.4886076343761</c:v>
                </c:pt>
                <c:pt idx="26">
                  <c:v>21.9320750032736</c:v>
                </c:pt>
                <c:pt idx="27">
                  <c:v>20.8301919184613</c:v>
                </c:pt>
                <c:pt idx="28">
                  <c:v>20.2950493599356</c:v>
                </c:pt>
                <c:pt idx="29">
                  <c:v>20.3175105474792</c:v>
                </c:pt>
                <c:pt idx="30">
                  <c:v>20.7911121951263</c:v>
                </c:pt>
                <c:pt idx="31">
                  <c:v>21.5488541079934</c:v>
                </c:pt>
                <c:pt idx="32">
                  <c:v>22.4039763332543</c:v>
                </c:pt>
                <c:pt idx="33">
                  <c:v>23.1867508317239</c:v>
                </c:pt>
                <c:pt idx="34">
                  <c:v>23.7714875469086</c:v>
                </c:pt>
                <c:pt idx="35">
                  <c:v>24.0907581702183</c:v>
                </c:pt>
                <c:pt idx="36">
                  <c:v>24.6135038638655</c:v>
                </c:pt>
                <c:pt idx="37">
                  <c:v>25.8550397895405</c:v>
                </c:pt>
                <c:pt idx="38">
                  <c:v>27.7803244169097</c:v>
                </c:pt>
                <c:pt idx="39">
                  <c:v>30.2393526896244</c:v>
                </c:pt>
                <c:pt idx="40">
                  <c:v>33.0149179977735</c:v>
                </c:pt>
                <c:pt idx="41">
                  <c:v>35.8735285703537</c:v>
                </c:pt>
                <c:pt idx="42">
                  <c:v>38.6098580871036</c:v>
                </c:pt>
                <c:pt idx="43">
                  <c:v>41.0780263234206</c:v>
                </c:pt>
                <c:pt idx="44">
                  <c:v>43.2065761233271</c:v>
                </c:pt>
                <c:pt idx="45">
                  <c:v>44.9974837083312</c:v>
                </c:pt>
                <c:pt idx="46">
                  <c:v>46.035469698723</c:v>
                </c:pt>
                <c:pt idx="47">
                  <c:v>45.9465761550407</c:v>
                </c:pt>
                <c:pt idx="48">
                  <c:v>44.9536820364135</c:v>
                </c:pt>
                <c:pt idx="49">
                  <c:v>43.3992164264552</c:v>
                </c:pt>
                <c:pt idx="50">
                  <c:v>41.6623876908741</c:v>
                </c:pt>
                <c:pt idx="51">
                  <c:v>40.0850937106969</c:v>
                </c:pt>
                <c:pt idx="52">
                  <c:v>38.9180728520219</c:v>
                </c:pt>
                <c:pt idx="53">
                  <c:v>38.2931370692043</c:v>
                </c:pt>
                <c:pt idx="54">
                  <c:v>38.2216239917414</c:v>
                </c:pt>
                <c:pt idx="55">
                  <c:v>38.6145243688697</c:v>
                </c:pt>
                <c:pt idx="56">
                  <c:v>39.3167276831953</c:v>
                </c:pt>
                <c:pt idx="57">
                  <c:v>40.146710828672</c:v>
                </c:pt>
                <c:pt idx="58">
                  <c:v>40.9336225933891</c:v>
                </c:pt>
                <c:pt idx="59">
                  <c:v>41.5456579844309</c:v>
                </c:pt>
                <c:pt idx="60">
                  <c:v>41.9062851092613</c:v>
                </c:pt>
                <c:pt idx="61">
                  <c:v>41.520833204195</c:v>
                </c:pt>
                <c:pt idx="62">
                  <c:v>39.9493283825371</c:v>
                </c:pt>
                <c:pt idx="63">
                  <c:v>37.3712724830713</c:v>
                </c:pt>
                <c:pt idx="64">
                  <c:v>34.1118976313576</c:v>
                </c:pt>
                <c:pt idx="65">
                  <c:v>30.5576374807355</c:v>
                </c:pt>
                <c:pt idx="66">
                  <c:v>27.0762662895482</c:v>
                </c:pt>
                <c:pt idx="67">
                  <c:v>23.9550277405305</c:v>
                </c:pt>
                <c:pt idx="68">
                  <c:v>21.3644329593692</c:v>
                </c:pt>
                <c:pt idx="69">
                  <c:v>19.3494381669822</c:v>
                </c:pt>
                <c:pt idx="70">
                  <c:v>17.8445366541253</c:v>
                </c:pt>
                <c:pt idx="71">
                  <c:v>17.1825331600431</c:v>
                </c:pt>
                <c:pt idx="72">
                  <c:v>17.6540921759013</c:v>
                </c:pt>
                <c:pt idx="73">
                  <c:v>18.9671621796128</c:v>
                </c:pt>
                <c:pt idx="74">
                  <c:v>20.7339492778622</c:v>
                </c:pt>
                <c:pt idx="75">
                  <c:v>22.5573674864972</c:v>
                </c:pt>
                <c:pt idx="76">
                  <c:v>24.103251232854</c:v>
                </c:pt>
                <c:pt idx="77">
                  <c:v>25.1481249362579</c:v>
                </c:pt>
                <c:pt idx="78">
                  <c:v>25.598539978154</c:v>
                </c:pt>
                <c:pt idx="79">
                  <c:v>25.4837709573405</c:v>
                </c:pt>
                <c:pt idx="80">
                  <c:v>24.9280640221488</c:v>
                </c:pt>
                <c:pt idx="81">
                  <c:v>24.1111226162251</c:v>
                </c:pt>
                <c:pt idx="82">
                  <c:v>23.2260083152648</c:v>
                </c:pt>
                <c:pt idx="83">
                  <c:v>22.4424067438596</c:v>
                </c:pt>
                <c:pt idx="84">
                  <c:v>21.8807949305005</c:v>
                </c:pt>
                <c:pt idx="85">
                  <c:v>21.6000933882922</c:v>
                </c:pt>
                <c:pt idx="86">
                  <c:v>22.3931838367862</c:v>
                </c:pt>
                <c:pt idx="87">
                  <c:v>24.9976895549477</c:v>
                </c:pt>
                <c:pt idx="88">
                  <c:v>29.147383765704</c:v>
                </c:pt>
                <c:pt idx="89">
                  <c:v>34.3506094562175</c:v>
                </c:pt>
                <c:pt idx="90">
                  <c:v>40.0190048797149</c:v>
                </c:pt>
                <c:pt idx="91">
                  <c:v>45.5897426334068</c:v>
                </c:pt>
                <c:pt idx="92">
                  <c:v>49.826103479011</c:v>
                </c:pt>
                <c:pt idx="93">
                  <c:v>51.6744623914941</c:v>
                </c:pt>
                <c:pt idx="94">
                  <c:v>51.2454946658824</c:v>
                </c:pt>
                <c:pt idx="95">
                  <c:v>49.0338879338352</c:v>
                </c:pt>
                <c:pt idx="96">
                  <c:v>45.7599346925144</c:v>
                </c:pt>
                <c:pt idx="97">
                  <c:v>42.2001792092499</c:v>
                </c:pt>
                <c:pt idx="98">
                  <c:v>39.0391999474228</c:v>
                </c:pt>
                <c:pt idx="99">
                  <c:v>36.7649601281603</c:v>
                </c:pt>
                <c:pt idx="100">
                  <c:v>35.6183006618155</c:v>
                </c:pt>
                <c:pt idx="101">
                  <c:v>35.5955930954433</c:v>
                </c:pt>
                <c:pt idx="102">
                  <c:v>36.4943119011</c:v>
                </c:pt>
                <c:pt idx="103">
                  <c:v>37.9855468709218</c:v>
                </c:pt>
                <c:pt idx="104">
                  <c:v>39.6956296474305</c:v>
                </c:pt>
                <c:pt idx="105">
                  <c:v>40.4860395029459</c:v>
                </c:pt>
                <c:pt idx="106">
                  <c:v>39.3096702221581</c:v>
                </c:pt>
                <c:pt idx="107">
                  <c:v>36.2077274497497</c:v>
                </c:pt>
                <c:pt idx="108">
                  <c:v>31.5557404196593</c:v>
                </c:pt>
                <c:pt idx="109">
                  <c:v>25.9354434070306</c:v>
                </c:pt>
                <c:pt idx="110">
                  <c:v>19.9935896715633</c:v>
                </c:pt>
                <c:pt idx="111">
                  <c:v>15.1098344453521</c:v>
                </c:pt>
                <c:pt idx="112">
                  <c:v>12.5035250525277</c:v>
                </c:pt>
                <c:pt idx="113">
                  <c:v>12.2188822710136</c:v>
                </c:pt>
                <c:pt idx="114">
                  <c:v>13.879775277449</c:v>
                </c:pt>
                <c:pt idx="115">
                  <c:v>16.8337570476613</c:v>
                </c:pt>
                <c:pt idx="116">
                  <c:v>20.3186907278632</c:v>
                </c:pt>
                <c:pt idx="117">
                  <c:v>23.6182298202675</c:v>
                </c:pt>
                <c:pt idx="118">
                  <c:v>26.1805942336025</c:v>
                </c:pt>
                <c:pt idx="119">
                  <c:v>27.6862982552759</c:v>
                </c:pt>
                <c:pt idx="120">
                  <c:v>28.0621864698628</c:v>
                </c:pt>
                <c:pt idx="121">
                  <c:v>27.4491528749202</c:v>
                </c:pt>
                <c:pt idx="122">
                  <c:v>26.1377868435234</c:v>
                </c:pt>
                <c:pt idx="123">
                  <c:v>24.4892666832354</c:v>
                </c:pt>
                <c:pt idx="124">
                  <c:v>23.9249244102039</c:v>
                </c:pt>
                <c:pt idx="125">
                  <c:v>25.7897143274042</c:v>
                </c:pt>
                <c:pt idx="126">
                  <c:v>30.0163343314669</c:v>
                </c:pt>
                <c:pt idx="127">
                  <c:v>36.1304948968179</c:v>
                </c:pt>
                <c:pt idx="128">
                  <c:v>43.409927059924</c:v>
                </c:pt>
                <c:pt idx="129">
                  <c:v>49.9915317297484</c:v>
                </c:pt>
                <c:pt idx="130">
                  <c:v>54.1011758409031</c:v>
                </c:pt>
                <c:pt idx="131">
                  <c:v>55.463460668323</c:v>
                </c:pt>
                <c:pt idx="132">
                  <c:v>54.3414085565726</c:v>
                </c:pt>
                <c:pt idx="133">
                  <c:v>51.390812013648</c:v>
                </c:pt>
                <c:pt idx="134">
                  <c:v>47.4716116800776</c:v>
                </c:pt>
                <c:pt idx="135">
                  <c:v>43.4576912006141</c:v>
                </c:pt>
                <c:pt idx="136">
                  <c:v>40.0791519138675</c:v>
                </c:pt>
                <c:pt idx="137">
                  <c:v>37.8191032962229</c:v>
                </c:pt>
                <c:pt idx="138">
                  <c:v>36.8732758059361</c:v>
                </c:pt>
                <c:pt idx="139">
                  <c:v>37.1680817302104</c:v>
                </c:pt>
                <c:pt idx="140">
                  <c:v>38.4231757874152</c:v>
                </c:pt>
                <c:pt idx="141">
                  <c:v>40.2392294358526</c:v>
                </c:pt>
                <c:pt idx="142">
                  <c:v>41.1240336872891</c:v>
                </c:pt>
                <c:pt idx="143">
                  <c:v>39.6476295760408</c:v>
                </c:pt>
                <c:pt idx="144">
                  <c:v>35.7958762578471</c:v>
                </c:pt>
                <c:pt idx="145">
                  <c:v>29.9789881094594</c:v>
                </c:pt>
                <c:pt idx="146">
                  <c:v>22.8807118275736</c:v>
                </c:pt>
                <c:pt idx="147">
                  <c:v>16.3533209089962</c:v>
                </c:pt>
                <c:pt idx="148">
                  <c:v>12.1846516089468</c:v>
                </c:pt>
                <c:pt idx="149">
                  <c:v>10.6813937034735</c:v>
                </c:pt>
                <c:pt idx="150">
                  <c:v>11.6206156021672</c:v>
                </c:pt>
                <c:pt idx="151">
                  <c:v>14.3866797283383</c:v>
                </c:pt>
                <c:pt idx="152">
                  <c:v>18.152723024446</c:v>
                </c:pt>
                <c:pt idx="153">
                  <c:v>22.0662896311285</c:v>
                </c:pt>
                <c:pt idx="154">
                  <c:v>25.4053925491448</c:v>
                </c:pt>
                <c:pt idx="155">
                  <c:v>27.6827291649465</c:v>
                </c:pt>
                <c:pt idx="156">
                  <c:v>28.6890747620682</c:v>
                </c:pt>
                <c:pt idx="157">
                  <c:v>28.4793269939205</c:v>
                </c:pt>
                <c:pt idx="158">
                  <c:v>27.3142186782429</c:v>
                </c:pt>
                <c:pt idx="159">
                  <c:v>25.099352641043</c:v>
                </c:pt>
                <c:pt idx="160">
                  <c:v>21.7753870333033</c:v>
                </c:pt>
                <c:pt idx="161">
                  <c:v>17.8188405273395</c:v>
                </c:pt>
                <c:pt idx="162">
                  <c:v>13.7309765056173</c:v>
                </c:pt>
                <c:pt idx="163">
                  <c:v>9.94425343455646</c:v>
                </c:pt>
                <c:pt idx="164">
                  <c:v>6.75818427584159</c:v>
                </c:pt>
                <c:pt idx="165">
                  <c:v>4.31058872554013</c:v>
                </c:pt>
                <c:pt idx="166">
                  <c:v>2.58283819043709</c:v>
                </c:pt>
                <c:pt idx="167">
                  <c:v>1.43191511719419</c:v>
                </c:pt>
                <c:pt idx="168">
                  <c:v>0.63866648015869</c:v>
                </c:pt>
              </c:numCache>
            </c:numRef>
          </c:yVal>
          <c:smooth val="0"/>
        </c:ser>
        <c:axId val="85686514"/>
        <c:axId val="22490229"/>
      </c:scatterChart>
      <c:valAx>
        <c:axId val="8568651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2490229"/>
        <c:crosses val="autoZero"/>
        <c:crossBetween val="midCat"/>
      </c:valAx>
      <c:valAx>
        <c:axId val="224902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68651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'Long Time Gap_verrgain_0.1'!$C$1</c:f>
              <c:strCache>
                <c:ptCount val="1"/>
                <c:pt idx="0">
                  <c:v>Lead Speed [mph]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Gap_verrgain_0.1'!$C$2:$C$170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2.00005696</c:v>
                </c:pt>
                <c:pt idx="12">
                  <c:v>4.00011392</c:v>
                </c:pt>
                <c:pt idx="13">
                  <c:v>6.00017088</c:v>
                </c:pt>
                <c:pt idx="14">
                  <c:v>8.00022784</c:v>
                </c:pt>
                <c:pt idx="15">
                  <c:v>10.0002848</c:v>
                </c:pt>
                <c:pt idx="16">
                  <c:v>12.00034176</c:v>
                </c:pt>
                <c:pt idx="17">
                  <c:v>14.00039872</c:v>
                </c:pt>
                <c:pt idx="18">
                  <c:v>16.00045568</c:v>
                </c:pt>
                <c:pt idx="19">
                  <c:v>18.00051264</c:v>
                </c:pt>
                <c:pt idx="20">
                  <c:v>20.0005696</c:v>
                </c:pt>
                <c:pt idx="21">
                  <c:v>20.0005696</c:v>
                </c:pt>
                <c:pt idx="22">
                  <c:v>20.0005696</c:v>
                </c:pt>
                <c:pt idx="23">
                  <c:v>20.0005696</c:v>
                </c:pt>
                <c:pt idx="24">
                  <c:v>20.0005696</c:v>
                </c:pt>
                <c:pt idx="25">
                  <c:v>20.0005696</c:v>
                </c:pt>
                <c:pt idx="26">
                  <c:v>20.0005696</c:v>
                </c:pt>
                <c:pt idx="27">
                  <c:v>20.0005696</c:v>
                </c:pt>
                <c:pt idx="28">
                  <c:v>20.0005696</c:v>
                </c:pt>
                <c:pt idx="29">
                  <c:v>20.0005696</c:v>
                </c:pt>
                <c:pt idx="30">
                  <c:v>20.0005696</c:v>
                </c:pt>
                <c:pt idx="31">
                  <c:v>20.0005696</c:v>
                </c:pt>
                <c:pt idx="32">
                  <c:v>20.0005696</c:v>
                </c:pt>
                <c:pt idx="33">
                  <c:v>20.0005696</c:v>
                </c:pt>
                <c:pt idx="34">
                  <c:v>20.0005696</c:v>
                </c:pt>
                <c:pt idx="35">
                  <c:v>20.0005696</c:v>
                </c:pt>
                <c:pt idx="36">
                  <c:v>22.00062656</c:v>
                </c:pt>
                <c:pt idx="37">
                  <c:v>24.00068352</c:v>
                </c:pt>
                <c:pt idx="38">
                  <c:v>26.00074048</c:v>
                </c:pt>
                <c:pt idx="39">
                  <c:v>28.00079744</c:v>
                </c:pt>
                <c:pt idx="40">
                  <c:v>30.0008544</c:v>
                </c:pt>
                <c:pt idx="41">
                  <c:v>32.00091136</c:v>
                </c:pt>
                <c:pt idx="42">
                  <c:v>34.00096832</c:v>
                </c:pt>
                <c:pt idx="43">
                  <c:v>36.00102528</c:v>
                </c:pt>
                <c:pt idx="44">
                  <c:v>38.00108224</c:v>
                </c:pt>
                <c:pt idx="45">
                  <c:v>40.0011392</c:v>
                </c:pt>
                <c:pt idx="46">
                  <c:v>40.0011392</c:v>
                </c:pt>
                <c:pt idx="47">
                  <c:v>40.0011392</c:v>
                </c:pt>
                <c:pt idx="48">
                  <c:v>40.0011392</c:v>
                </c:pt>
                <c:pt idx="49">
                  <c:v>40.0011392</c:v>
                </c:pt>
                <c:pt idx="50">
                  <c:v>40.0011392</c:v>
                </c:pt>
                <c:pt idx="51">
                  <c:v>40.0011392</c:v>
                </c:pt>
                <c:pt idx="52">
                  <c:v>40.0011392</c:v>
                </c:pt>
                <c:pt idx="53">
                  <c:v>40.0011392</c:v>
                </c:pt>
                <c:pt idx="54">
                  <c:v>40.0011392</c:v>
                </c:pt>
                <c:pt idx="55">
                  <c:v>40.0011392</c:v>
                </c:pt>
                <c:pt idx="56">
                  <c:v>40.0011392</c:v>
                </c:pt>
                <c:pt idx="57">
                  <c:v>40.0011392</c:v>
                </c:pt>
                <c:pt idx="58">
                  <c:v>40.0011392</c:v>
                </c:pt>
                <c:pt idx="59">
                  <c:v>40.0011392</c:v>
                </c:pt>
                <c:pt idx="60">
                  <c:v>40.0011392</c:v>
                </c:pt>
                <c:pt idx="61">
                  <c:v>38.00108224</c:v>
                </c:pt>
                <c:pt idx="62">
                  <c:v>36.00102528</c:v>
                </c:pt>
                <c:pt idx="63">
                  <c:v>34.00096832</c:v>
                </c:pt>
                <c:pt idx="64">
                  <c:v>32.00091136</c:v>
                </c:pt>
                <c:pt idx="65">
                  <c:v>30.0008544</c:v>
                </c:pt>
                <c:pt idx="66">
                  <c:v>28.00079744</c:v>
                </c:pt>
                <c:pt idx="67">
                  <c:v>26.00074048</c:v>
                </c:pt>
                <c:pt idx="68">
                  <c:v>24.00068352</c:v>
                </c:pt>
                <c:pt idx="69">
                  <c:v>22.00062656</c:v>
                </c:pt>
                <c:pt idx="70">
                  <c:v>20.0005696</c:v>
                </c:pt>
                <c:pt idx="71">
                  <c:v>20.0005696</c:v>
                </c:pt>
                <c:pt idx="72">
                  <c:v>20.0005696</c:v>
                </c:pt>
                <c:pt idx="73">
                  <c:v>20.0005696</c:v>
                </c:pt>
                <c:pt idx="74">
                  <c:v>20.0005696</c:v>
                </c:pt>
                <c:pt idx="75">
                  <c:v>20.0005696</c:v>
                </c:pt>
                <c:pt idx="76">
                  <c:v>20.0005696</c:v>
                </c:pt>
                <c:pt idx="77">
                  <c:v>20.0005696</c:v>
                </c:pt>
                <c:pt idx="78">
                  <c:v>20.0005696</c:v>
                </c:pt>
                <c:pt idx="79">
                  <c:v>20.0005696</c:v>
                </c:pt>
                <c:pt idx="80">
                  <c:v>20.0005696</c:v>
                </c:pt>
                <c:pt idx="81">
                  <c:v>20.0005696</c:v>
                </c:pt>
                <c:pt idx="82">
                  <c:v>20.0005696</c:v>
                </c:pt>
                <c:pt idx="83">
                  <c:v>20.0005696</c:v>
                </c:pt>
                <c:pt idx="84">
                  <c:v>20.0005696</c:v>
                </c:pt>
                <c:pt idx="85">
                  <c:v>20.0005696</c:v>
                </c:pt>
                <c:pt idx="86">
                  <c:v>23.3336996</c:v>
                </c:pt>
                <c:pt idx="87">
                  <c:v>26.6668296</c:v>
                </c:pt>
                <c:pt idx="88">
                  <c:v>29.9999596</c:v>
                </c:pt>
                <c:pt idx="89">
                  <c:v>33.3330896</c:v>
                </c:pt>
                <c:pt idx="90">
                  <c:v>36.6662196</c:v>
                </c:pt>
                <c:pt idx="91">
                  <c:v>39.9993496</c:v>
                </c:pt>
                <c:pt idx="92">
                  <c:v>39.9993496</c:v>
                </c:pt>
                <c:pt idx="93">
                  <c:v>39.9993496</c:v>
                </c:pt>
                <c:pt idx="94">
                  <c:v>39.9993496</c:v>
                </c:pt>
                <c:pt idx="95">
                  <c:v>39.9993496</c:v>
                </c:pt>
                <c:pt idx="96">
                  <c:v>39.9993496</c:v>
                </c:pt>
                <c:pt idx="97">
                  <c:v>39.9993496</c:v>
                </c:pt>
                <c:pt idx="98">
                  <c:v>39.9993496</c:v>
                </c:pt>
                <c:pt idx="99">
                  <c:v>39.9993496</c:v>
                </c:pt>
                <c:pt idx="100">
                  <c:v>39.9993496</c:v>
                </c:pt>
                <c:pt idx="101">
                  <c:v>39.9993496</c:v>
                </c:pt>
                <c:pt idx="102">
                  <c:v>39.9993496</c:v>
                </c:pt>
                <c:pt idx="103">
                  <c:v>39.9993496</c:v>
                </c:pt>
                <c:pt idx="104">
                  <c:v>39.9993496</c:v>
                </c:pt>
                <c:pt idx="105">
                  <c:v>36.6662196</c:v>
                </c:pt>
                <c:pt idx="106">
                  <c:v>33.3330896</c:v>
                </c:pt>
                <c:pt idx="107">
                  <c:v>29.9999596</c:v>
                </c:pt>
                <c:pt idx="108">
                  <c:v>26.6668296</c:v>
                </c:pt>
                <c:pt idx="109">
                  <c:v>23.3336996</c:v>
                </c:pt>
                <c:pt idx="110">
                  <c:v>20.0005696</c:v>
                </c:pt>
                <c:pt idx="111">
                  <c:v>20.0005696</c:v>
                </c:pt>
                <c:pt idx="112">
                  <c:v>20.0005696</c:v>
                </c:pt>
                <c:pt idx="113">
                  <c:v>20.0005696</c:v>
                </c:pt>
                <c:pt idx="114">
                  <c:v>20.0005696</c:v>
                </c:pt>
                <c:pt idx="115">
                  <c:v>20.0005696</c:v>
                </c:pt>
                <c:pt idx="116">
                  <c:v>20.0005696</c:v>
                </c:pt>
                <c:pt idx="117">
                  <c:v>20.0005696</c:v>
                </c:pt>
                <c:pt idx="118">
                  <c:v>20.0005696</c:v>
                </c:pt>
                <c:pt idx="119">
                  <c:v>20.0005696</c:v>
                </c:pt>
                <c:pt idx="120">
                  <c:v>20.0005696</c:v>
                </c:pt>
                <c:pt idx="121">
                  <c:v>20.0005696</c:v>
                </c:pt>
                <c:pt idx="122">
                  <c:v>20.0005696</c:v>
                </c:pt>
                <c:pt idx="123">
                  <c:v>20.0005696</c:v>
                </c:pt>
                <c:pt idx="124">
                  <c:v>24.4745696</c:v>
                </c:pt>
                <c:pt idx="125">
                  <c:v>28.9485696</c:v>
                </c:pt>
                <c:pt idx="126">
                  <c:v>33.4225696</c:v>
                </c:pt>
                <c:pt idx="127">
                  <c:v>37.8965696</c:v>
                </c:pt>
                <c:pt idx="128">
                  <c:v>42.3705696</c:v>
                </c:pt>
                <c:pt idx="129">
                  <c:v>42.3705696</c:v>
                </c:pt>
                <c:pt idx="130">
                  <c:v>42.3705696</c:v>
                </c:pt>
                <c:pt idx="131">
                  <c:v>42.3705696</c:v>
                </c:pt>
                <c:pt idx="132">
                  <c:v>42.3705696</c:v>
                </c:pt>
                <c:pt idx="133">
                  <c:v>42.3705696</c:v>
                </c:pt>
                <c:pt idx="134">
                  <c:v>42.3705696</c:v>
                </c:pt>
                <c:pt idx="135">
                  <c:v>42.3705696</c:v>
                </c:pt>
                <c:pt idx="136">
                  <c:v>42.3705696</c:v>
                </c:pt>
                <c:pt idx="137">
                  <c:v>42.3705696</c:v>
                </c:pt>
                <c:pt idx="138">
                  <c:v>42.3705696</c:v>
                </c:pt>
                <c:pt idx="139">
                  <c:v>42.3705696</c:v>
                </c:pt>
                <c:pt idx="140">
                  <c:v>42.3705696</c:v>
                </c:pt>
                <c:pt idx="141">
                  <c:v>42.3705696</c:v>
                </c:pt>
                <c:pt idx="142">
                  <c:v>37.8965696</c:v>
                </c:pt>
                <c:pt idx="143">
                  <c:v>33.4225696</c:v>
                </c:pt>
                <c:pt idx="144">
                  <c:v>28.9485696</c:v>
                </c:pt>
                <c:pt idx="145">
                  <c:v>24.4745696</c:v>
                </c:pt>
                <c:pt idx="146">
                  <c:v>20.0005696</c:v>
                </c:pt>
                <c:pt idx="147">
                  <c:v>20.0005696</c:v>
                </c:pt>
                <c:pt idx="148">
                  <c:v>20.0005696</c:v>
                </c:pt>
                <c:pt idx="149">
                  <c:v>20.0005696</c:v>
                </c:pt>
                <c:pt idx="150">
                  <c:v>20.0005696</c:v>
                </c:pt>
                <c:pt idx="151">
                  <c:v>20.0005696</c:v>
                </c:pt>
                <c:pt idx="152">
                  <c:v>20.0005696</c:v>
                </c:pt>
                <c:pt idx="153">
                  <c:v>20.0005696</c:v>
                </c:pt>
                <c:pt idx="154">
                  <c:v>20.0005696</c:v>
                </c:pt>
                <c:pt idx="155">
                  <c:v>20.0005696</c:v>
                </c:pt>
                <c:pt idx="156">
                  <c:v>20.0005696</c:v>
                </c:pt>
                <c:pt idx="157">
                  <c:v>20.0005696</c:v>
                </c:pt>
                <c:pt idx="158">
                  <c:v>20.0005696</c:v>
                </c:pt>
                <c:pt idx="159">
                  <c:v>18.00051264</c:v>
                </c:pt>
                <c:pt idx="160">
                  <c:v>16.00045568</c:v>
                </c:pt>
                <c:pt idx="161">
                  <c:v>14.00039872</c:v>
                </c:pt>
                <c:pt idx="162">
                  <c:v>12.00034176</c:v>
                </c:pt>
                <c:pt idx="163">
                  <c:v>10.0002848</c:v>
                </c:pt>
                <c:pt idx="164">
                  <c:v>8.00022783999999</c:v>
                </c:pt>
                <c:pt idx="165">
                  <c:v>6.00017087999999</c:v>
                </c:pt>
                <c:pt idx="166">
                  <c:v>4.00011391999999</c:v>
                </c:pt>
                <c:pt idx="167">
                  <c:v>2.00005695999999</c:v>
                </c:pt>
                <c:pt idx="168">
                  <c:v>-7.45070671825942E-015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'Long Time Gap_verrgain_0.1'!$E$1</c:f>
              <c:strCache>
                <c:ptCount val="1"/>
                <c:pt idx="0">
                  <c:v>Simulated Ego Spd [mps]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Gap_verrgain_0.1'!$E$2:$E$170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0.0666685653333334</c:v>
                </c:pt>
                <c:pt idx="12">
                  <c:v>0.438412485632</c:v>
                </c:pt>
                <c:pt idx="13">
                  <c:v>1.2766021640016</c:v>
                </c:pt>
                <c:pt idx="14">
                  <c:v>2.6143456908695</c:v>
                </c:pt>
                <c:pt idx="15">
                  <c:v>4.39346018055042</c:v>
                </c:pt>
                <c:pt idx="16">
                  <c:v>6.50393848631022</c:v>
                </c:pt>
                <c:pt idx="17">
                  <c:v>8.81873861761755</c:v>
                </c:pt>
                <c:pt idx="18">
                  <c:v>11.2198410977748</c:v>
                </c:pt>
                <c:pt idx="19">
                  <c:v>13.6142615618294</c:v>
                </c:pt>
                <c:pt idx="20">
                  <c:v>15.9407548842169</c:v>
                </c:pt>
                <c:pt idx="21">
                  <c:v>18.1025333777964</c:v>
                </c:pt>
                <c:pt idx="22">
                  <c:v>19.8567783025767</c:v>
                </c:pt>
                <c:pt idx="23">
                  <c:v>21.0556466564593</c:v>
                </c:pt>
                <c:pt idx="24">
                  <c:v>21.6894046934445</c:v>
                </c:pt>
                <c:pt idx="25">
                  <c:v>21.8424486116431</c:v>
                </c:pt>
                <c:pt idx="26">
                  <c:v>21.6486841789447</c:v>
                </c:pt>
                <c:pt idx="27">
                  <c:v>21.253655626906</c:v>
                </c:pt>
                <c:pt idx="28">
                  <c:v>20.7872910943662</c:v>
                </c:pt>
                <c:pt idx="29">
                  <c:v>20.3481484739082</c:v>
                </c:pt>
                <c:pt idx="30">
                  <c:v>19.9979037521281</c:v>
                </c:pt>
                <c:pt idx="31">
                  <c:v>19.763590861677</c:v>
                </c:pt>
                <c:pt idx="32">
                  <c:v>19.6446764014426</c:v>
                </c:pt>
                <c:pt idx="33">
                  <c:v>19.622236548929</c:v>
                </c:pt>
                <c:pt idx="34">
                  <c:v>19.6680664453278</c:v>
                </c:pt>
                <c:pt idx="35">
                  <c:v>19.7522787234436</c:v>
                </c:pt>
                <c:pt idx="36">
                  <c:v>19.9153354722045</c:v>
                </c:pt>
                <c:pt idx="37">
                  <c:v>20.3761203505127</c:v>
                </c:pt>
                <c:pt idx="38">
                  <c:v>21.2841010123452</c:v>
                </c:pt>
                <c:pt idx="39">
                  <c:v>22.6675051681739</c:v>
                </c:pt>
                <c:pt idx="40">
                  <c:v>24.4687612991387</c:v>
                </c:pt>
                <c:pt idx="41">
                  <c:v>26.5820559539327</c:v>
                </c:pt>
                <c:pt idx="42">
                  <c:v>28.8862670746908</c:v>
                </c:pt>
                <c:pt idx="43">
                  <c:v>31.2694996285508</c:v>
                </c:pt>
                <c:pt idx="44">
                  <c:v>33.6440454073623</c:v>
                </c:pt>
                <c:pt idx="45">
                  <c:v>35.9525180265366</c:v>
                </c:pt>
                <c:pt idx="46">
                  <c:v>38.1004177277761</c:v>
                </c:pt>
                <c:pt idx="47">
                  <c:v>39.8457928044046</c:v>
                </c:pt>
                <c:pt idx="48">
                  <c:v>41.0405754758541</c:v>
                </c:pt>
                <c:pt idx="49">
                  <c:v>41.6741116254926</c:v>
                </c:pt>
                <c:pt idx="50">
                  <c:v>41.8295589568821</c:v>
                </c:pt>
                <c:pt idx="51">
                  <c:v>41.6395707896573</c:v>
                </c:pt>
                <c:pt idx="52">
                  <c:v>41.2486310600436</c:v>
                </c:pt>
                <c:pt idx="53">
                  <c:v>40.7859069864465</c:v>
                </c:pt>
                <c:pt idx="54">
                  <c:v>40.3495186123673</c:v>
                </c:pt>
                <c:pt idx="55">
                  <c:v>40.0009910499726</c:v>
                </c:pt>
                <c:pt idx="56">
                  <c:v>39.7674239682919</c:v>
                </c:pt>
                <c:pt idx="57">
                  <c:v>39.6484843037158</c:v>
                </c:pt>
                <c:pt idx="58">
                  <c:v>39.6255065518377</c:v>
                </c:pt>
                <c:pt idx="59">
                  <c:v>39.6705414713055</c:v>
                </c:pt>
                <c:pt idx="60">
                  <c:v>39.7539143763476</c:v>
                </c:pt>
                <c:pt idx="61">
                  <c:v>39.7828999118881</c:v>
                </c:pt>
                <c:pt idx="62">
                  <c:v>39.4996515408176</c:v>
                </c:pt>
                <c:pt idx="63">
                  <c:v>38.7309216406974</c:v>
                </c:pt>
                <c:pt idx="64">
                  <c:v>37.438704388807</c:v>
                </c:pt>
                <c:pt idx="65">
                  <c:v>35.6817507365585</c:v>
                </c:pt>
                <c:pt idx="66">
                  <c:v>33.5742078002453</c:v>
                </c:pt>
                <c:pt idx="67">
                  <c:v>31.2489854341789</c:v>
                </c:pt>
                <c:pt idx="68">
                  <c:v>28.8301849778586</c:v>
                </c:pt>
                <c:pt idx="69">
                  <c:v>26.4160375817893</c:v>
                </c:pt>
                <c:pt idx="70">
                  <c:v>24.0716313202604</c:v>
                </c:pt>
                <c:pt idx="71">
                  <c:v>21.8960376587493</c:v>
                </c:pt>
                <c:pt idx="72">
                  <c:v>20.1329466903822</c:v>
                </c:pt>
                <c:pt idx="73">
                  <c:v>18.9299859405973</c:v>
                </c:pt>
                <c:pt idx="74">
                  <c:v>18.2959799290543</c:v>
                </c:pt>
                <c:pt idx="75">
                  <c:v>18.1453045492656</c:v>
                </c:pt>
                <c:pt idx="76">
                  <c:v>18.3428100939965</c:v>
                </c:pt>
                <c:pt idx="77">
                  <c:v>18.7418977840531</c:v>
                </c:pt>
                <c:pt idx="78">
                  <c:v>19.2118815324878</c:v>
                </c:pt>
                <c:pt idx="79">
                  <c:v>19.653766231634</c:v>
                </c:pt>
                <c:pt idx="80">
                  <c:v>20.0057239852611</c:v>
                </c:pt>
                <c:pt idx="81">
                  <c:v>20.2407846097078</c:v>
                </c:pt>
                <c:pt idx="82">
                  <c:v>20.3596795377751</c:v>
                </c:pt>
                <c:pt idx="83">
                  <c:v>20.3815887617977</c:v>
                </c:pt>
                <c:pt idx="84">
                  <c:v>20.3349710610223</c:v>
                </c:pt>
                <c:pt idx="85">
                  <c:v>20.249925362507</c:v>
                </c:pt>
                <c:pt idx="86">
                  <c:v>20.2639116072232</c:v>
                </c:pt>
                <c:pt idx="87">
                  <c:v>20.7938453185197</c:v>
                </c:pt>
                <c:pt idx="88">
                  <c:v>22.1205816236446</c:v>
                </c:pt>
                <c:pt idx="89">
                  <c:v>24.3041591861197</c:v>
                </c:pt>
                <c:pt idx="90">
                  <c:v>27.2469610145806</c:v>
                </c:pt>
                <c:pt idx="91">
                  <c:v>30.7614112835766</c:v>
                </c:pt>
                <c:pt idx="92">
                  <c:v>34.5187162907726</c:v>
                </c:pt>
                <c:pt idx="93">
                  <c:v>37.9187186057913</c:v>
                </c:pt>
                <c:pt idx="94">
                  <c:v>40.53222612177</c:v>
                </c:pt>
                <c:pt idx="95">
                  <c:v>42.198123025421</c:v>
                </c:pt>
                <c:pt idx="96">
                  <c:v>42.9608859368448</c:v>
                </c:pt>
                <c:pt idx="97">
                  <c:v>42.9956282997289</c:v>
                </c:pt>
                <c:pt idx="98">
                  <c:v>42.5368454525853</c:v>
                </c:pt>
                <c:pt idx="99">
                  <c:v>41.8211041049728</c:v>
                </c:pt>
                <c:pt idx="100">
                  <c:v>41.0482982903062</c:v>
                </c:pt>
                <c:pt idx="101">
                  <c:v>40.3615824705691</c:v>
                </c:pt>
                <c:pt idx="102">
                  <c:v>39.843051023765</c:v>
                </c:pt>
                <c:pt idx="103">
                  <c:v>39.5206664294612</c:v>
                </c:pt>
                <c:pt idx="104">
                  <c:v>39.3816119136945</c:v>
                </c:pt>
                <c:pt idx="105">
                  <c:v>39.2766972837684</c:v>
                </c:pt>
                <c:pt idx="106">
                  <c:v>38.759719273345</c:v>
                </c:pt>
                <c:pt idx="107">
                  <c:v>37.513479663803</c:v>
                </c:pt>
                <c:pt idx="108">
                  <c:v>35.4427152485649</c:v>
                </c:pt>
                <c:pt idx="109">
                  <c:v>32.6162353894717</c:v>
                </c:pt>
                <c:pt idx="110">
                  <c:v>29.2017438680045</c:v>
                </c:pt>
                <c:pt idx="111">
                  <c:v>25.5173483616089</c:v>
                </c:pt>
                <c:pt idx="112">
                  <c:v>22.1603962125657</c:v>
                </c:pt>
                <c:pt idx="113">
                  <c:v>19.5630001794521</c:v>
                </c:pt>
                <c:pt idx="114">
                  <c:v>17.8925676960312</c:v>
                </c:pt>
                <c:pt idx="115">
                  <c:v>17.1121608090259</c:v>
                </c:pt>
                <c:pt idx="116">
                  <c:v>17.0538276520165</c:v>
                </c:pt>
                <c:pt idx="117">
                  <c:v>17.4888295117499</c:v>
                </c:pt>
                <c:pt idx="118">
                  <c:v>18.1844884968274</c:v>
                </c:pt>
                <c:pt idx="119">
                  <c:v>18.9429218785364</c:v>
                </c:pt>
                <c:pt idx="120">
                  <c:v>19.6214045517751</c:v>
                </c:pt>
                <c:pt idx="121">
                  <c:v>20.1371421600869</c:v>
                </c:pt>
                <c:pt idx="122">
                  <c:v>20.4608279585681</c:v>
                </c:pt>
                <c:pt idx="123">
                  <c:v>20.6037189178162</c:v>
                </c:pt>
                <c:pt idx="124">
                  <c:v>20.7515809238148</c:v>
                </c:pt>
                <c:pt idx="125">
                  <c:v>21.4854608375147</c:v>
                </c:pt>
                <c:pt idx="126">
                  <c:v>23.2138467405722</c:v>
                </c:pt>
                <c:pt idx="127">
                  <c:v>26.050511459205</c:v>
                </c:pt>
                <c:pt idx="128">
                  <c:v>29.8933983226121</c:v>
                </c:pt>
                <c:pt idx="129">
                  <c:v>34.1581327932926</c:v>
                </c:pt>
                <c:pt idx="130">
                  <c:v>38.4210758332926</c:v>
                </c:pt>
                <c:pt idx="131">
                  <c:v>42.0517301890266</c:v>
                </c:pt>
                <c:pt idx="132">
                  <c:v>44.5363731380129</c:v>
                </c:pt>
                <c:pt idx="133">
                  <c:v>45.8531823319286</c:v>
                </c:pt>
                <c:pt idx="134">
                  <c:v>46.1754234232473</c:v>
                </c:pt>
                <c:pt idx="135">
                  <c:v>45.7792378595553</c:v>
                </c:pt>
                <c:pt idx="136">
                  <c:v>44.9652886417746</c:v>
                </c:pt>
                <c:pt idx="137">
                  <c:v>44.0023003246477</c:v>
                </c:pt>
                <c:pt idx="138">
                  <c:v>43.0943568115145</c:v>
                </c:pt>
                <c:pt idx="139">
                  <c:v>42.3693835722376</c:v>
                </c:pt>
                <c:pt idx="140">
                  <c:v>41.8836812154465</c:v>
                </c:pt>
                <c:pt idx="141">
                  <c:v>41.6364876337433</c:v>
                </c:pt>
                <c:pt idx="142">
                  <c:v>41.4397853006661</c:v>
                </c:pt>
                <c:pt idx="143">
                  <c:v>40.702094988701</c:v>
                </c:pt>
                <c:pt idx="144">
                  <c:v>39.0006917970776</c:v>
                </c:pt>
                <c:pt idx="145">
                  <c:v>36.2073067978285</c:v>
                </c:pt>
                <c:pt idx="146">
                  <c:v>32.4116590447256</c:v>
                </c:pt>
                <c:pt idx="147">
                  <c:v>27.984266515539</c:v>
                </c:pt>
                <c:pt idx="148">
                  <c:v>23.7324415300108</c:v>
                </c:pt>
                <c:pt idx="149">
                  <c:v>20.2823572114152</c:v>
                </c:pt>
                <c:pt idx="150">
                  <c:v>17.9246975368487</c:v>
                </c:pt>
                <c:pt idx="151">
                  <c:v>16.678526380233</c:v>
                </c:pt>
                <c:pt idx="152">
                  <c:v>16.3777946208459</c:v>
                </c:pt>
                <c:pt idx="153">
                  <c:v>16.7591017538673</c:v>
                </c:pt>
                <c:pt idx="154">
                  <c:v>17.5361784280435</c:v>
                </c:pt>
                <c:pt idx="155">
                  <c:v>18.4534856408906</c:v>
                </c:pt>
                <c:pt idx="156">
                  <c:v>19.3171939387444</c:v>
                </c:pt>
                <c:pt idx="157">
                  <c:v>20.006017984317</c:v>
                </c:pt>
                <c:pt idx="158">
                  <c:v>20.4668065823617</c:v>
                </c:pt>
                <c:pt idx="159">
                  <c:v>20.6339564251336</c:v>
                </c:pt>
                <c:pt idx="160">
                  <c:v>20.3062916639788</c:v>
                </c:pt>
                <c:pt idx="161">
                  <c:v>19.3779218367335</c:v>
                </c:pt>
                <c:pt idx="162">
                  <c:v>17.8745235731677</c:v>
                </c:pt>
                <c:pt idx="163">
                  <c:v>15.9058216073436</c:v>
                </c:pt>
                <c:pt idx="164">
                  <c:v>13.6202180900098</c:v>
                </c:pt>
                <c:pt idx="165">
                  <c:v>11.168161378933</c:v>
                </c:pt>
                <c:pt idx="166">
                  <c:v>8.67726577617854</c:v>
                </c:pt>
                <c:pt idx="167">
                  <c:v>6.23930996899168</c:v>
                </c:pt>
                <c:pt idx="168">
                  <c:v>3.90728864820378</c:v>
                </c:pt>
              </c:numCache>
            </c:numRef>
          </c:yVal>
          <c:smooth val="0"/>
        </c:ser>
        <c:axId val="27775087"/>
        <c:axId val="90576415"/>
      </c:scatterChart>
      <c:valAx>
        <c:axId val="2777508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0576415"/>
        <c:crosses val="autoZero"/>
        <c:crossBetween val="midCat"/>
      </c:valAx>
      <c:valAx>
        <c:axId val="905764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777508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Gap_verrgain_0.1'!$J$2:$J$103</c:f>
              <c:numCache>
                <c:formatCode>General</c:formatCode>
                <c:ptCount val="10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5.44704</c:v>
                </c:pt>
                <c:pt idx="12">
                  <c:v>6.69597041777778</c:v>
                </c:pt>
                <c:pt idx="13">
                  <c:v>8.56910166167704</c:v>
                </c:pt>
                <c:pt idx="14">
                  <c:v>10.8469152413539</c:v>
                </c:pt>
                <c:pt idx="15">
                  <c:v>13.3171760950351</c:v>
                </c:pt>
                <c:pt idx="16">
                  <c:v>15.8066769399011</c:v>
                </c:pt>
                <c:pt idx="17">
                  <c:v>18.1962349051516</c:v>
                </c:pt>
                <c:pt idx="18">
                  <c:v>20.4220506811218</c:v>
                </c:pt>
                <c:pt idx="19">
                  <c:v>22.4677088516094</c:v>
                </c:pt>
                <c:pt idx="20">
                  <c:v>24.3511927968594</c:v>
                </c:pt>
                <c:pt idx="21">
                  <c:v>25.6636074088478</c:v>
                </c:pt>
                <c:pt idx="22">
                  <c:v>26.0956227656814</c:v>
                </c:pt>
                <c:pt idx="23">
                  <c:v>25.8680685065385</c:v>
                </c:pt>
                <c:pt idx="24">
                  <c:v>25.235066985581</c:v>
                </c:pt>
                <c:pt idx="25">
                  <c:v>24.4321686111879</c:v>
                </c:pt>
                <c:pt idx="26">
                  <c:v>23.6445790174836</c:v>
                </c:pt>
                <c:pt idx="27">
                  <c:v>22.9939641234235</c:v>
                </c:pt>
                <c:pt idx="28">
                  <c:v>22.5398294243471</c:v>
                </c:pt>
                <c:pt idx="29">
                  <c:v>22.2904453453156</c:v>
                </c:pt>
                <c:pt idx="30">
                  <c:v>22.218412809234</c:v>
                </c:pt>
                <c:pt idx="31">
                  <c:v>22.2768344530767</c:v>
                </c:pt>
                <c:pt idx="32">
                  <c:v>22.4132899939216</c:v>
                </c:pt>
                <c:pt idx="33">
                  <c:v>22.5800914062747</c:v>
                </c:pt>
                <c:pt idx="34">
                  <c:v>22.7403948021667</c:v>
                </c:pt>
                <c:pt idx="35">
                  <c:v>22.870552047776</c:v>
                </c:pt>
                <c:pt idx="36">
                  <c:v>23.4066038189243</c:v>
                </c:pt>
                <c:pt idx="37">
                  <c:v>24.7026483915649</c:v>
                </c:pt>
                <c:pt idx="38">
                  <c:v>26.5872329328073</c:v>
                </c:pt>
                <c:pt idx="39">
                  <c:v>28.8507564023705</c:v>
                </c:pt>
                <c:pt idx="40">
                  <c:v>31.2917724621231</c:v>
                </c:pt>
                <c:pt idx="41">
                  <c:v>33.7467107140423</c:v>
                </c:pt>
                <c:pt idx="42">
                  <c:v>36.1037027164471</c:v>
                </c:pt>
                <c:pt idx="43">
                  <c:v>38.3035302170128</c:v>
                </c:pt>
                <c:pt idx="44">
                  <c:v>40.3317898491436</c:v>
                </c:pt>
                <c:pt idx="45">
                  <c:v>42.2064315201939</c:v>
                </c:pt>
                <c:pt idx="46">
                  <c:v>43.5171610800311</c:v>
                </c:pt>
                <c:pt idx="47">
                  <c:v>43.9525594201481</c:v>
                </c:pt>
                <c:pt idx="48">
                  <c:v>43.7312405698383</c:v>
                </c:pt>
                <c:pt idx="49">
                  <c:v>43.1053830087055</c:v>
                </c:pt>
                <c:pt idx="50">
                  <c:v>42.3090881414435</c:v>
                </c:pt>
                <c:pt idx="51">
                  <c:v>41.5266774005395</c:v>
                </c:pt>
                <c:pt idx="52">
                  <c:v>40.8794533044158</c:v>
                </c:pt>
                <c:pt idx="53">
                  <c:v>40.4269654674588</c:v>
                </c:pt>
                <c:pt idx="54">
                  <c:v>40.1777944641917</c:v>
                </c:pt>
                <c:pt idx="55">
                  <c:v>40.1049797668742</c:v>
                </c:pt>
                <c:pt idx="56">
                  <c:v>40.1620780605794</c:v>
                </c:pt>
                <c:pt idx="57">
                  <c:v>40.2970604467918</c:v>
                </c:pt>
                <c:pt idx="58">
                  <c:v>40.4625253164228</c:v>
                </c:pt>
                <c:pt idx="59">
                  <c:v>40.6217987648043</c:v>
                </c:pt>
                <c:pt idx="60">
                  <c:v>40.7512972569378</c:v>
                </c:pt>
                <c:pt idx="61">
                  <c:v>40.392965043216</c:v>
                </c:pt>
                <c:pt idx="62">
                  <c:v>39.1911314770218</c:v>
                </c:pt>
                <c:pt idx="63">
                  <c:v>37.329631151465</c:v>
                </c:pt>
                <c:pt idx="64">
                  <c:v>35.0378071480118</c:v>
                </c:pt>
                <c:pt idx="65">
                  <c:v>32.5386045947728</c:v>
                </c:pt>
                <c:pt idx="66">
                  <c:v>30.0148111753985</c:v>
                </c:pt>
                <c:pt idx="67">
                  <c:v>27.5928916545493</c:v>
                </c:pt>
                <c:pt idx="68">
                  <c:v>25.3412151494882</c:v>
                </c:pt>
                <c:pt idx="69">
                  <c:v>23.2782139522674</c:v>
                </c:pt>
                <c:pt idx="70">
                  <c:v>21.3858860339875</c:v>
                </c:pt>
                <c:pt idx="71">
                  <c:v>20.0717466006232</c:v>
                </c:pt>
                <c:pt idx="72">
                  <c:v>19.6430553406503</c:v>
                </c:pt>
                <c:pt idx="73">
                  <c:v>19.8767827836039</c:v>
                </c:pt>
                <c:pt idx="74">
                  <c:v>20.5168738130747</c:v>
                </c:pt>
                <c:pt idx="75">
                  <c:v>21.3263352140119</c:v>
                </c:pt>
                <c:pt idx="76">
                  <c:v>22.1190790562969</c:v>
                </c:pt>
                <c:pt idx="77">
                  <c:v>22.7730747433129</c:v>
                </c:pt>
                <c:pt idx="78">
                  <c:v>23.2288576939533</c:v>
                </c:pt>
                <c:pt idx="79">
                  <c:v>23.4784636514443</c:v>
                </c:pt>
                <c:pt idx="80">
                  <c:v>23.5497263812547</c:v>
                </c:pt>
                <c:pt idx="81">
                  <c:v>23.4899941352725</c:v>
                </c:pt>
                <c:pt idx="82">
                  <c:v>23.3520764002014</c:v>
                </c:pt>
                <c:pt idx="83">
                  <c:v>23.1839464440413</c:v>
                </c:pt>
                <c:pt idx="84">
                  <c:v>23.0226178277603</c:v>
                </c:pt>
                <c:pt idx="85">
                  <c:v>22.8918036024265</c:v>
                </c:pt>
                <c:pt idx="86">
                  <c:v>23.5474873553679</c:v>
                </c:pt>
                <c:pt idx="87">
                  <c:v>25.5817184117201</c:v>
                </c:pt>
                <c:pt idx="88">
                  <c:v>28.6920462196919</c:v>
                </c:pt>
                <c:pt idx="89">
                  <c:v>32.5026296876442</c:v>
                </c:pt>
                <c:pt idx="90">
                  <c:v>36.6489084088643</c:v>
                </c:pt>
                <c:pt idx="91">
                  <c:v>40.832536261127</c:v>
                </c:pt>
                <c:pt idx="92">
                  <c:v>44.1025459832089</c:v>
                </c:pt>
                <c:pt idx="93">
                  <c:v>45.7566580787545</c:v>
                </c:pt>
                <c:pt idx="94">
                  <c:v>46.0616314190096</c:v>
                </c:pt>
                <c:pt idx="95">
                  <c:v>45.4133151627532</c:v>
                </c:pt>
                <c:pt idx="96">
                  <c:v>44.2303899168193</c:v>
                </c:pt>
                <c:pt idx="97">
                  <c:v>42.8794773742605</c:v>
                </c:pt>
                <c:pt idx="98">
                  <c:v>41.6333228304112</c:v>
                </c:pt>
                <c:pt idx="99">
                  <c:v>40.6578718451963</c:v>
                </c:pt>
                <c:pt idx="100">
                  <c:v>40.0207916257896</c:v>
                </c:pt>
                <c:pt idx="101">
                  <c:v>39.7129941416113</c:v>
                </c:pt>
              </c:numCache>
            </c:numRef>
          </c:yVal>
          <c:smooth val="0"/>
        </c:ser>
        <c:axId val="75334743"/>
        <c:axId val="35568339"/>
      </c:scatterChart>
      <c:valAx>
        <c:axId val="7533474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5568339"/>
        <c:crosses val="autoZero"/>
        <c:crossBetween val="midCat"/>
      </c:valAx>
      <c:valAx>
        <c:axId val="355683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533474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'Long Time Gap_verrgain_0.1'!$G$1</c:f>
              <c:strCache>
                <c:ptCount val="1"/>
                <c:pt idx="0">
                  <c:v>Safe Theorical Dist [m]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Gap_verrgain_0.1'!$G$2:$G$170</c:f>
              <c:numCache>
                <c:formatCode>General</c:formatCode>
                <c:ptCount val="16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6.78816</c:v>
                </c:pt>
                <c:pt idx="12">
                  <c:v>8.57632</c:v>
                </c:pt>
                <c:pt idx="13">
                  <c:v>10.36448</c:v>
                </c:pt>
                <c:pt idx="14">
                  <c:v>12.15264</c:v>
                </c:pt>
                <c:pt idx="15">
                  <c:v>13.9408</c:v>
                </c:pt>
                <c:pt idx="16">
                  <c:v>15.72896</c:v>
                </c:pt>
                <c:pt idx="17">
                  <c:v>17.51712</c:v>
                </c:pt>
                <c:pt idx="18">
                  <c:v>19.30528</c:v>
                </c:pt>
                <c:pt idx="19">
                  <c:v>21.09344</c:v>
                </c:pt>
                <c:pt idx="20">
                  <c:v>22.8816</c:v>
                </c:pt>
                <c:pt idx="21">
                  <c:v>22.8816</c:v>
                </c:pt>
                <c:pt idx="22">
                  <c:v>22.8816</c:v>
                </c:pt>
                <c:pt idx="23">
                  <c:v>22.8816</c:v>
                </c:pt>
                <c:pt idx="24">
                  <c:v>22.8816</c:v>
                </c:pt>
                <c:pt idx="25">
                  <c:v>22.8816</c:v>
                </c:pt>
                <c:pt idx="26">
                  <c:v>22.8816</c:v>
                </c:pt>
                <c:pt idx="27">
                  <c:v>22.8816</c:v>
                </c:pt>
                <c:pt idx="28">
                  <c:v>22.8816</c:v>
                </c:pt>
                <c:pt idx="29">
                  <c:v>22.8816</c:v>
                </c:pt>
                <c:pt idx="30">
                  <c:v>22.8816</c:v>
                </c:pt>
                <c:pt idx="31">
                  <c:v>22.8816</c:v>
                </c:pt>
                <c:pt idx="32">
                  <c:v>22.8816</c:v>
                </c:pt>
                <c:pt idx="33">
                  <c:v>22.8816</c:v>
                </c:pt>
                <c:pt idx="34">
                  <c:v>22.8816</c:v>
                </c:pt>
                <c:pt idx="35">
                  <c:v>22.8816</c:v>
                </c:pt>
                <c:pt idx="36">
                  <c:v>24.66976</c:v>
                </c:pt>
                <c:pt idx="37">
                  <c:v>26.45792</c:v>
                </c:pt>
                <c:pt idx="38">
                  <c:v>28.24608</c:v>
                </c:pt>
                <c:pt idx="39">
                  <c:v>30.03424</c:v>
                </c:pt>
                <c:pt idx="40">
                  <c:v>31.8224</c:v>
                </c:pt>
                <c:pt idx="41">
                  <c:v>33.61056</c:v>
                </c:pt>
                <c:pt idx="42">
                  <c:v>35.39872</c:v>
                </c:pt>
                <c:pt idx="43">
                  <c:v>37.18688</c:v>
                </c:pt>
                <c:pt idx="44">
                  <c:v>38.97504</c:v>
                </c:pt>
                <c:pt idx="45">
                  <c:v>40.7632</c:v>
                </c:pt>
                <c:pt idx="46">
                  <c:v>40.7632</c:v>
                </c:pt>
                <c:pt idx="47">
                  <c:v>40.7632</c:v>
                </c:pt>
                <c:pt idx="48">
                  <c:v>40.7632</c:v>
                </c:pt>
                <c:pt idx="49">
                  <c:v>40.7632</c:v>
                </c:pt>
                <c:pt idx="50">
                  <c:v>40.7632</c:v>
                </c:pt>
                <c:pt idx="51">
                  <c:v>40.7632</c:v>
                </c:pt>
                <c:pt idx="52">
                  <c:v>40.7632</c:v>
                </c:pt>
                <c:pt idx="53">
                  <c:v>40.7632</c:v>
                </c:pt>
                <c:pt idx="54">
                  <c:v>40.7632</c:v>
                </c:pt>
                <c:pt idx="55">
                  <c:v>40.7632</c:v>
                </c:pt>
                <c:pt idx="56">
                  <c:v>40.7632</c:v>
                </c:pt>
                <c:pt idx="57">
                  <c:v>40.7632</c:v>
                </c:pt>
                <c:pt idx="58">
                  <c:v>40.7632</c:v>
                </c:pt>
                <c:pt idx="59">
                  <c:v>40.7632</c:v>
                </c:pt>
                <c:pt idx="60">
                  <c:v>40.7632</c:v>
                </c:pt>
                <c:pt idx="61">
                  <c:v>38.97504</c:v>
                </c:pt>
                <c:pt idx="62">
                  <c:v>37.18688</c:v>
                </c:pt>
                <c:pt idx="63">
                  <c:v>35.39872</c:v>
                </c:pt>
                <c:pt idx="64">
                  <c:v>33.61056</c:v>
                </c:pt>
                <c:pt idx="65">
                  <c:v>31.8224</c:v>
                </c:pt>
                <c:pt idx="66">
                  <c:v>30.03424</c:v>
                </c:pt>
                <c:pt idx="67">
                  <c:v>28.24608</c:v>
                </c:pt>
                <c:pt idx="68">
                  <c:v>26.45792</c:v>
                </c:pt>
                <c:pt idx="69">
                  <c:v>24.66976</c:v>
                </c:pt>
                <c:pt idx="70">
                  <c:v>22.8816</c:v>
                </c:pt>
                <c:pt idx="71">
                  <c:v>22.8816</c:v>
                </c:pt>
                <c:pt idx="72">
                  <c:v>22.8816</c:v>
                </c:pt>
                <c:pt idx="73">
                  <c:v>22.8816</c:v>
                </c:pt>
                <c:pt idx="74">
                  <c:v>22.8816</c:v>
                </c:pt>
                <c:pt idx="75">
                  <c:v>22.8816</c:v>
                </c:pt>
                <c:pt idx="76">
                  <c:v>22.8816</c:v>
                </c:pt>
                <c:pt idx="77">
                  <c:v>22.8816</c:v>
                </c:pt>
                <c:pt idx="78">
                  <c:v>22.8816</c:v>
                </c:pt>
                <c:pt idx="79">
                  <c:v>22.8816</c:v>
                </c:pt>
                <c:pt idx="80">
                  <c:v>22.8816</c:v>
                </c:pt>
                <c:pt idx="81">
                  <c:v>22.8816</c:v>
                </c:pt>
                <c:pt idx="82">
                  <c:v>22.8816</c:v>
                </c:pt>
                <c:pt idx="83">
                  <c:v>22.8816</c:v>
                </c:pt>
                <c:pt idx="84">
                  <c:v>22.8816</c:v>
                </c:pt>
                <c:pt idx="85">
                  <c:v>22.8816</c:v>
                </c:pt>
                <c:pt idx="86">
                  <c:v>25.8616</c:v>
                </c:pt>
                <c:pt idx="87">
                  <c:v>28.8416</c:v>
                </c:pt>
                <c:pt idx="88">
                  <c:v>31.8216</c:v>
                </c:pt>
                <c:pt idx="89">
                  <c:v>34.8016</c:v>
                </c:pt>
                <c:pt idx="90">
                  <c:v>37.7816</c:v>
                </c:pt>
                <c:pt idx="91">
                  <c:v>40.7616</c:v>
                </c:pt>
                <c:pt idx="92">
                  <c:v>40.7616</c:v>
                </c:pt>
                <c:pt idx="93">
                  <c:v>40.7616</c:v>
                </c:pt>
                <c:pt idx="94">
                  <c:v>40.7616</c:v>
                </c:pt>
                <c:pt idx="95">
                  <c:v>40.7616</c:v>
                </c:pt>
                <c:pt idx="96">
                  <c:v>40.7616</c:v>
                </c:pt>
                <c:pt idx="97">
                  <c:v>40.7616</c:v>
                </c:pt>
                <c:pt idx="98">
                  <c:v>40.7616</c:v>
                </c:pt>
                <c:pt idx="99">
                  <c:v>40.7616</c:v>
                </c:pt>
                <c:pt idx="100">
                  <c:v>40.7616</c:v>
                </c:pt>
                <c:pt idx="101">
                  <c:v>40.7616</c:v>
                </c:pt>
                <c:pt idx="102">
                  <c:v>40.7616</c:v>
                </c:pt>
                <c:pt idx="103">
                  <c:v>40.7616</c:v>
                </c:pt>
                <c:pt idx="104">
                  <c:v>40.7616</c:v>
                </c:pt>
                <c:pt idx="105">
                  <c:v>37.7816</c:v>
                </c:pt>
                <c:pt idx="106">
                  <c:v>34.8016</c:v>
                </c:pt>
                <c:pt idx="107">
                  <c:v>31.8216</c:v>
                </c:pt>
                <c:pt idx="108">
                  <c:v>28.8416</c:v>
                </c:pt>
                <c:pt idx="109">
                  <c:v>25.8616</c:v>
                </c:pt>
                <c:pt idx="110">
                  <c:v>22.8816</c:v>
                </c:pt>
                <c:pt idx="111">
                  <c:v>22.8816</c:v>
                </c:pt>
                <c:pt idx="112">
                  <c:v>22.8816</c:v>
                </c:pt>
                <c:pt idx="113">
                  <c:v>22.8816</c:v>
                </c:pt>
                <c:pt idx="114">
                  <c:v>22.8816</c:v>
                </c:pt>
                <c:pt idx="115">
                  <c:v>22.8816</c:v>
                </c:pt>
                <c:pt idx="116">
                  <c:v>22.8816</c:v>
                </c:pt>
                <c:pt idx="117">
                  <c:v>22.8816</c:v>
                </c:pt>
                <c:pt idx="118">
                  <c:v>22.8816</c:v>
                </c:pt>
                <c:pt idx="119">
                  <c:v>22.8816</c:v>
                </c:pt>
                <c:pt idx="120">
                  <c:v>22.8816</c:v>
                </c:pt>
                <c:pt idx="121">
                  <c:v>22.8816</c:v>
                </c:pt>
                <c:pt idx="122">
                  <c:v>22.8816</c:v>
                </c:pt>
                <c:pt idx="123">
                  <c:v>22.8816</c:v>
                </c:pt>
                <c:pt idx="124">
                  <c:v>26.8816</c:v>
                </c:pt>
                <c:pt idx="125">
                  <c:v>30.8816</c:v>
                </c:pt>
                <c:pt idx="126">
                  <c:v>34.8816</c:v>
                </c:pt>
                <c:pt idx="127">
                  <c:v>38.8816</c:v>
                </c:pt>
                <c:pt idx="128">
                  <c:v>42.8816</c:v>
                </c:pt>
                <c:pt idx="129">
                  <c:v>42.8816</c:v>
                </c:pt>
                <c:pt idx="130">
                  <c:v>42.8816</c:v>
                </c:pt>
                <c:pt idx="131">
                  <c:v>42.8816</c:v>
                </c:pt>
                <c:pt idx="132">
                  <c:v>42.8816</c:v>
                </c:pt>
                <c:pt idx="133">
                  <c:v>42.8816</c:v>
                </c:pt>
                <c:pt idx="134">
                  <c:v>42.8816</c:v>
                </c:pt>
                <c:pt idx="135">
                  <c:v>42.8816</c:v>
                </c:pt>
                <c:pt idx="136">
                  <c:v>42.8816</c:v>
                </c:pt>
                <c:pt idx="137">
                  <c:v>42.8816</c:v>
                </c:pt>
                <c:pt idx="138">
                  <c:v>42.8816</c:v>
                </c:pt>
                <c:pt idx="139">
                  <c:v>42.8816</c:v>
                </c:pt>
                <c:pt idx="140">
                  <c:v>42.8816</c:v>
                </c:pt>
                <c:pt idx="141">
                  <c:v>42.8816</c:v>
                </c:pt>
                <c:pt idx="142">
                  <c:v>38.8816</c:v>
                </c:pt>
                <c:pt idx="143">
                  <c:v>34.8816</c:v>
                </c:pt>
                <c:pt idx="144">
                  <c:v>30.8816</c:v>
                </c:pt>
                <c:pt idx="145">
                  <c:v>26.8816</c:v>
                </c:pt>
                <c:pt idx="146">
                  <c:v>22.8816</c:v>
                </c:pt>
                <c:pt idx="147">
                  <c:v>22.8816</c:v>
                </c:pt>
                <c:pt idx="148">
                  <c:v>22.8816</c:v>
                </c:pt>
                <c:pt idx="149">
                  <c:v>22.8816</c:v>
                </c:pt>
                <c:pt idx="150">
                  <c:v>22.8816</c:v>
                </c:pt>
                <c:pt idx="151">
                  <c:v>22.8816</c:v>
                </c:pt>
                <c:pt idx="152">
                  <c:v>22.8816</c:v>
                </c:pt>
                <c:pt idx="153">
                  <c:v>22.8816</c:v>
                </c:pt>
                <c:pt idx="154">
                  <c:v>22.8816</c:v>
                </c:pt>
                <c:pt idx="155">
                  <c:v>22.8816</c:v>
                </c:pt>
                <c:pt idx="156">
                  <c:v>22.8816</c:v>
                </c:pt>
                <c:pt idx="157">
                  <c:v>22.8816</c:v>
                </c:pt>
                <c:pt idx="158">
                  <c:v>22.8816</c:v>
                </c:pt>
                <c:pt idx="159">
                  <c:v>21.09344</c:v>
                </c:pt>
                <c:pt idx="160">
                  <c:v>19.30528</c:v>
                </c:pt>
                <c:pt idx="161">
                  <c:v>17.51712</c:v>
                </c:pt>
                <c:pt idx="162">
                  <c:v>15.72896</c:v>
                </c:pt>
                <c:pt idx="163">
                  <c:v>13.9408</c:v>
                </c:pt>
                <c:pt idx="164">
                  <c:v>12.15264</c:v>
                </c:pt>
                <c:pt idx="165">
                  <c:v>10.36448</c:v>
                </c:pt>
                <c:pt idx="166">
                  <c:v>8.57631999999999</c:v>
                </c:pt>
                <c:pt idx="167">
                  <c:v>6.78815999999999</c:v>
                </c:pt>
                <c:pt idx="168">
                  <c:v>4.99999999999999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'Long Time Gap_verrgain_0.1'!$J$1</c:f>
              <c:strCache>
                <c:ptCount val="1"/>
                <c:pt idx="0">
                  <c:v>Simulated Dist [m]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'Long Time Gap_verrgain_0.1'!$J$2:$J$170</c:f>
              <c:numCache>
                <c:formatCode>General</c:formatCode>
                <c:ptCount val="16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5.44704</c:v>
                </c:pt>
                <c:pt idx="12">
                  <c:v>6.69597041777778</c:v>
                </c:pt>
                <c:pt idx="13">
                  <c:v>8.56910166167704</c:v>
                </c:pt>
                <c:pt idx="14">
                  <c:v>10.8469152413539</c:v>
                </c:pt>
                <c:pt idx="15">
                  <c:v>13.3171760950351</c:v>
                </c:pt>
                <c:pt idx="16">
                  <c:v>15.8066769399011</c:v>
                </c:pt>
                <c:pt idx="17">
                  <c:v>18.1962349051516</c:v>
                </c:pt>
                <c:pt idx="18">
                  <c:v>20.4220506811218</c:v>
                </c:pt>
                <c:pt idx="19">
                  <c:v>22.4677088516094</c:v>
                </c:pt>
                <c:pt idx="20">
                  <c:v>24.3511927968594</c:v>
                </c:pt>
                <c:pt idx="21">
                  <c:v>25.6636074088478</c:v>
                </c:pt>
                <c:pt idx="22">
                  <c:v>26.0956227656814</c:v>
                </c:pt>
                <c:pt idx="23">
                  <c:v>25.8680685065385</c:v>
                </c:pt>
                <c:pt idx="24">
                  <c:v>25.235066985581</c:v>
                </c:pt>
                <c:pt idx="25">
                  <c:v>24.4321686111879</c:v>
                </c:pt>
                <c:pt idx="26">
                  <c:v>23.6445790174836</c:v>
                </c:pt>
                <c:pt idx="27">
                  <c:v>22.9939641234235</c:v>
                </c:pt>
                <c:pt idx="28">
                  <c:v>22.5398294243471</c:v>
                </c:pt>
                <c:pt idx="29">
                  <c:v>22.2904453453156</c:v>
                </c:pt>
                <c:pt idx="30">
                  <c:v>22.218412809234</c:v>
                </c:pt>
                <c:pt idx="31">
                  <c:v>22.2768344530767</c:v>
                </c:pt>
                <c:pt idx="32">
                  <c:v>22.4132899939216</c:v>
                </c:pt>
                <c:pt idx="33">
                  <c:v>22.5800914062747</c:v>
                </c:pt>
                <c:pt idx="34">
                  <c:v>22.7403948021667</c:v>
                </c:pt>
                <c:pt idx="35">
                  <c:v>22.870552047776</c:v>
                </c:pt>
                <c:pt idx="36">
                  <c:v>23.4066038189243</c:v>
                </c:pt>
                <c:pt idx="37">
                  <c:v>24.7026483915649</c:v>
                </c:pt>
                <c:pt idx="38">
                  <c:v>26.5872329328073</c:v>
                </c:pt>
                <c:pt idx="39">
                  <c:v>28.8507564023705</c:v>
                </c:pt>
                <c:pt idx="40">
                  <c:v>31.2917724621231</c:v>
                </c:pt>
                <c:pt idx="41">
                  <c:v>33.7467107140423</c:v>
                </c:pt>
                <c:pt idx="42">
                  <c:v>36.1037027164471</c:v>
                </c:pt>
                <c:pt idx="43">
                  <c:v>38.3035302170128</c:v>
                </c:pt>
                <c:pt idx="44">
                  <c:v>40.3317898491436</c:v>
                </c:pt>
                <c:pt idx="45">
                  <c:v>42.2064315201939</c:v>
                </c:pt>
                <c:pt idx="46">
                  <c:v>43.5171610800311</c:v>
                </c:pt>
                <c:pt idx="47">
                  <c:v>43.9525594201481</c:v>
                </c:pt>
                <c:pt idx="48">
                  <c:v>43.7312405698383</c:v>
                </c:pt>
                <c:pt idx="49">
                  <c:v>43.1053830087055</c:v>
                </c:pt>
                <c:pt idx="50">
                  <c:v>42.3090881414435</c:v>
                </c:pt>
                <c:pt idx="51">
                  <c:v>41.5266774005395</c:v>
                </c:pt>
                <c:pt idx="52">
                  <c:v>40.8794533044158</c:v>
                </c:pt>
                <c:pt idx="53">
                  <c:v>40.4269654674588</c:v>
                </c:pt>
                <c:pt idx="54">
                  <c:v>40.1777944641917</c:v>
                </c:pt>
                <c:pt idx="55">
                  <c:v>40.1049797668742</c:v>
                </c:pt>
                <c:pt idx="56">
                  <c:v>40.1620780605794</c:v>
                </c:pt>
                <c:pt idx="57">
                  <c:v>40.2970604467918</c:v>
                </c:pt>
                <c:pt idx="58">
                  <c:v>40.4625253164228</c:v>
                </c:pt>
                <c:pt idx="59">
                  <c:v>40.6217987648043</c:v>
                </c:pt>
                <c:pt idx="60">
                  <c:v>40.7512972569378</c:v>
                </c:pt>
                <c:pt idx="61">
                  <c:v>40.392965043216</c:v>
                </c:pt>
                <c:pt idx="62">
                  <c:v>39.1911314770218</c:v>
                </c:pt>
                <c:pt idx="63">
                  <c:v>37.329631151465</c:v>
                </c:pt>
                <c:pt idx="64">
                  <c:v>35.0378071480118</c:v>
                </c:pt>
                <c:pt idx="65">
                  <c:v>32.5386045947728</c:v>
                </c:pt>
                <c:pt idx="66">
                  <c:v>30.0148111753985</c:v>
                </c:pt>
                <c:pt idx="67">
                  <c:v>27.5928916545493</c:v>
                </c:pt>
                <c:pt idx="68">
                  <c:v>25.3412151494882</c:v>
                </c:pt>
                <c:pt idx="69">
                  <c:v>23.2782139522674</c:v>
                </c:pt>
                <c:pt idx="70">
                  <c:v>21.3858860339875</c:v>
                </c:pt>
                <c:pt idx="71">
                  <c:v>20.0717466006232</c:v>
                </c:pt>
                <c:pt idx="72">
                  <c:v>19.6430553406503</c:v>
                </c:pt>
                <c:pt idx="73">
                  <c:v>19.8767827836039</c:v>
                </c:pt>
                <c:pt idx="74">
                  <c:v>20.5168738130747</c:v>
                </c:pt>
                <c:pt idx="75">
                  <c:v>21.3263352140119</c:v>
                </c:pt>
                <c:pt idx="76">
                  <c:v>22.1190790562969</c:v>
                </c:pt>
                <c:pt idx="77">
                  <c:v>22.7730747433129</c:v>
                </c:pt>
                <c:pt idx="78">
                  <c:v>23.2288576939533</c:v>
                </c:pt>
                <c:pt idx="79">
                  <c:v>23.4784636514443</c:v>
                </c:pt>
                <c:pt idx="80">
                  <c:v>23.5497263812547</c:v>
                </c:pt>
                <c:pt idx="81">
                  <c:v>23.4899941352725</c:v>
                </c:pt>
                <c:pt idx="82">
                  <c:v>23.3520764002014</c:v>
                </c:pt>
                <c:pt idx="83">
                  <c:v>23.1839464440413</c:v>
                </c:pt>
                <c:pt idx="84">
                  <c:v>23.0226178277603</c:v>
                </c:pt>
                <c:pt idx="85">
                  <c:v>22.8918036024265</c:v>
                </c:pt>
                <c:pt idx="86">
                  <c:v>23.5474873553679</c:v>
                </c:pt>
                <c:pt idx="87">
                  <c:v>25.5817184117201</c:v>
                </c:pt>
                <c:pt idx="88">
                  <c:v>28.6920462196919</c:v>
                </c:pt>
                <c:pt idx="89">
                  <c:v>32.5026296876442</c:v>
                </c:pt>
                <c:pt idx="90">
                  <c:v>36.6489084088643</c:v>
                </c:pt>
                <c:pt idx="91">
                  <c:v>40.832536261127</c:v>
                </c:pt>
                <c:pt idx="92">
                  <c:v>44.1025459832089</c:v>
                </c:pt>
                <c:pt idx="93">
                  <c:v>45.7566580787545</c:v>
                </c:pt>
                <c:pt idx="94">
                  <c:v>46.0616314190096</c:v>
                </c:pt>
                <c:pt idx="95">
                  <c:v>45.4133151627532</c:v>
                </c:pt>
                <c:pt idx="96">
                  <c:v>44.2303899168193</c:v>
                </c:pt>
                <c:pt idx="97">
                  <c:v>42.8794773742605</c:v>
                </c:pt>
                <c:pt idx="98">
                  <c:v>41.6333228304112</c:v>
                </c:pt>
                <c:pt idx="99">
                  <c:v>40.6578718451963</c:v>
                </c:pt>
                <c:pt idx="100">
                  <c:v>40.0207916257896</c:v>
                </c:pt>
                <c:pt idx="101">
                  <c:v>39.7129941416113</c:v>
                </c:pt>
                <c:pt idx="102">
                  <c:v>39.6754104592094</c:v>
                </c:pt>
                <c:pt idx="103">
                  <c:v>39.8249768684111</c:v>
                </c:pt>
                <c:pt idx="104">
                  <c:v>40.0759118545052</c:v>
                </c:pt>
                <c:pt idx="105">
                  <c:v>39.6094136623715</c:v>
                </c:pt>
                <c:pt idx="106">
                  <c:v>37.7802190759198</c:v>
                </c:pt>
                <c:pt idx="107">
                  <c:v>34.8525632795411</c:v>
                </c:pt>
                <c:pt idx="108">
                  <c:v>31.1802727692598</c:v>
                </c:pt>
                <c:pt idx="109">
                  <c:v>27.1202933772704</c:v>
                </c:pt>
                <c:pt idx="110">
                  <c:v>22.9742329658518</c:v>
                </c:pt>
                <c:pt idx="111">
                  <c:v>19.7030853062706</c:v>
                </c:pt>
                <c:pt idx="112">
                  <c:v>18.0220771500403</c:v>
                </c:pt>
                <c:pt idx="113">
                  <c:v>17.6772713598582</c:v>
                </c:pt>
                <c:pt idx="114">
                  <c:v>18.2834935092524</c:v>
                </c:pt>
                <c:pt idx="115">
                  <c:v>19.4295813096689</c:v>
                </c:pt>
                <c:pt idx="116">
                  <c:v>20.7531062736371</c:v>
                </c:pt>
                <c:pt idx="117">
                  <c:v>21.9826131067957</c:v>
                </c:pt>
                <c:pt idx="118">
                  <c:v>22.9512929111261</c:v>
                </c:pt>
                <c:pt idx="119">
                  <c:v>23.5893108271716</c:v>
                </c:pt>
                <c:pt idx="120">
                  <c:v>23.9030618040431</c:v>
                </c:pt>
                <c:pt idx="121">
                  <c:v>23.9490028262915</c:v>
                </c:pt>
                <c:pt idx="122">
                  <c:v>23.808060265595</c:v>
                </c:pt>
                <c:pt idx="123">
                  <c:v>23.5645402666282</c:v>
                </c:pt>
                <c:pt idx="124">
                  <c:v>24.2914502510898</c:v>
                </c:pt>
                <c:pt idx="125">
                  <c:v>26.8362566802782</c:v>
                </c:pt>
                <c:pt idx="126">
                  <c:v>30.8335821811472</c:v>
                </c:pt>
                <c:pt idx="127">
                  <c:v>35.8048485392519</c:v>
                </c:pt>
                <c:pt idx="128">
                  <c:v>41.2726057378352</c:v>
                </c:pt>
                <c:pt idx="129">
                  <c:v>45.8968150290189</c:v>
                </c:pt>
                <c:pt idx="130">
                  <c:v>48.6151723319726</c:v>
                </c:pt>
                <c:pt idx="131">
                  <c:v>49.5189176493682</c:v>
                </c:pt>
                <c:pt idx="132">
                  <c:v>49.0567571825065</c:v>
                </c:pt>
                <c:pt idx="133">
                  <c:v>47.7534927895756</c:v>
                </c:pt>
                <c:pt idx="134">
                  <c:v>46.0961826143018</c:v>
                </c:pt>
                <c:pt idx="135">
                  <c:v>44.4682258806618</c:v>
                </c:pt>
                <c:pt idx="136">
                  <c:v>43.1218626259379</c:v>
                </c:pt>
                <c:pt idx="137">
                  <c:v>42.1808444665098</c:v>
                </c:pt>
                <c:pt idx="138">
                  <c:v>41.6628969637125</c:v>
                </c:pt>
                <c:pt idx="139">
                  <c:v>41.5118328147871</c:v>
                </c:pt>
                <c:pt idx="140">
                  <c:v>41.6309665856616</c:v>
                </c:pt>
                <c:pt idx="141">
                  <c:v>41.9120257067591</c:v>
                </c:pt>
                <c:pt idx="142">
                  <c:v>41.2563915062117</c:v>
                </c:pt>
                <c:pt idx="143">
                  <c:v>38.7940044396898</c:v>
                </c:pt>
                <c:pt idx="144">
                  <c:v>34.8733066159198</c:v>
                </c:pt>
                <c:pt idx="145">
                  <c:v>29.9624576767162</c:v>
                </c:pt>
                <c:pt idx="146">
                  <c:v>24.534532930365</c:v>
                </c:pt>
                <c:pt idx="147">
                  <c:v>19.9897897133474</c:v>
                </c:pt>
                <c:pt idx="148">
                  <c:v>17.4090619589056</c:v>
                </c:pt>
                <c:pt idx="149">
                  <c:v>16.5598714332068</c:v>
                </c:pt>
                <c:pt idx="150">
                  <c:v>17.0078209569515</c:v>
                </c:pt>
                <c:pt idx="151">
                  <c:v>18.2530724660139</c:v>
                </c:pt>
                <c:pt idx="152">
                  <c:v>19.8323463517781</c:v>
                </c:pt>
                <c:pt idx="153">
                  <c:v>21.3814018363953</c:v>
                </c:pt>
                <c:pt idx="154">
                  <c:v>22.6609784612965</c:v>
                </c:pt>
                <c:pt idx="155">
                  <c:v>23.5540747045684</c:v>
                </c:pt>
                <c:pt idx="156">
                  <c:v>24.0444539453686</c:v>
                </c:pt>
                <c:pt idx="157">
                  <c:v>24.186026730659</c:v>
                </c:pt>
                <c:pt idx="158">
                  <c:v>24.0710441900899</c:v>
                </c:pt>
                <c:pt idx="159">
                  <c:v>23.355571982094</c:v>
                </c:pt>
                <c:pt idx="160">
                  <c:v>21.7785517389048</c:v>
                </c:pt>
                <c:pt idx="161">
                  <c:v>19.5901328161435</c:v>
                </c:pt>
                <c:pt idx="162">
                  <c:v>17.0563381250465</c:v>
                </c:pt>
                <c:pt idx="163">
                  <c:v>14.4110292559617</c:v>
                </c:pt>
                <c:pt idx="164">
                  <c:v>11.8288868358559</c:v>
                </c:pt>
                <c:pt idx="165">
                  <c:v>9.41682292292285</c:v>
                </c:pt>
                <c:pt idx="166">
                  <c:v>7.21912861234455</c:v>
                </c:pt>
                <c:pt idx="167">
                  <c:v>5.23099909322423</c:v>
                </c:pt>
                <c:pt idx="168">
                  <c:v>3.41549742807729</c:v>
                </c:pt>
              </c:numCache>
            </c:numRef>
          </c:yVal>
          <c:smooth val="0"/>
        </c:ser>
        <c:axId val="63683710"/>
        <c:axId val="82142262"/>
      </c:scatterChart>
      <c:valAx>
        <c:axId val="6368371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142262"/>
        <c:crosses val="autoZero"/>
        <c:crossBetween val="midCat"/>
      </c:valAx>
      <c:valAx>
        <c:axId val="821422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68371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556200</xdr:colOff>
      <xdr:row>20</xdr:row>
      <xdr:rowOff>137160</xdr:rowOff>
    </xdr:from>
    <xdr:to>
      <xdr:col>23</xdr:col>
      <xdr:colOff>319680</xdr:colOff>
      <xdr:row>40</xdr:row>
      <xdr:rowOff>37800</xdr:rowOff>
    </xdr:to>
    <xdr:graphicFrame>
      <xdr:nvGraphicFramePr>
        <xdr:cNvPr id="0" name="Chart 1"/>
        <xdr:cNvGraphicFramePr/>
      </xdr:nvGraphicFramePr>
      <xdr:xfrm>
        <a:off x="17917560" y="3956760"/>
        <a:ext cx="7351920" cy="371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99000</xdr:colOff>
      <xdr:row>1</xdr:row>
      <xdr:rowOff>57240</xdr:rowOff>
    </xdr:from>
    <xdr:to>
      <xdr:col>23</xdr:col>
      <xdr:colOff>75960</xdr:colOff>
      <xdr:row>18</xdr:row>
      <xdr:rowOff>159840</xdr:rowOff>
    </xdr:to>
    <xdr:graphicFrame>
      <xdr:nvGraphicFramePr>
        <xdr:cNvPr id="1" name="Chart 3"/>
        <xdr:cNvGraphicFramePr/>
      </xdr:nvGraphicFramePr>
      <xdr:xfrm>
        <a:off x="18219240" y="257400"/>
        <a:ext cx="6806520" cy="334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548640</xdr:colOff>
      <xdr:row>21</xdr:row>
      <xdr:rowOff>129600</xdr:rowOff>
    </xdr:from>
    <xdr:to>
      <xdr:col>24</xdr:col>
      <xdr:colOff>312120</xdr:colOff>
      <xdr:row>41</xdr:row>
      <xdr:rowOff>30240</xdr:rowOff>
    </xdr:to>
    <xdr:graphicFrame>
      <xdr:nvGraphicFramePr>
        <xdr:cNvPr id="2" name="Chart 2"/>
        <xdr:cNvGraphicFramePr/>
      </xdr:nvGraphicFramePr>
      <xdr:xfrm>
        <a:off x="18646920" y="4139640"/>
        <a:ext cx="7351560" cy="371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472320</xdr:colOff>
      <xdr:row>1</xdr:row>
      <xdr:rowOff>41760</xdr:rowOff>
    </xdr:from>
    <xdr:to>
      <xdr:col>23</xdr:col>
      <xdr:colOff>449280</xdr:colOff>
      <xdr:row>18</xdr:row>
      <xdr:rowOff>144360</xdr:rowOff>
    </xdr:to>
    <xdr:graphicFrame>
      <xdr:nvGraphicFramePr>
        <xdr:cNvPr id="3" name="Chart 7"/>
        <xdr:cNvGraphicFramePr/>
      </xdr:nvGraphicFramePr>
      <xdr:xfrm>
        <a:off x="18570600" y="241920"/>
        <a:ext cx="6806160" cy="334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529560</xdr:colOff>
      <xdr:row>1</xdr:row>
      <xdr:rowOff>70560</xdr:rowOff>
    </xdr:from>
    <xdr:to>
      <xdr:col>34</xdr:col>
      <xdr:colOff>256680</xdr:colOff>
      <xdr:row>18</xdr:row>
      <xdr:rowOff>174960</xdr:rowOff>
    </xdr:to>
    <xdr:graphicFrame>
      <xdr:nvGraphicFramePr>
        <xdr:cNvPr id="4" name="Chart 3"/>
        <xdr:cNvGraphicFramePr/>
      </xdr:nvGraphicFramePr>
      <xdr:xfrm>
        <a:off x="25457040" y="270720"/>
        <a:ext cx="8074440" cy="334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380880</xdr:colOff>
      <xdr:row>19</xdr:row>
      <xdr:rowOff>175320</xdr:rowOff>
    </xdr:from>
    <xdr:to>
      <xdr:col>23</xdr:col>
      <xdr:colOff>144360</xdr:colOff>
      <xdr:row>39</xdr:row>
      <xdr:rowOff>75960</xdr:rowOff>
    </xdr:to>
    <xdr:graphicFrame>
      <xdr:nvGraphicFramePr>
        <xdr:cNvPr id="5" name="Chart 1"/>
        <xdr:cNvGraphicFramePr/>
      </xdr:nvGraphicFramePr>
      <xdr:xfrm>
        <a:off x="18199440" y="3804480"/>
        <a:ext cx="7351920" cy="371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415440</xdr:colOff>
      <xdr:row>1</xdr:row>
      <xdr:rowOff>49680</xdr:rowOff>
    </xdr:from>
    <xdr:to>
      <xdr:col>22</xdr:col>
      <xdr:colOff>388440</xdr:colOff>
      <xdr:row>18</xdr:row>
      <xdr:rowOff>155880</xdr:rowOff>
    </xdr:to>
    <xdr:graphicFrame>
      <xdr:nvGraphicFramePr>
        <xdr:cNvPr id="6" name="Chart 3"/>
        <xdr:cNvGraphicFramePr/>
      </xdr:nvGraphicFramePr>
      <xdr:xfrm>
        <a:off x="18234000" y="249840"/>
        <a:ext cx="6802560" cy="334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53280</xdr:colOff>
      <xdr:row>20</xdr:row>
      <xdr:rowOff>15120</xdr:rowOff>
    </xdr:from>
    <xdr:to>
      <xdr:col>23</xdr:col>
      <xdr:colOff>426240</xdr:colOff>
      <xdr:row>39</xdr:row>
      <xdr:rowOff>98640</xdr:rowOff>
    </xdr:to>
    <xdr:graphicFrame>
      <xdr:nvGraphicFramePr>
        <xdr:cNvPr id="7" name="Chart 1"/>
        <xdr:cNvGraphicFramePr/>
      </xdr:nvGraphicFramePr>
      <xdr:xfrm>
        <a:off x="18173520" y="3834720"/>
        <a:ext cx="7202520" cy="3702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99000</xdr:colOff>
      <xdr:row>1</xdr:row>
      <xdr:rowOff>57240</xdr:rowOff>
    </xdr:from>
    <xdr:to>
      <xdr:col>23</xdr:col>
      <xdr:colOff>75960</xdr:colOff>
      <xdr:row>18</xdr:row>
      <xdr:rowOff>159840</xdr:rowOff>
    </xdr:to>
    <xdr:graphicFrame>
      <xdr:nvGraphicFramePr>
        <xdr:cNvPr id="8" name="Chart 2"/>
        <xdr:cNvGraphicFramePr/>
      </xdr:nvGraphicFramePr>
      <xdr:xfrm>
        <a:off x="18219240" y="257400"/>
        <a:ext cx="6806520" cy="334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53280</xdr:colOff>
      <xdr:row>20</xdr:row>
      <xdr:rowOff>15120</xdr:rowOff>
    </xdr:from>
    <xdr:to>
      <xdr:col>23</xdr:col>
      <xdr:colOff>426240</xdr:colOff>
      <xdr:row>39</xdr:row>
      <xdr:rowOff>98640</xdr:rowOff>
    </xdr:to>
    <xdr:graphicFrame>
      <xdr:nvGraphicFramePr>
        <xdr:cNvPr id="9" name="Chart 1"/>
        <xdr:cNvGraphicFramePr/>
      </xdr:nvGraphicFramePr>
      <xdr:xfrm>
        <a:off x="18402840" y="3834720"/>
        <a:ext cx="7202520" cy="3702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38160</xdr:colOff>
      <xdr:row>1</xdr:row>
      <xdr:rowOff>122040</xdr:rowOff>
    </xdr:from>
    <xdr:to>
      <xdr:col>23</xdr:col>
      <xdr:colOff>9360</xdr:colOff>
      <xdr:row>19</xdr:row>
      <xdr:rowOff>32040</xdr:rowOff>
    </xdr:to>
    <xdr:graphicFrame>
      <xdr:nvGraphicFramePr>
        <xdr:cNvPr id="10" name="Chart 3"/>
        <xdr:cNvGraphicFramePr/>
      </xdr:nvGraphicFramePr>
      <xdr:xfrm>
        <a:off x="18387720" y="322200"/>
        <a:ext cx="6800760" cy="333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556200</xdr:colOff>
      <xdr:row>20</xdr:row>
      <xdr:rowOff>137160</xdr:rowOff>
    </xdr:from>
    <xdr:to>
      <xdr:col>23</xdr:col>
      <xdr:colOff>319680</xdr:colOff>
      <xdr:row>40</xdr:row>
      <xdr:rowOff>37800</xdr:rowOff>
    </xdr:to>
    <xdr:graphicFrame>
      <xdr:nvGraphicFramePr>
        <xdr:cNvPr id="11" name="Chart 1"/>
        <xdr:cNvGraphicFramePr/>
      </xdr:nvGraphicFramePr>
      <xdr:xfrm>
        <a:off x="17917560" y="3947040"/>
        <a:ext cx="7351920" cy="371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106560</xdr:colOff>
      <xdr:row>95</xdr:row>
      <xdr:rowOff>19080</xdr:rowOff>
    </xdr:from>
    <xdr:to>
      <xdr:col>18</xdr:col>
      <xdr:colOff>411120</xdr:colOff>
      <xdr:row>110</xdr:row>
      <xdr:rowOff>18720</xdr:rowOff>
    </xdr:to>
    <xdr:graphicFrame>
      <xdr:nvGraphicFramePr>
        <xdr:cNvPr id="12" name="Chart 2"/>
        <xdr:cNvGraphicFramePr/>
      </xdr:nvGraphicFramePr>
      <xdr:xfrm>
        <a:off x="15950520" y="18116640"/>
        <a:ext cx="561636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99000</xdr:colOff>
      <xdr:row>1</xdr:row>
      <xdr:rowOff>57240</xdr:rowOff>
    </xdr:from>
    <xdr:to>
      <xdr:col>23</xdr:col>
      <xdr:colOff>75960</xdr:colOff>
      <xdr:row>18</xdr:row>
      <xdr:rowOff>159840</xdr:rowOff>
    </xdr:to>
    <xdr:graphicFrame>
      <xdr:nvGraphicFramePr>
        <xdr:cNvPr id="13" name="Chart 3"/>
        <xdr:cNvGraphicFramePr/>
      </xdr:nvGraphicFramePr>
      <xdr:xfrm>
        <a:off x="18219240" y="247680"/>
        <a:ext cx="6806520" cy="334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556200</xdr:colOff>
      <xdr:row>20</xdr:row>
      <xdr:rowOff>137160</xdr:rowOff>
    </xdr:from>
    <xdr:to>
      <xdr:col>23</xdr:col>
      <xdr:colOff>319680</xdr:colOff>
      <xdr:row>40</xdr:row>
      <xdr:rowOff>37800</xdr:rowOff>
    </xdr:to>
    <xdr:graphicFrame>
      <xdr:nvGraphicFramePr>
        <xdr:cNvPr id="14" name="Chart 1"/>
        <xdr:cNvGraphicFramePr/>
      </xdr:nvGraphicFramePr>
      <xdr:xfrm>
        <a:off x="17917560" y="3947040"/>
        <a:ext cx="7351920" cy="371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106560</xdr:colOff>
      <xdr:row>95</xdr:row>
      <xdr:rowOff>19080</xdr:rowOff>
    </xdr:from>
    <xdr:to>
      <xdr:col>18</xdr:col>
      <xdr:colOff>411120</xdr:colOff>
      <xdr:row>110</xdr:row>
      <xdr:rowOff>18720</xdr:rowOff>
    </xdr:to>
    <xdr:graphicFrame>
      <xdr:nvGraphicFramePr>
        <xdr:cNvPr id="15" name="Chart 2"/>
        <xdr:cNvGraphicFramePr/>
      </xdr:nvGraphicFramePr>
      <xdr:xfrm>
        <a:off x="15950520" y="18116640"/>
        <a:ext cx="561636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99000</xdr:colOff>
      <xdr:row>1</xdr:row>
      <xdr:rowOff>57240</xdr:rowOff>
    </xdr:from>
    <xdr:to>
      <xdr:col>23</xdr:col>
      <xdr:colOff>75960</xdr:colOff>
      <xdr:row>18</xdr:row>
      <xdr:rowOff>159840</xdr:rowOff>
    </xdr:to>
    <xdr:graphicFrame>
      <xdr:nvGraphicFramePr>
        <xdr:cNvPr id="16" name="Chart 3"/>
        <xdr:cNvGraphicFramePr/>
      </xdr:nvGraphicFramePr>
      <xdr:xfrm>
        <a:off x="18219240" y="247680"/>
        <a:ext cx="6806520" cy="334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556200</xdr:colOff>
      <xdr:row>20</xdr:row>
      <xdr:rowOff>137160</xdr:rowOff>
    </xdr:from>
    <xdr:to>
      <xdr:col>23</xdr:col>
      <xdr:colOff>319680</xdr:colOff>
      <xdr:row>40</xdr:row>
      <xdr:rowOff>37800</xdr:rowOff>
    </xdr:to>
    <xdr:graphicFrame>
      <xdr:nvGraphicFramePr>
        <xdr:cNvPr id="17" name="Chart 1"/>
        <xdr:cNvGraphicFramePr/>
      </xdr:nvGraphicFramePr>
      <xdr:xfrm>
        <a:off x="17917560" y="3947040"/>
        <a:ext cx="7351920" cy="371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106560</xdr:colOff>
      <xdr:row>95</xdr:row>
      <xdr:rowOff>19080</xdr:rowOff>
    </xdr:from>
    <xdr:to>
      <xdr:col>18</xdr:col>
      <xdr:colOff>411120</xdr:colOff>
      <xdr:row>110</xdr:row>
      <xdr:rowOff>18720</xdr:rowOff>
    </xdr:to>
    <xdr:graphicFrame>
      <xdr:nvGraphicFramePr>
        <xdr:cNvPr id="18" name="Chart 2"/>
        <xdr:cNvGraphicFramePr/>
      </xdr:nvGraphicFramePr>
      <xdr:xfrm>
        <a:off x="15950520" y="18116640"/>
        <a:ext cx="561636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99000</xdr:colOff>
      <xdr:row>1</xdr:row>
      <xdr:rowOff>57240</xdr:rowOff>
    </xdr:from>
    <xdr:to>
      <xdr:col>23</xdr:col>
      <xdr:colOff>75960</xdr:colOff>
      <xdr:row>18</xdr:row>
      <xdr:rowOff>159840</xdr:rowOff>
    </xdr:to>
    <xdr:graphicFrame>
      <xdr:nvGraphicFramePr>
        <xdr:cNvPr id="19" name="Chart 3"/>
        <xdr:cNvGraphicFramePr/>
      </xdr:nvGraphicFramePr>
      <xdr:xfrm>
        <a:off x="18219240" y="247680"/>
        <a:ext cx="6806520" cy="334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561960</xdr:colOff>
      <xdr:row>23</xdr:row>
      <xdr:rowOff>47520</xdr:rowOff>
    </xdr:from>
    <xdr:to>
      <xdr:col>27</xdr:col>
      <xdr:colOff>172080</xdr:colOff>
      <xdr:row>36</xdr:row>
      <xdr:rowOff>28440</xdr:rowOff>
    </xdr:to>
    <xdr:pic>
      <xdr:nvPicPr>
        <xdr:cNvPr id="20" name="Picture 1" descr=""/>
        <xdr:cNvPicPr/>
      </xdr:nvPicPr>
      <xdr:blipFill>
        <a:blip r:embed="rId1"/>
        <a:stretch/>
      </xdr:blipFill>
      <xdr:spPr>
        <a:xfrm>
          <a:off x="12268080" y="4429080"/>
          <a:ext cx="10233720" cy="2457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419040</xdr:colOff>
      <xdr:row>0</xdr:row>
      <xdr:rowOff>104760</xdr:rowOff>
    </xdr:from>
    <xdr:to>
      <xdr:col>33</xdr:col>
      <xdr:colOff>313200</xdr:colOff>
      <xdr:row>20</xdr:row>
      <xdr:rowOff>47160</xdr:rowOff>
    </xdr:to>
    <xdr:pic>
      <xdr:nvPicPr>
        <xdr:cNvPr id="21" name="Picture 2" descr=""/>
        <xdr:cNvPicPr/>
      </xdr:nvPicPr>
      <xdr:blipFill>
        <a:blip r:embed="rId2"/>
        <a:stretch/>
      </xdr:blipFill>
      <xdr:spPr>
        <a:xfrm>
          <a:off x="13642920" y="104760"/>
          <a:ext cx="13552920" cy="3752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6.14"/>
    <col collapsed="false" customWidth="true" hidden="false" outlineLevel="0" max="3" min="3" style="1" width="16.43"/>
    <col collapsed="false" customWidth="true" hidden="false" outlineLevel="0" max="5" min="4" style="1" width="22.28"/>
    <col collapsed="false" customWidth="true" hidden="false" outlineLevel="0" max="6" min="6" style="2" width="11.28"/>
    <col collapsed="false" customWidth="true" hidden="false" outlineLevel="0" max="7" min="7" style="0" width="20"/>
    <col collapsed="false" customWidth="true" hidden="false" outlineLevel="0" max="9" min="8" style="3" width="17.57"/>
    <col collapsed="false" customWidth="true" hidden="false" outlineLevel="0" max="10" min="10" style="4" width="17.57"/>
  </cols>
  <sheetData>
    <row r="1" customFormat="false" ht="15.75" hidden="false" customHeight="fals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5" t="s">
        <v>6</v>
      </c>
      <c r="H1" s="8" t="s">
        <v>7</v>
      </c>
      <c r="I1" s="8" t="s">
        <v>8</v>
      </c>
      <c r="J1" s="9" t="s">
        <v>9</v>
      </c>
      <c r="K1" s="0" t="n">
        <v>2.237</v>
      </c>
      <c r="L1" s="10" t="s">
        <v>10</v>
      </c>
      <c r="M1" s="10" t="n">
        <v>0.5</v>
      </c>
    </row>
    <row r="2" customFormat="false" ht="15" hidden="false" customHeight="false" outlineLevel="0" collapsed="false">
      <c r="A2" s="0" t="n">
        <v>0</v>
      </c>
      <c r="B2" s="1" t="n">
        <v>0</v>
      </c>
      <c r="C2" s="1" t="n">
        <f aca="false">B2*$K$1</f>
        <v>0</v>
      </c>
      <c r="D2" s="1" t="n">
        <v>0</v>
      </c>
      <c r="E2" s="1" t="n">
        <f aca="false">D2*$K$1</f>
        <v>0</v>
      </c>
      <c r="F2" s="2" t="n">
        <v>0.8</v>
      </c>
      <c r="G2" s="0" t="n">
        <f aca="false">B2*F2+5</f>
        <v>5</v>
      </c>
      <c r="H2" s="3" t="n">
        <v>0</v>
      </c>
      <c r="I2" s="3" t="n">
        <v>0</v>
      </c>
      <c r="J2" s="4" t="n">
        <v>5</v>
      </c>
      <c r="L2" s="10" t="s">
        <v>11</v>
      </c>
      <c r="M2" s="10" t="n">
        <v>0.2</v>
      </c>
    </row>
    <row r="3" customFormat="false" ht="15" hidden="false" customHeight="false" outlineLevel="0" collapsed="false">
      <c r="A3" s="0" t="n">
        <f aca="false">A2+1</f>
        <v>1</v>
      </c>
      <c r="B3" s="1" t="n">
        <v>0</v>
      </c>
      <c r="C3" s="1" t="n">
        <f aca="false">B3*$K$1</f>
        <v>0</v>
      </c>
      <c r="D3" s="1" t="n">
        <v>0</v>
      </c>
      <c r="E3" s="1" t="n">
        <f aca="false">D3*$K$1</f>
        <v>0</v>
      </c>
      <c r="F3" s="2" t="n">
        <v>0.8</v>
      </c>
      <c r="G3" s="0" t="n">
        <f aca="false">B3*F3+5</f>
        <v>5</v>
      </c>
      <c r="H3" s="3" t="n">
        <v>0</v>
      </c>
      <c r="I3" s="3" t="n">
        <v>0</v>
      </c>
      <c r="J3" s="4" t="n">
        <v>5</v>
      </c>
      <c r="K3" s="0" t="n">
        <f aca="false">20/K1</f>
        <v>8.94054537326777</v>
      </c>
      <c r="L3" s="0" t="s">
        <v>12</v>
      </c>
      <c r="M3" s="0" t="n">
        <v>0.4</v>
      </c>
    </row>
    <row r="4" customFormat="false" ht="15" hidden="false" customHeight="false" outlineLevel="0" collapsed="false">
      <c r="A4" s="0" t="n">
        <f aca="false">A3+1</f>
        <v>2</v>
      </c>
      <c r="B4" s="1" t="n">
        <v>0</v>
      </c>
      <c r="C4" s="1" t="n">
        <f aca="false">B4*$K$1</f>
        <v>0</v>
      </c>
      <c r="D4" s="1" t="n">
        <v>0</v>
      </c>
      <c r="E4" s="1" t="n">
        <f aca="false">D4*$K$1</f>
        <v>0</v>
      </c>
      <c r="F4" s="2" t="n">
        <v>0.8</v>
      </c>
      <c r="G4" s="0" t="n">
        <f aca="false">B4*F4+5</f>
        <v>5</v>
      </c>
      <c r="H4" s="3" t="n">
        <v>0</v>
      </c>
      <c r="I4" s="3" t="n">
        <v>0</v>
      </c>
      <c r="J4" s="4" t="n">
        <v>5</v>
      </c>
    </row>
    <row r="5" customFormat="false" ht="15" hidden="false" customHeight="false" outlineLevel="0" collapsed="false">
      <c r="A5" s="0" t="n">
        <f aca="false">A4+1</f>
        <v>3</v>
      </c>
      <c r="B5" s="1" t="n">
        <v>0</v>
      </c>
      <c r="C5" s="1" t="n">
        <f aca="false">B5*$K$1</f>
        <v>0</v>
      </c>
      <c r="D5" s="1" t="n">
        <v>0</v>
      </c>
      <c r="E5" s="1" t="n">
        <f aca="false">D5*$K$1</f>
        <v>0</v>
      </c>
      <c r="F5" s="2" t="n">
        <v>0.8</v>
      </c>
      <c r="G5" s="0" t="n">
        <f aca="false">B5*F5+5</f>
        <v>5</v>
      </c>
      <c r="H5" s="3" t="n">
        <v>0</v>
      </c>
      <c r="I5" s="3" t="n">
        <v>0</v>
      </c>
      <c r="J5" s="4" t="n">
        <v>5</v>
      </c>
    </row>
    <row r="6" customFormat="false" ht="15" hidden="false" customHeight="false" outlineLevel="0" collapsed="false">
      <c r="A6" s="0" t="n">
        <f aca="false">A5+1</f>
        <v>4</v>
      </c>
      <c r="B6" s="1" t="n">
        <v>0</v>
      </c>
      <c r="C6" s="1" t="n">
        <f aca="false">B6*$K$1</f>
        <v>0</v>
      </c>
      <c r="D6" s="1" t="n">
        <v>0</v>
      </c>
      <c r="E6" s="1" t="n">
        <f aca="false">D6*$K$1</f>
        <v>0</v>
      </c>
      <c r="F6" s="2" t="n">
        <v>0.8</v>
      </c>
      <c r="G6" s="0" t="n">
        <f aca="false">B6*F6+5</f>
        <v>5</v>
      </c>
      <c r="H6" s="3" t="n">
        <v>0</v>
      </c>
      <c r="I6" s="3" t="n">
        <v>0</v>
      </c>
      <c r="J6" s="4" t="n">
        <v>5</v>
      </c>
    </row>
    <row r="7" customFormat="false" ht="15" hidden="false" customHeight="false" outlineLevel="0" collapsed="false">
      <c r="A7" s="0" t="n">
        <f aca="false">A6+1</f>
        <v>5</v>
      </c>
      <c r="B7" s="1" t="n">
        <v>0</v>
      </c>
      <c r="C7" s="1" t="n">
        <f aca="false">B7*$K$1</f>
        <v>0</v>
      </c>
      <c r="D7" s="1" t="n">
        <v>0</v>
      </c>
      <c r="E7" s="1" t="n">
        <f aca="false">D7*$K$1</f>
        <v>0</v>
      </c>
      <c r="F7" s="2" t="n">
        <v>0.8</v>
      </c>
      <c r="G7" s="0" t="n">
        <f aca="false">B7*F7+5</f>
        <v>5</v>
      </c>
      <c r="H7" s="3" t="n">
        <v>0</v>
      </c>
      <c r="I7" s="3" t="n">
        <v>0</v>
      </c>
      <c r="J7" s="4" t="n">
        <v>5</v>
      </c>
    </row>
    <row r="8" customFormat="false" ht="15" hidden="false" customHeight="false" outlineLevel="0" collapsed="false">
      <c r="A8" s="0" t="n">
        <f aca="false">A7+1</f>
        <v>6</v>
      </c>
      <c r="B8" s="1" t="n">
        <v>0</v>
      </c>
      <c r="C8" s="1" t="n">
        <f aca="false">B8*$K$1</f>
        <v>0</v>
      </c>
      <c r="D8" s="1" t="n">
        <v>0</v>
      </c>
      <c r="E8" s="1" t="n">
        <f aca="false">D8*$K$1</f>
        <v>0</v>
      </c>
      <c r="F8" s="2" t="n">
        <v>0.8</v>
      </c>
      <c r="G8" s="0" t="n">
        <f aca="false">B8*F8+5</f>
        <v>5</v>
      </c>
      <c r="H8" s="3" t="n">
        <v>0</v>
      </c>
      <c r="I8" s="3" t="n">
        <v>0</v>
      </c>
      <c r="J8" s="4" t="n">
        <v>5</v>
      </c>
    </row>
    <row r="9" customFormat="false" ht="15" hidden="false" customHeight="false" outlineLevel="0" collapsed="false">
      <c r="A9" s="0" t="n">
        <f aca="false">A8+1</f>
        <v>7</v>
      </c>
      <c r="B9" s="1" t="n">
        <v>0</v>
      </c>
      <c r="C9" s="1" t="n">
        <f aca="false">B9*$K$1</f>
        <v>0</v>
      </c>
      <c r="D9" s="1" t="n">
        <v>0</v>
      </c>
      <c r="E9" s="1" t="n">
        <f aca="false">D9*$K$1</f>
        <v>0</v>
      </c>
      <c r="F9" s="2" t="n">
        <v>0.8</v>
      </c>
      <c r="G9" s="0" t="n">
        <f aca="false">B9*F9+5</f>
        <v>5</v>
      </c>
      <c r="H9" s="3" t="n">
        <v>0</v>
      </c>
      <c r="I9" s="3" t="n">
        <v>0</v>
      </c>
      <c r="J9" s="4" t="n">
        <v>5</v>
      </c>
    </row>
    <row r="10" customFormat="false" ht="15" hidden="false" customHeight="false" outlineLevel="0" collapsed="false">
      <c r="A10" s="0" t="n">
        <f aca="false">A9+1</f>
        <v>8</v>
      </c>
      <c r="B10" s="1" t="n">
        <v>0</v>
      </c>
      <c r="C10" s="1" t="n">
        <f aca="false">B10*$K$1</f>
        <v>0</v>
      </c>
      <c r="D10" s="1" t="n">
        <v>0</v>
      </c>
      <c r="E10" s="1" t="n">
        <f aca="false">D10*$K$1</f>
        <v>0</v>
      </c>
      <c r="F10" s="2" t="n">
        <v>0.8</v>
      </c>
      <c r="G10" s="0" t="n">
        <f aca="false">B10*F10+5</f>
        <v>5</v>
      </c>
      <c r="H10" s="3" t="n">
        <v>0</v>
      </c>
      <c r="I10" s="3" t="n">
        <v>0</v>
      </c>
      <c r="J10" s="4" t="n">
        <v>5</v>
      </c>
    </row>
    <row r="11" customFormat="false" ht="15" hidden="false" customHeight="false" outlineLevel="0" collapsed="false">
      <c r="A11" s="0" t="n">
        <f aca="false">A10+1</f>
        <v>9</v>
      </c>
      <c r="B11" s="1" t="n">
        <v>0</v>
      </c>
      <c r="C11" s="1" t="n">
        <f aca="false">B11*$K$1</f>
        <v>0</v>
      </c>
      <c r="D11" s="1" t="n">
        <v>0</v>
      </c>
      <c r="E11" s="1" t="n">
        <f aca="false">D11*$K$1</f>
        <v>0</v>
      </c>
      <c r="F11" s="2" t="n">
        <v>0.8</v>
      </c>
      <c r="G11" s="0" t="n">
        <f aca="false">B11*F11+5</f>
        <v>5</v>
      </c>
      <c r="H11" s="3" t="n">
        <v>0</v>
      </c>
      <c r="I11" s="3" t="n">
        <v>0</v>
      </c>
      <c r="J11" s="4" t="n">
        <v>5</v>
      </c>
    </row>
    <row r="12" customFormat="false" ht="15" hidden="false" customHeight="false" outlineLevel="0" collapsed="false">
      <c r="A12" s="0" t="n">
        <f aca="false">A11+1</f>
        <v>10</v>
      </c>
      <c r="B12" s="1" t="n">
        <v>0</v>
      </c>
      <c r="C12" s="1" t="n">
        <f aca="false">B12*$K$1</f>
        <v>0</v>
      </c>
      <c r="D12" s="1" t="n">
        <v>0</v>
      </c>
      <c r="E12" s="1" t="n">
        <f aca="false">D12*$K$1</f>
        <v>0</v>
      </c>
      <c r="F12" s="2" t="n">
        <v>0.8</v>
      </c>
      <c r="G12" s="0" t="n">
        <f aca="false">B12*F12+5</f>
        <v>5</v>
      </c>
      <c r="H12" s="3" t="n">
        <v>0</v>
      </c>
      <c r="I12" s="3" t="n">
        <v>0</v>
      </c>
      <c r="J12" s="4" t="n">
        <v>5</v>
      </c>
    </row>
    <row r="13" customFormat="false" ht="15" hidden="false" customHeight="false" outlineLevel="0" collapsed="false">
      <c r="A13" s="0" t="n">
        <f aca="false">A12+1</f>
        <v>11</v>
      </c>
      <c r="B13" s="1" t="n">
        <f aca="false">B12+H13*1</f>
        <v>0.89408</v>
      </c>
      <c r="C13" s="1" t="n">
        <f aca="false">B13*$K$1</f>
        <v>2.00005696</v>
      </c>
      <c r="D13" s="1" t="n">
        <v>0.122786986666667</v>
      </c>
      <c r="E13" s="1" t="n">
        <f aca="false">D13*$K$1</f>
        <v>0.274674489173334</v>
      </c>
      <c r="F13" s="2" t="n">
        <v>0.8</v>
      </c>
      <c r="G13" s="0" t="n">
        <f aca="false">B13*F13+5</f>
        <v>5.715264</v>
      </c>
      <c r="H13" s="3" t="n">
        <v>0.89408</v>
      </c>
      <c r="I13" s="3" t="n">
        <v>0</v>
      </c>
      <c r="J13" s="4" t="n">
        <v>5.4112768</v>
      </c>
    </row>
    <row r="14" customFormat="false" ht="15" hidden="false" customHeight="false" outlineLevel="0" collapsed="false">
      <c r="A14" s="0" t="n">
        <f aca="false">A13+1</f>
        <v>12</v>
      </c>
      <c r="B14" s="1" t="n">
        <f aca="false">B13+H14*1</f>
        <v>1.78816</v>
      </c>
      <c r="C14" s="1" t="n">
        <f aca="false">B14*$K$1</f>
        <v>4.00011392</v>
      </c>
      <c r="D14" s="1" t="n">
        <v>0.508943714986667</v>
      </c>
      <c r="E14" s="1" t="n">
        <f aca="false">D14*$K$1</f>
        <v>1.13850709042517</v>
      </c>
      <c r="F14" s="2" t="n">
        <v>0.8</v>
      </c>
      <c r="G14" s="0" t="n">
        <f aca="false">B14*F14+5</f>
        <v>6.430528</v>
      </c>
      <c r="H14" s="3" t="n">
        <v>0.89408</v>
      </c>
      <c r="I14" s="3" t="n">
        <v>0</v>
      </c>
      <c r="J14" s="4" t="n">
        <v>6.46079161457778</v>
      </c>
    </row>
    <row r="15" customFormat="false" ht="15" hidden="false" customHeight="false" outlineLevel="0" collapsed="false">
      <c r="A15" s="0" t="n">
        <f aca="false">A14+1</f>
        <v>13</v>
      </c>
      <c r="B15" s="1" t="n">
        <f aca="false">B14+H15*1</f>
        <v>2.68224</v>
      </c>
      <c r="C15" s="1" t="n">
        <f aca="false">B15*$K$1</f>
        <v>6.00017088</v>
      </c>
      <c r="D15" s="1" t="n">
        <v>1.15333590764506</v>
      </c>
      <c r="E15" s="1" t="n">
        <f aca="false">D15*$K$1</f>
        <v>2.580012425402</v>
      </c>
      <c r="F15" s="2" t="n">
        <v>0.8</v>
      </c>
      <c r="G15" s="0" t="n">
        <f aca="false">B15*F15+5</f>
        <v>7.145792</v>
      </c>
      <c r="H15" s="3" t="n">
        <v>0.89408</v>
      </c>
      <c r="I15" s="3" t="n">
        <v>0</v>
      </c>
      <c r="J15" s="4" t="n">
        <v>7.88429048742495</v>
      </c>
    </row>
    <row r="16" customFormat="false" ht="15" hidden="false" customHeight="false" outlineLevel="0" collapsed="false">
      <c r="A16" s="0" t="n">
        <f aca="false">A15+1</f>
        <v>14</v>
      </c>
      <c r="B16" s="1" t="n">
        <f aca="false">B15+H16*1</f>
        <v>3.57632</v>
      </c>
      <c r="C16" s="1" t="n">
        <f aca="false">B16*$K$1</f>
        <v>8.00022784</v>
      </c>
      <c r="D16" s="1" t="n">
        <v>2.01097524096121</v>
      </c>
      <c r="E16" s="1" t="n">
        <f aca="false">D16*$K$1</f>
        <v>4.49855161403023</v>
      </c>
      <c r="F16" s="2" t="n">
        <v>0.8</v>
      </c>
      <c r="G16" s="0" t="n">
        <f aca="false">B16*F16+5</f>
        <v>7.861056</v>
      </c>
      <c r="H16" s="3" t="n">
        <v>0.89408</v>
      </c>
      <c r="I16" s="3" t="n">
        <v>0</v>
      </c>
      <c r="J16" s="4" t="n">
        <v>9.44449466511637</v>
      </c>
    </row>
    <row r="17" customFormat="false" ht="15" hidden="false" customHeight="false" outlineLevel="0" collapsed="false">
      <c r="A17" s="0" t="n">
        <f aca="false">A16+1</f>
        <v>15</v>
      </c>
      <c r="B17" s="1" t="n">
        <f aca="false">B16+H17*1</f>
        <v>4.4704</v>
      </c>
      <c r="C17" s="1" t="n">
        <f aca="false">B17*$K$1</f>
        <v>10.0002848</v>
      </c>
      <c r="D17" s="1" t="n">
        <v>3.01740044514468</v>
      </c>
      <c r="E17" s="1" t="n">
        <f aca="false">D17*$K$1</f>
        <v>6.74992479578865</v>
      </c>
      <c r="F17" s="2" t="n">
        <v>0.8</v>
      </c>
      <c r="G17" s="0" t="n">
        <f aca="false">B17*F17+5</f>
        <v>8.57632</v>
      </c>
      <c r="H17" s="3" t="n">
        <v>0.89408</v>
      </c>
      <c r="I17" s="3" t="n">
        <v>0</v>
      </c>
      <c r="J17" s="4" t="n">
        <v>10.9603802896437</v>
      </c>
    </row>
    <row r="18" customFormat="false" ht="15" hidden="false" customHeight="false" outlineLevel="0" collapsed="false">
      <c r="A18" s="0" t="n">
        <f aca="false">A17+1</f>
        <v>16</v>
      </c>
      <c r="B18" s="1" t="n">
        <f aca="false">B17+H18*1</f>
        <v>5.36448</v>
      </c>
      <c r="C18" s="1" t="n">
        <f aca="false">B18*$K$1</f>
        <v>12.00034176</v>
      </c>
      <c r="D18" s="1" t="n">
        <v>4.10547015126303</v>
      </c>
      <c r="E18" s="1" t="n">
        <f aca="false">D18*$K$1</f>
        <v>9.1839367283754</v>
      </c>
      <c r="F18" s="2" t="n">
        <v>0.8</v>
      </c>
      <c r="G18" s="0" t="n">
        <f aca="false">B18*F18+5</f>
        <v>9.291584</v>
      </c>
      <c r="H18" s="3" t="n">
        <v>0.89408</v>
      </c>
      <c r="I18" s="3" t="n">
        <v>0</v>
      </c>
      <c r="J18" s="4" t="n">
        <v>12.3177515113932</v>
      </c>
    </row>
    <row r="19" customFormat="false" ht="15" hidden="false" customHeight="false" outlineLevel="0" collapsed="false">
      <c r="A19" s="0" t="n">
        <f aca="false">A18+1</f>
        <v>17</v>
      </c>
      <c r="B19" s="1" t="n">
        <f aca="false">B18+H19*1</f>
        <v>6.25856</v>
      </c>
      <c r="C19" s="1" t="n">
        <f aca="false">B19*$K$1</f>
        <v>14.00039872</v>
      </c>
      <c r="D19" s="1" t="n">
        <v>5.21704902862715</v>
      </c>
      <c r="E19" s="1" t="n">
        <f aca="false">D19*$K$1</f>
        <v>11.6705386770389</v>
      </c>
      <c r="F19" s="2" t="n">
        <v>0.8</v>
      </c>
      <c r="G19" s="0" t="n">
        <f aca="false">B19*F19+5</f>
        <v>10.006848</v>
      </c>
      <c r="H19" s="3" t="n">
        <v>0.89408</v>
      </c>
      <c r="I19" s="3" t="n">
        <v>0</v>
      </c>
      <c r="J19" s="4" t="n">
        <v>13.4655749404037</v>
      </c>
    </row>
    <row r="20" customFormat="false" ht="15" hidden="false" customHeight="false" outlineLevel="0" collapsed="false">
      <c r="A20" s="0" t="n">
        <f aca="false">A19+1</f>
        <v>18</v>
      </c>
      <c r="B20" s="1" t="n">
        <f aca="false">B19+H20*1</f>
        <v>7.15264</v>
      </c>
      <c r="C20" s="1" t="n">
        <f aca="false">B20*$K$1</f>
        <v>16.00045568</v>
      </c>
      <c r="D20" s="1" t="n">
        <v>6.30939112227251</v>
      </c>
      <c r="E20" s="1" t="n">
        <f aca="false">D20*$K$1</f>
        <v>14.1141079405236</v>
      </c>
      <c r="F20" s="2" t="n">
        <v>0.8</v>
      </c>
      <c r="G20" s="0" t="n">
        <f aca="false">B20*F20+5</f>
        <v>10.722112</v>
      </c>
      <c r="H20" s="3" t="n">
        <v>0.89408</v>
      </c>
      <c r="I20" s="3" t="n">
        <v>0</v>
      </c>
      <c r="J20" s="4" t="n">
        <v>14.4033607761912</v>
      </c>
    </row>
    <row r="21" customFormat="false" ht="15" hidden="false" customHeight="false" outlineLevel="0" collapsed="false">
      <c r="A21" s="0" t="n">
        <f aca="false">A20+1</f>
        <v>19</v>
      </c>
      <c r="B21" s="1" t="n">
        <f aca="false">B20+H21*1</f>
        <v>8.04672</v>
      </c>
      <c r="C21" s="1" t="n">
        <f aca="false">B21*$K$1</f>
        <v>18.00051264</v>
      </c>
      <c r="D21" s="1" t="n">
        <v>7.35694212803009</v>
      </c>
      <c r="E21" s="1" t="n">
        <f aca="false">D21*$K$1</f>
        <v>16.4574795404033</v>
      </c>
      <c r="F21" s="2" t="n">
        <v>0.8</v>
      </c>
      <c r="G21" s="0" t="n">
        <f aca="false">B21*F21+5</f>
        <v>11.437376</v>
      </c>
      <c r="H21" s="3" t="n">
        <v>0.89408</v>
      </c>
      <c r="I21" s="3" t="n">
        <v>0</v>
      </c>
      <c r="J21" s="4" t="n">
        <v>15.1645734585851</v>
      </c>
    </row>
    <row r="22" customFormat="false" ht="15" hidden="false" customHeight="false" outlineLevel="0" collapsed="false">
      <c r="A22" s="0" t="n">
        <f aca="false">A21+1</f>
        <v>20</v>
      </c>
      <c r="B22" s="1" t="n">
        <f aca="false">B21+H22*1</f>
        <v>8.9408</v>
      </c>
      <c r="C22" s="1" t="n">
        <f aca="false">B22*$K$1</f>
        <v>20.0005696</v>
      </c>
      <c r="D22" s="1" t="n">
        <v>8.34978137173477</v>
      </c>
      <c r="E22" s="1" t="n">
        <f aca="false">D22*$K$1</f>
        <v>18.6784609285707</v>
      </c>
      <c r="F22" s="2" t="n">
        <v>0.8</v>
      </c>
      <c r="G22" s="0" t="n">
        <f aca="false">B22*F22+5</f>
        <v>12.15264</v>
      </c>
      <c r="H22" s="3" t="n">
        <v>0.89408</v>
      </c>
      <c r="I22" s="3" t="n">
        <v>0</v>
      </c>
      <c r="J22" s="4" t="n">
        <v>15.8000502572705</v>
      </c>
    </row>
    <row r="23" customFormat="false" ht="15" hidden="false" customHeight="false" outlineLevel="0" collapsed="false">
      <c r="A23" s="0" t="n">
        <f aca="false">A22+1</f>
        <v>21</v>
      </c>
      <c r="B23" s="1" t="n">
        <f aca="false">B22+H23*1</f>
        <v>8.9408</v>
      </c>
      <c r="C23" s="1" t="n">
        <f aca="false">B23*$K$1</f>
        <v>20.0005696</v>
      </c>
      <c r="D23" s="1" t="n">
        <v>9.16727532504085</v>
      </c>
      <c r="E23" s="1" t="n">
        <f aca="false">D23*$K$1</f>
        <v>20.5071949021164</v>
      </c>
      <c r="F23" s="2" t="n">
        <v>0.8</v>
      </c>
      <c r="G23" s="0" t="n">
        <f aca="false">B23*F23+5</f>
        <v>12.15264</v>
      </c>
      <c r="H23" s="3" t="n">
        <v>0</v>
      </c>
      <c r="I23" s="3" t="n">
        <v>0</v>
      </c>
      <c r="J23" s="4" t="n">
        <v>15.9528161467308</v>
      </c>
    </row>
    <row r="24" customFormat="false" ht="15" hidden="false" customHeight="false" outlineLevel="0" collapsed="false">
      <c r="A24" s="0" t="n">
        <f aca="false">A23+1</f>
        <v>22</v>
      </c>
      <c r="B24" s="1" t="n">
        <f aca="false">B23+H24*1</f>
        <v>8.9408</v>
      </c>
      <c r="C24" s="1" t="n">
        <f aca="false">B24*$K$1</f>
        <v>20.0005696</v>
      </c>
      <c r="D24" s="1" t="n">
        <v>9.6787405756723</v>
      </c>
      <c r="E24" s="1" t="n">
        <f aca="false">D24*$K$1</f>
        <v>21.6513426677789</v>
      </c>
      <c r="F24" s="2" t="n">
        <v>0.8</v>
      </c>
      <c r="G24" s="0" t="n">
        <f aca="false">B24*F24+5</f>
        <v>12.15264</v>
      </c>
      <c r="H24" s="3" t="n">
        <v>0</v>
      </c>
      <c r="I24" s="3" t="n">
        <v>0</v>
      </c>
      <c r="J24" s="4" t="n">
        <v>15.4437971228151</v>
      </c>
    </row>
    <row r="25" customFormat="false" ht="15" hidden="false" customHeight="false" outlineLevel="0" collapsed="false">
      <c r="A25" s="0" t="n">
        <f aca="false">A24+1</f>
        <v>23</v>
      </c>
      <c r="B25" s="1" t="n">
        <f aca="false">B24+H25*1</f>
        <v>8.9408</v>
      </c>
      <c r="C25" s="1" t="n">
        <f aca="false">B25*$K$1</f>
        <v>20.0005696</v>
      </c>
      <c r="D25" s="1" t="n">
        <v>9.90280951325402</v>
      </c>
      <c r="E25" s="1" t="n">
        <f aca="false">D25*$K$1</f>
        <v>22.1525848811492</v>
      </c>
      <c r="F25" s="2" t="n">
        <v>0.8</v>
      </c>
      <c r="G25" s="0" t="n">
        <f aca="false">B25*F25+5</f>
        <v>12.15264</v>
      </c>
      <c r="H25" s="3" t="n">
        <v>0</v>
      </c>
      <c r="I25" s="3" t="n">
        <v>0</v>
      </c>
      <c r="J25" s="4" t="n">
        <v>14.5731306488044</v>
      </c>
    </row>
    <row r="26" customFormat="false" ht="15" hidden="false" customHeight="false" outlineLevel="0" collapsed="false">
      <c r="A26" s="0" t="n">
        <f aca="false">A25+1</f>
        <v>24</v>
      </c>
      <c r="B26" s="1" t="n">
        <f aca="false">B25+H26*1</f>
        <v>8.9408</v>
      </c>
      <c r="C26" s="1" t="n">
        <f aca="false">B26*$K$1</f>
        <v>20.0005696</v>
      </c>
      <c r="D26" s="1" t="n">
        <v>9.89820885284303</v>
      </c>
      <c r="E26" s="1" t="n">
        <f aca="false">D26*$K$1</f>
        <v>22.1422932038099</v>
      </c>
      <c r="F26" s="2" t="n">
        <v>0.8</v>
      </c>
      <c r="G26" s="0" t="n">
        <f aca="false">B26*F26+5</f>
        <v>12.15264</v>
      </c>
      <c r="H26" s="3" t="n">
        <v>0</v>
      </c>
      <c r="I26" s="3" t="n">
        <v>0</v>
      </c>
      <c r="J26" s="4" t="n">
        <v>13.6001605787265</v>
      </c>
    </row>
    <row r="27" customFormat="false" ht="15" hidden="false" customHeight="false" outlineLevel="0" collapsed="false">
      <c r="A27" s="0" t="n">
        <f aca="false">A26+1</f>
        <v>25</v>
      </c>
      <c r="B27" s="1" t="n">
        <f aca="false">B26+H27*1</f>
        <v>8.9408</v>
      </c>
      <c r="C27" s="1" t="n">
        <f aca="false">B27*$K$1</f>
        <v>20.0005696</v>
      </c>
      <c r="D27" s="1" t="n">
        <v>9.74108894145238</v>
      </c>
      <c r="E27" s="1" t="n">
        <f aca="false">D27*$K$1</f>
        <v>21.790815962029</v>
      </c>
      <c r="F27" s="2" t="n">
        <v>0.8</v>
      </c>
      <c r="G27" s="0" t="n">
        <f aca="false">B27*F27+5</f>
        <v>12.15264</v>
      </c>
      <c r="H27" s="3" t="n">
        <v>0</v>
      </c>
      <c r="I27" s="3" t="n">
        <v>0</v>
      </c>
      <c r="J27" s="4" t="n">
        <v>12.7151644386481</v>
      </c>
    </row>
    <row r="28" customFormat="false" ht="15" hidden="false" customHeight="false" outlineLevel="0" collapsed="false">
      <c r="A28" s="0" t="n">
        <f aca="false">A27+1</f>
        <v>26</v>
      </c>
      <c r="B28" s="1" t="n">
        <f aca="false">B27+H28*1</f>
        <v>8.9408</v>
      </c>
      <c r="C28" s="1" t="n">
        <f aca="false">B28*$K$1</f>
        <v>20.0005696</v>
      </c>
      <c r="D28" s="1" t="n">
        <v>9.50702608670445</v>
      </c>
      <c r="E28" s="1" t="n">
        <f aca="false">D28*$K$1</f>
        <v>21.2672173559579</v>
      </c>
      <c r="F28" s="2" t="n">
        <v>0.8</v>
      </c>
      <c r="G28" s="0" t="n">
        <f aca="false">B28*F28+5</f>
        <v>12.15264</v>
      </c>
      <c r="H28" s="3" t="n">
        <v>0</v>
      </c>
      <c r="I28" s="3" t="n">
        <v>0</v>
      </c>
      <c r="J28" s="4" t="n">
        <v>12.0315164270797</v>
      </c>
    </row>
    <row r="29" customFormat="false" ht="15" hidden="false" customHeight="false" outlineLevel="0" collapsed="false">
      <c r="A29" s="0" t="n">
        <f aca="false">A28+1</f>
        <v>27</v>
      </c>
      <c r="B29" s="1" t="n">
        <f aca="false">B28+H29*1</f>
        <v>8.9408</v>
      </c>
      <c r="C29" s="1" t="n">
        <f aca="false">B29*$K$1</f>
        <v>20.0005696</v>
      </c>
      <c r="D29" s="1" t="n">
        <v>9.25905247410583</v>
      </c>
      <c r="E29" s="1" t="n">
        <f aca="false">D29*$K$1</f>
        <v>20.7125003845747</v>
      </c>
      <c r="F29" s="2" t="n">
        <v>0.8</v>
      </c>
      <c r="G29" s="0" t="n">
        <f aca="false">B29*F29+5</f>
        <v>12.15264</v>
      </c>
      <c r="H29" s="3" t="n">
        <v>0</v>
      </c>
      <c r="I29" s="3" t="n">
        <v>0</v>
      </c>
      <c r="J29" s="4" t="n">
        <v>11.5928077746139</v>
      </c>
    </row>
    <row r="30" customFormat="false" ht="15" hidden="false" customHeight="false" outlineLevel="0" collapsed="false">
      <c r="A30" s="0" t="n">
        <f aca="false">A29+1</f>
        <v>28</v>
      </c>
      <c r="B30" s="1" t="n">
        <f aca="false">B29+H30*1</f>
        <v>8.9408</v>
      </c>
      <c r="C30" s="1" t="n">
        <f aca="false">B30*$K$1</f>
        <v>20.0005696</v>
      </c>
      <c r="D30" s="1" t="n">
        <v>9.04165176147248</v>
      </c>
      <c r="E30" s="1" t="n">
        <f aca="false">D30*$K$1</f>
        <v>20.2261749904139</v>
      </c>
      <c r="F30" s="2" t="n">
        <v>0.8</v>
      </c>
      <c r="G30" s="0" t="n">
        <f aca="false">B30*F30+5</f>
        <v>12.15264</v>
      </c>
      <c r="H30" s="3" t="n">
        <v>0</v>
      </c>
      <c r="I30" s="3" t="n">
        <v>0</v>
      </c>
      <c r="J30" s="4" t="n">
        <v>11.3888462713568</v>
      </c>
    </row>
    <row r="31" customFormat="false" ht="15" hidden="false" customHeight="false" outlineLevel="0" collapsed="false">
      <c r="A31" s="0" t="n">
        <f aca="false">A30+1</f>
        <v>29</v>
      </c>
      <c r="B31" s="1" t="n">
        <f aca="false">B30+H31*1</f>
        <v>8.9408</v>
      </c>
      <c r="C31" s="1" t="n">
        <f aca="false">B31*$K$1</f>
        <v>20.0005696</v>
      </c>
      <c r="D31" s="1" t="n">
        <v>8.87971904489287</v>
      </c>
      <c r="E31" s="1" t="n">
        <f aca="false">D31*$K$1</f>
        <v>19.8639315034254</v>
      </c>
      <c r="F31" s="2" t="n">
        <v>0.8</v>
      </c>
      <c r="G31" s="0" t="n">
        <f aca="false">B31*F31+5</f>
        <v>12.15264</v>
      </c>
      <c r="H31" s="3" t="n">
        <v>0</v>
      </c>
      <c r="I31" s="3" t="n">
        <v>0</v>
      </c>
      <c r="J31" s="4" t="n">
        <v>11.3750326637377</v>
      </c>
    </row>
    <row r="32" customFormat="false" ht="15" hidden="false" customHeight="false" outlineLevel="0" collapsed="false">
      <c r="A32" s="0" t="n">
        <f aca="false">A31+1</f>
        <v>30</v>
      </c>
      <c r="B32" s="1" t="n">
        <f aca="false">B31+H32*1</f>
        <v>8.9408</v>
      </c>
      <c r="C32" s="1" t="n">
        <f aca="false">B32*$K$1</f>
        <v>20.0005696</v>
      </c>
      <c r="D32" s="1" t="n">
        <v>8.78101538673587</v>
      </c>
      <c r="E32" s="1" t="n">
        <f aca="false">D32*$K$1</f>
        <v>19.6431314201281</v>
      </c>
      <c r="F32" s="2" t="n">
        <v>0.8</v>
      </c>
      <c r="G32" s="0" t="n">
        <f aca="false">B32*F32+5</f>
        <v>12.15264</v>
      </c>
      <c r="H32" s="3" t="n">
        <v>0</v>
      </c>
      <c r="I32" s="3" t="n">
        <v>0</v>
      </c>
      <c r="J32" s="4" t="n">
        <v>11.4908828572654</v>
      </c>
    </row>
    <row r="33" customFormat="false" ht="15" hidden="false" customHeight="false" outlineLevel="0" collapsed="false">
      <c r="A33" s="0" t="n">
        <f aca="false">A32+1</f>
        <v>31</v>
      </c>
      <c r="B33" s="1" t="n">
        <f aca="false">B32+H33*1</f>
        <v>8.9408</v>
      </c>
      <c r="C33" s="1" t="n">
        <f aca="false">B33*$K$1</f>
        <v>20.0005696</v>
      </c>
      <c r="D33" s="1" t="n">
        <v>8.74056957051402</v>
      </c>
      <c r="E33" s="1" t="n">
        <f aca="false">D33*$K$1</f>
        <v>19.5526541292399</v>
      </c>
      <c r="F33" s="2" t="n">
        <v>0.8</v>
      </c>
      <c r="G33" s="0" t="n">
        <f aca="false">B33*F33+5</f>
        <v>12.15264</v>
      </c>
      <c r="H33" s="3" t="n">
        <v>0</v>
      </c>
      <c r="I33" s="3" t="n">
        <v>0</v>
      </c>
      <c r="J33" s="4" t="n">
        <v>11.6749976028253</v>
      </c>
    </row>
    <row r="34" customFormat="false" ht="15" hidden="false" customHeight="false" outlineLevel="0" collapsed="false">
      <c r="A34" s="0" t="n">
        <f aca="false">A33+1</f>
        <v>32</v>
      </c>
      <c r="B34" s="1" t="n">
        <f aca="false">B33+H34*1</f>
        <v>8.9408</v>
      </c>
      <c r="C34" s="1" t="n">
        <f aca="false">B34*$K$1</f>
        <v>20.0005696</v>
      </c>
      <c r="D34" s="1" t="n">
        <v>8.74567673700797</v>
      </c>
      <c r="E34" s="1" t="n">
        <f aca="false">D34*$K$1</f>
        <v>19.5640788606868</v>
      </c>
      <c r="F34" s="2" t="n">
        <v>0.8</v>
      </c>
      <c r="G34" s="0" t="n">
        <f aca="false">B34*F34+5</f>
        <v>12.15264</v>
      </c>
      <c r="H34" s="3" t="n">
        <v>0</v>
      </c>
      <c r="I34" s="3" t="n">
        <v>0</v>
      </c>
      <c r="J34" s="4" t="n">
        <v>11.875242751306</v>
      </c>
    </row>
    <row r="35" customFormat="false" ht="15" hidden="false" customHeight="false" outlineLevel="0" collapsed="false">
      <c r="A35" s="0" t="n">
        <f aca="false">A34+1</f>
        <v>33</v>
      </c>
      <c r="B35" s="1" t="n">
        <f aca="false">B34+H35*1</f>
        <v>8.9408</v>
      </c>
      <c r="C35" s="1" t="n">
        <f aca="false">B35*$K$1</f>
        <v>20.0005696</v>
      </c>
      <c r="D35" s="1" t="n">
        <v>8.78049283846396</v>
      </c>
      <c r="E35" s="1" t="n">
        <f aca="false">D35*$K$1</f>
        <v>19.6419624796439</v>
      </c>
      <c r="F35" s="2" t="n">
        <v>0.8</v>
      </c>
      <c r="G35" s="0" t="n">
        <f aca="false">B35*F35+5</f>
        <v>12.15264</v>
      </c>
      <c r="H35" s="3" t="n">
        <v>0</v>
      </c>
      <c r="I35" s="3" t="n">
        <v>0</v>
      </c>
      <c r="J35" s="4" t="n">
        <v>12.0540816348331</v>
      </c>
    </row>
    <row r="36" customFormat="false" ht="15" hidden="false" customHeight="false" outlineLevel="0" collapsed="false">
      <c r="A36" s="0" t="n">
        <f aca="false">A35+1</f>
        <v>34</v>
      </c>
      <c r="B36" s="1" t="n">
        <f aca="false">B35+H36*1</f>
        <v>8.9408</v>
      </c>
      <c r="C36" s="1" t="n">
        <f aca="false">B36*$K$1</f>
        <v>20.0005696</v>
      </c>
      <c r="D36" s="1" t="n">
        <v>8.82961900445138</v>
      </c>
      <c r="E36" s="1" t="n">
        <f aca="false">D36*$K$1</f>
        <v>19.7518577129577</v>
      </c>
      <c r="F36" s="2" t="n">
        <v>0.8</v>
      </c>
      <c r="G36" s="0" t="n">
        <f aca="false">B36*F36+5</f>
        <v>12.15264</v>
      </c>
      <c r="H36" s="3" t="n">
        <v>0</v>
      </c>
      <c r="I36" s="3" t="n">
        <v>0</v>
      </c>
      <c r="J36" s="4" t="n">
        <v>12.1898003746329</v>
      </c>
    </row>
    <row r="37" customFormat="false" ht="15" hidden="false" customHeight="false" outlineLevel="0" collapsed="false">
      <c r="A37" s="0" t="n">
        <f aca="false">A36+1</f>
        <v>35</v>
      </c>
      <c r="B37" s="1" t="n">
        <f aca="false">B36+H37*1</f>
        <v>8.9408</v>
      </c>
      <c r="C37" s="1" t="n">
        <f aca="false">B37*$K$1</f>
        <v>20.0005696</v>
      </c>
      <c r="D37" s="1" t="n">
        <v>8.88043223942811</v>
      </c>
      <c r="E37" s="1" t="n">
        <f aca="false">D37*$K$1</f>
        <v>19.8655269196007</v>
      </c>
      <c r="F37" s="2" t="n">
        <v>0.8</v>
      </c>
      <c r="G37" s="0" t="n">
        <f aca="false">B37*F37+5</f>
        <v>12.15264</v>
      </c>
      <c r="H37" s="3" t="n">
        <v>0</v>
      </c>
      <c r="I37" s="3" t="n">
        <v>0</v>
      </c>
      <c r="J37" s="4" t="n">
        <v>12.2747833986332</v>
      </c>
    </row>
    <row r="38" customFormat="false" ht="15" hidden="false" customHeight="false" outlineLevel="0" collapsed="false">
      <c r="A38" s="0" t="n">
        <f aca="false">A37+1</f>
        <v>36</v>
      </c>
      <c r="B38" s="1" t="n">
        <f aca="false">B37+H38*1</f>
        <v>9.83488</v>
      </c>
      <c r="C38" s="1" t="n">
        <f aca="false">B38*$K$1</f>
        <v>22.00062656</v>
      </c>
      <c r="D38" s="1" t="n">
        <v>9.04698788728229</v>
      </c>
      <c r="E38" s="1" t="n">
        <f aca="false">D38*$K$1</f>
        <v>20.2381119038505</v>
      </c>
      <c r="F38" s="2" t="n">
        <v>0.8</v>
      </c>
      <c r="G38" s="0" t="n">
        <f aca="false">B38*F38+5</f>
        <v>12.867904</v>
      </c>
      <c r="H38" s="3" t="n">
        <v>0.89408</v>
      </c>
      <c r="I38" s="3" t="n">
        <v>0</v>
      </c>
      <c r="J38" s="4" t="n">
        <v>12.7233661941387</v>
      </c>
    </row>
    <row r="39" customFormat="false" ht="15" hidden="false" customHeight="false" outlineLevel="0" collapsed="false">
      <c r="A39" s="0" t="n">
        <f aca="false">A38+1</f>
        <v>37</v>
      </c>
      <c r="B39" s="1" t="n">
        <f aca="false">B38+H39*1</f>
        <v>10.72896</v>
      </c>
      <c r="C39" s="1" t="n">
        <f aca="false">B39*$K$1</f>
        <v>24.00068352</v>
      </c>
      <c r="D39" s="1" t="n">
        <v>9.4651499556236</v>
      </c>
      <c r="E39" s="1" t="n">
        <f aca="false">D39*$K$1</f>
        <v>21.17354045073</v>
      </c>
      <c r="F39" s="2" t="n">
        <v>0.8</v>
      </c>
      <c r="G39" s="0" t="n">
        <f aca="false">B39*F39+5</f>
        <v>13.583168</v>
      </c>
      <c r="H39" s="3" t="n">
        <v>0.89408</v>
      </c>
      <c r="I39" s="3" t="n">
        <v>0</v>
      </c>
      <c r="J39" s="4" t="n">
        <v>13.7722306800694</v>
      </c>
    </row>
    <row r="40" customFormat="false" ht="15" hidden="false" customHeight="false" outlineLevel="0" collapsed="false">
      <c r="A40" s="0" t="n">
        <f aca="false">A39+1</f>
        <v>38</v>
      </c>
      <c r="B40" s="1" t="n">
        <f aca="false">B39+H40*1</f>
        <v>11.62304</v>
      </c>
      <c r="C40" s="1" t="n">
        <f aca="false">B40*$K$1</f>
        <v>26.00074048</v>
      </c>
      <c r="D40" s="1" t="n">
        <v>10.128514145456</v>
      </c>
      <c r="E40" s="1" t="n">
        <f aca="false">D40*$K$1</f>
        <v>22.6574861433851</v>
      </c>
      <c r="F40" s="2" t="n">
        <v>0.8</v>
      </c>
      <c r="G40" s="0" t="n">
        <f aca="false">B40*F40+5</f>
        <v>14.298432</v>
      </c>
      <c r="H40" s="3" t="n">
        <v>0.89408</v>
      </c>
      <c r="I40" s="3" t="n">
        <v>0</v>
      </c>
      <c r="J40" s="4" t="n">
        <v>15.169744683002</v>
      </c>
    </row>
    <row r="41" customFormat="false" ht="15" hidden="false" customHeight="false" outlineLevel="0" collapsed="false">
      <c r="A41" s="0" t="n">
        <f aca="false">A40+1</f>
        <v>39</v>
      </c>
      <c r="B41" s="1" t="n">
        <f aca="false">B40+H41*1</f>
        <v>12.51712</v>
      </c>
      <c r="C41" s="1" t="n">
        <f aca="false">B41*$K$1</f>
        <v>28.00079744</v>
      </c>
      <c r="D41" s="1" t="n">
        <v>10.9933378563948</v>
      </c>
      <c r="E41" s="1" t="n">
        <f aca="false">D41*$K$1</f>
        <v>24.5920967847552</v>
      </c>
      <c r="F41" s="2" t="n">
        <v>0.8</v>
      </c>
      <c r="G41" s="0" t="n">
        <f aca="false">B41*F41+5</f>
        <v>15.013696</v>
      </c>
      <c r="H41" s="3" t="n">
        <v>0.89408</v>
      </c>
      <c r="I41" s="3" t="n">
        <v>0</v>
      </c>
      <c r="J41" s="4" t="n">
        <v>16.6911648950801</v>
      </c>
    </row>
    <row r="42" customFormat="false" ht="15" hidden="false" customHeight="false" outlineLevel="0" collapsed="false">
      <c r="A42" s="0" t="n">
        <f aca="false">A41+1</f>
        <v>40</v>
      </c>
      <c r="B42" s="1" t="n">
        <f aca="false">B41+H42*1</f>
        <v>13.4112</v>
      </c>
      <c r="C42" s="1" t="n">
        <f aca="false">B42*$K$1</f>
        <v>30.0008544</v>
      </c>
      <c r="D42" s="1" t="n">
        <v>11.9978912270973</v>
      </c>
      <c r="E42" s="1" t="n">
        <f aca="false">D42*$K$1</f>
        <v>26.8392826750167</v>
      </c>
      <c r="F42" s="2" t="n">
        <v>0.8</v>
      </c>
      <c r="G42" s="0" t="n">
        <f aca="false">B42*F42+5</f>
        <v>15.72896</v>
      </c>
      <c r="H42" s="3" t="n">
        <v>0.89408</v>
      </c>
      <c r="I42" s="3" t="n">
        <v>0</v>
      </c>
      <c r="J42" s="4" t="n">
        <v>18.1659282247666</v>
      </c>
    </row>
    <row r="43" customFormat="false" ht="15" hidden="false" customHeight="false" outlineLevel="0" collapsed="false">
      <c r="A43" s="0" t="n">
        <f aca="false">A42+1</f>
        <v>41</v>
      </c>
      <c r="B43" s="1" t="n">
        <f aca="false">B42+H43*1</f>
        <v>14.30528</v>
      </c>
      <c r="C43" s="1" t="n">
        <f aca="false">B43*$K$1</f>
        <v>32.00091136</v>
      </c>
      <c r="D43" s="1" t="n">
        <v>13.078320583013</v>
      </c>
      <c r="E43" s="1" t="n">
        <f aca="false">D43*$K$1</f>
        <v>29.2562031442001</v>
      </c>
      <c r="F43" s="2" t="n">
        <v>0.8</v>
      </c>
      <c r="G43" s="0" t="n">
        <f aca="false">B43*F43+5</f>
        <v>16.444224</v>
      </c>
      <c r="H43" s="3" t="n">
        <v>0.89408</v>
      </c>
      <c r="I43" s="3" t="n">
        <v>0</v>
      </c>
      <c r="J43" s="4" t="n">
        <v>19.4872260717896</v>
      </c>
    </row>
    <row r="44" customFormat="false" ht="15" hidden="false" customHeight="false" outlineLevel="0" collapsed="false">
      <c r="A44" s="0" t="n">
        <f aca="false">A43+1</f>
        <v>42</v>
      </c>
      <c r="B44" s="1" t="n">
        <f aca="false">B43+H44*1</f>
        <v>15.19936</v>
      </c>
      <c r="C44" s="1" t="n">
        <f aca="false">B44*$K$1</f>
        <v>34.00096832</v>
      </c>
      <c r="D44" s="1" t="n">
        <v>14.179622169533</v>
      </c>
      <c r="E44" s="1" t="n">
        <f aca="false">D44*$K$1</f>
        <v>31.7198147932453</v>
      </c>
      <c r="F44" s="2" t="n">
        <v>0.8</v>
      </c>
      <c r="G44" s="0" t="n">
        <f aca="false">B44*F44+5</f>
        <v>17.159488</v>
      </c>
      <c r="H44" s="3" t="n">
        <v>0.89408</v>
      </c>
      <c r="I44" s="3" t="n">
        <v>0</v>
      </c>
      <c r="J44" s="4" t="n">
        <v>20.6081638297109</v>
      </c>
    </row>
    <row r="45" customFormat="false" ht="15" hidden="false" customHeight="false" outlineLevel="0" collapsed="false">
      <c r="A45" s="0" t="n">
        <f aca="false">A44+1</f>
        <v>43</v>
      </c>
      <c r="B45" s="1" t="n">
        <f aca="false">B44+H45*1</f>
        <v>16.09344</v>
      </c>
      <c r="C45" s="1" t="n">
        <f aca="false">B45*$K$1</f>
        <v>36.00102528</v>
      </c>
      <c r="D45" s="1" t="n">
        <v>15.2615731380225</v>
      </c>
      <c r="E45" s="1" t="n">
        <f aca="false">D45*$K$1</f>
        <v>34.1401391097563</v>
      </c>
      <c r="F45" s="2" t="n">
        <v>0.8</v>
      </c>
      <c r="G45" s="0" t="n">
        <f aca="false">B45*F45+5</f>
        <v>17.874752</v>
      </c>
      <c r="H45" s="3" t="n">
        <v>0.89408</v>
      </c>
      <c r="I45" s="3" t="n">
        <v>0</v>
      </c>
      <c r="J45" s="4" t="n">
        <v>21.5295474033064</v>
      </c>
    </row>
    <row r="46" customFormat="false" ht="15" hidden="false" customHeight="false" outlineLevel="0" collapsed="false">
      <c r="A46" s="0" t="n">
        <f aca="false">A45+1</f>
        <v>44</v>
      </c>
      <c r="B46" s="1" t="n">
        <f aca="false">B45+H46*1</f>
        <v>16.98752</v>
      </c>
      <c r="C46" s="1" t="n">
        <f aca="false">B46*$K$1</f>
        <v>38.00108224</v>
      </c>
      <c r="D46" s="1" t="n">
        <v>16.3003285409193</v>
      </c>
      <c r="E46" s="1" t="n">
        <f aca="false">D46*$K$1</f>
        <v>36.4638349460365</v>
      </c>
      <c r="F46" s="2" t="n">
        <v>0.8</v>
      </c>
      <c r="G46" s="0" t="n">
        <f aca="false">B46*F46+5</f>
        <v>18.590016</v>
      </c>
      <c r="H46" s="3" t="n">
        <v>0.89408</v>
      </c>
      <c r="I46" s="3" t="n">
        <v>0</v>
      </c>
      <c r="J46" s="4" t="n">
        <v>22.2840229788554</v>
      </c>
    </row>
    <row r="47" customFormat="false" ht="15" hidden="false" customHeight="false" outlineLevel="0" collapsed="false">
      <c r="A47" s="0" t="n">
        <f aca="false">A46+1</f>
        <v>45</v>
      </c>
      <c r="B47" s="1" t="n">
        <f aca="false">B46+H47*1</f>
        <v>17.8816</v>
      </c>
      <c r="C47" s="1" t="n">
        <f aca="false">B47*$K$1</f>
        <v>40.0011392</v>
      </c>
      <c r="D47" s="1" t="n">
        <v>17.286856651033</v>
      </c>
      <c r="E47" s="1" t="n">
        <f aca="false">D47*$K$1</f>
        <v>38.6706983283608</v>
      </c>
      <c r="F47" s="2" t="n">
        <v>0.8</v>
      </c>
      <c r="G47" s="0" t="n">
        <f aca="false">B47*F47+5</f>
        <v>19.30528</v>
      </c>
      <c r="H47" s="3" t="n">
        <v>0.89408</v>
      </c>
      <c r="I47" s="3" t="n">
        <v>0</v>
      </c>
      <c r="J47" s="4" t="n">
        <v>22.9203243982252</v>
      </c>
    </row>
    <row r="48" customFormat="false" ht="15" hidden="false" customHeight="false" outlineLevel="0" collapsed="false">
      <c r="A48" s="0" t="n">
        <f aca="false">A47+1</f>
        <v>46</v>
      </c>
      <c r="B48" s="1" t="n">
        <f aca="false">B47+H48*1</f>
        <v>17.8816</v>
      </c>
      <c r="C48" s="1" t="n">
        <f aca="false">B48*$K$1</f>
        <v>40.0011392</v>
      </c>
      <c r="D48" s="1" t="n">
        <v>18.1007200085341</v>
      </c>
      <c r="E48" s="1" t="n">
        <f aca="false">D48*$K$1</f>
        <v>40.4913106590908</v>
      </c>
      <c r="F48" s="2" t="n">
        <v>0.8</v>
      </c>
      <c r="G48" s="0" t="n">
        <f aca="false">B48*F48+5</f>
        <v>19.30528</v>
      </c>
      <c r="H48" s="3" t="n">
        <v>0</v>
      </c>
      <c r="I48" s="3" t="n">
        <v>0</v>
      </c>
      <c r="J48" s="4" t="n">
        <v>23.0788502738928</v>
      </c>
    </row>
    <row r="49" customFormat="false" ht="15" hidden="false" customHeight="false" outlineLevel="0" collapsed="false">
      <c r="A49" s="0" t="n">
        <f aca="false">A48+1</f>
        <v>47</v>
      </c>
      <c r="B49" s="1" t="n">
        <f aca="false">B48+H49*1</f>
        <v>17.8816</v>
      </c>
      <c r="C49" s="1" t="n">
        <f aca="false">B49*$K$1</f>
        <v>40.0011392</v>
      </c>
      <c r="D49" s="1" t="n">
        <v>18.6109353418773</v>
      </c>
      <c r="E49" s="1" t="n">
        <f aca="false">D49*$K$1</f>
        <v>41.6326623597795</v>
      </c>
      <c r="F49" s="2" t="n">
        <v>0.8</v>
      </c>
      <c r="G49" s="0" t="n">
        <f aca="false">B49*F49+5</f>
        <v>19.30528</v>
      </c>
      <c r="H49" s="3" t="n">
        <v>0</v>
      </c>
      <c r="I49" s="3" t="n">
        <v>0</v>
      </c>
      <c r="J49" s="4" t="n">
        <v>22.5779723100517</v>
      </c>
    </row>
    <row r="50" customFormat="false" ht="15" hidden="false" customHeight="false" outlineLevel="0" collapsed="false">
      <c r="A50" s="0" t="n">
        <f aca="false">A49+1</f>
        <v>48</v>
      </c>
      <c r="B50" s="1" t="n">
        <f aca="false">B49+H50*1</f>
        <v>17.8816</v>
      </c>
      <c r="C50" s="1" t="n">
        <f aca="false">B50*$K$1</f>
        <v>40.0011392</v>
      </c>
      <c r="D50" s="1" t="n">
        <v>18.8355510436204</v>
      </c>
      <c r="E50" s="1" t="n">
        <f aca="false">D50*$K$1</f>
        <v>42.1351276845788</v>
      </c>
      <c r="F50" s="2" t="n">
        <v>0.8</v>
      </c>
      <c r="G50" s="0" t="n">
        <f aca="false">B50*F50+5</f>
        <v>19.30528</v>
      </c>
      <c r="H50" s="3" t="n">
        <v>0</v>
      </c>
      <c r="I50" s="3" t="n">
        <v>0</v>
      </c>
      <c r="J50" s="4" t="n">
        <v>21.7157329386246</v>
      </c>
    </row>
    <row r="51" customFormat="false" ht="15" hidden="false" customHeight="false" outlineLevel="0" collapsed="false">
      <c r="A51" s="0" t="n">
        <f aca="false">A50+1</f>
        <v>49</v>
      </c>
      <c r="B51" s="1" t="n">
        <f aca="false">B50+H51*1</f>
        <v>17.8816</v>
      </c>
      <c r="C51" s="1" t="n">
        <f aca="false">B51*$K$1</f>
        <v>40.0011392</v>
      </c>
      <c r="D51" s="1" t="n">
        <v>18.8326133549262</v>
      </c>
      <c r="E51" s="1" t="n">
        <f aca="false">D51*$K$1</f>
        <v>42.1285560749699</v>
      </c>
      <c r="F51" s="2" t="n">
        <v>0.8</v>
      </c>
      <c r="G51" s="0" t="n">
        <f aca="false">B51*F51+5</f>
        <v>19.30528</v>
      </c>
      <c r="H51" s="3" t="n">
        <v>0</v>
      </c>
      <c r="I51" s="3" t="n">
        <v>0</v>
      </c>
      <c r="J51" s="4" t="n">
        <v>20.7500258560049</v>
      </c>
    </row>
    <row r="52" customFormat="false" ht="15" hidden="false" customHeight="false" outlineLevel="0" collapsed="false">
      <c r="A52" s="0" t="n">
        <f aca="false">A51+1</f>
        <v>50</v>
      </c>
      <c r="B52" s="1" t="n">
        <f aca="false">B51+H52*1</f>
        <v>17.8816</v>
      </c>
      <c r="C52" s="1" t="n">
        <f aca="false">B52*$K$1</f>
        <v>40.0011392</v>
      </c>
      <c r="D52" s="1" t="n">
        <v>18.6776369686888</v>
      </c>
      <c r="E52" s="1" t="n">
        <f aca="false">D52*$K$1</f>
        <v>41.7818738989569</v>
      </c>
      <c r="F52" s="2" t="n">
        <v>0.8</v>
      </c>
      <c r="G52" s="0" t="n">
        <f aca="false">B52*F52+5</f>
        <v>19.30528</v>
      </c>
      <c r="H52" s="3" t="n">
        <v>0</v>
      </c>
      <c r="I52" s="3" t="n">
        <v>0</v>
      </c>
      <c r="J52" s="4" t="n">
        <v>19.8703439535764</v>
      </c>
    </row>
    <row r="53" customFormat="false" ht="15" hidden="false" customHeight="false" outlineLevel="0" collapsed="false">
      <c r="A53" s="0" t="n">
        <f aca="false">A52+1</f>
        <v>51</v>
      </c>
      <c r="B53" s="1" t="n">
        <f aca="false">B52+H53*1</f>
        <v>17.8816</v>
      </c>
      <c r="C53" s="1" t="n">
        <f aca="false">B53*$K$1</f>
        <v>40.0011392</v>
      </c>
      <c r="D53" s="1" t="n">
        <v>18.445694847306</v>
      </c>
      <c r="E53" s="1" t="n">
        <f aca="false">D53*$K$1</f>
        <v>41.2630193734235</v>
      </c>
      <c r="F53" s="2" t="n">
        <v>0.8</v>
      </c>
      <c r="G53" s="0" t="n">
        <f aca="false">B53*F53+5</f>
        <v>19.30528</v>
      </c>
      <c r="H53" s="3" t="n">
        <v>0</v>
      </c>
      <c r="I53" s="3" t="n">
        <v>0</v>
      </c>
      <c r="J53" s="4" t="n">
        <v>19.1898490824399</v>
      </c>
    </row>
    <row r="54" customFormat="false" ht="15" hidden="false" customHeight="false" outlineLevel="0" collapsed="false">
      <c r="A54" s="0" t="n">
        <f aca="false">A53+1</f>
        <v>52</v>
      </c>
      <c r="B54" s="1" t="n">
        <f aca="false">B53+H54*1</f>
        <v>17.8816</v>
      </c>
      <c r="C54" s="1" t="n">
        <f aca="false">B54*$K$1</f>
        <v>40.0011392</v>
      </c>
      <c r="D54" s="1" t="n">
        <v>18.1994854900748</v>
      </c>
      <c r="E54" s="1" t="n">
        <f aca="false">D54*$K$1</f>
        <v>40.7122490412973</v>
      </c>
      <c r="F54" s="2" t="n">
        <v>0.8</v>
      </c>
      <c r="G54" s="0" t="n">
        <f aca="false">B54*F54+5</f>
        <v>19.30528</v>
      </c>
      <c r="H54" s="3" t="n">
        <v>0</v>
      </c>
      <c r="I54" s="3" t="n">
        <v>0</v>
      </c>
      <c r="J54" s="4" t="n">
        <v>18.7523378497657</v>
      </c>
    </row>
    <row r="55" customFormat="false" ht="15" hidden="false" customHeight="false" outlineLevel="0" collapsed="false">
      <c r="A55" s="0" t="n">
        <f aca="false">A54+1</f>
        <v>53</v>
      </c>
      <c r="B55" s="1" t="n">
        <f aca="false">B54+H55*1</f>
        <v>17.8816</v>
      </c>
      <c r="C55" s="1" t="n">
        <f aca="false">B55*$K$1</f>
        <v>40.0011392</v>
      </c>
      <c r="D55" s="1" t="n">
        <v>17.9833262642474</v>
      </c>
      <c r="E55" s="1" t="n">
        <f aca="false">D55*$K$1</f>
        <v>40.2287008531214</v>
      </c>
      <c r="F55" s="2" t="n">
        <v>0.8</v>
      </c>
      <c r="G55" s="0" t="n">
        <f aca="false">B55*F55+5</f>
        <v>19.30528</v>
      </c>
      <c r="H55" s="3" t="n">
        <v>0</v>
      </c>
      <c r="I55" s="3" t="n">
        <v>0</v>
      </c>
      <c r="J55" s="4" t="n">
        <v>18.5480703473266</v>
      </c>
    </row>
    <row r="56" customFormat="false" ht="15" hidden="false" customHeight="false" outlineLevel="0" collapsed="false">
      <c r="A56" s="0" t="n">
        <f aca="false">A55+1</f>
        <v>54</v>
      </c>
      <c r="B56" s="1" t="n">
        <f aca="false">B55+H56*1</f>
        <v>17.8816</v>
      </c>
      <c r="C56" s="1" t="n">
        <f aca="false">B56*$K$1</f>
        <v>40.0011392</v>
      </c>
      <c r="D56" s="1" t="n">
        <v>17.822084921934</v>
      </c>
      <c r="E56" s="1" t="n">
        <f aca="false">D56*$K$1</f>
        <v>39.8680039703664</v>
      </c>
      <c r="F56" s="2" t="n">
        <v>0.8</v>
      </c>
      <c r="G56" s="0" t="n">
        <f aca="false">B56*F56+5</f>
        <v>19.30528</v>
      </c>
      <c r="H56" s="3" t="n">
        <v>0</v>
      </c>
      <c r="I56" s="3" t="n">
        <v>0</v>
      </c>
      <c r="J56" s="4" t="n">
        <v>18.5329923475887</v>
      </c>
    </row>
    <row r="57" customFormat="false" ht="15" hidden="false" customHeight="false" outlineLevel="0" collapsed="false">
      <c r="A57" s="0" t="n">
        <f aca="false">A56+1</f>
        <v>55</v>
      </c>
      <c r="B57" s="1" t="n">
        <f aca="false">B56+H57*1</f>
        <v>17.8816</v>
      </c>
      <c r="C57" s="1" t="n">
        <f aca="false">B57*$K$1</f>
        <v>40.0011392</v>
      </c>
      <c r="D57" s="1" t="n">
        <v>17.7235927059567</v>
      </c>
      <c r="E57" s="1" t="n">
        <f aca="false">D57*$K$1</f>
        <v>39.6476768832251</v>
      </c>
      <c r="F57" s="2" t="n">
        <v>0.8</v>
      </c>
      <c r="G57" s="0" t="n">
        <f aca="false">B57*F57+5</f>
        <v>19.30528</v>
      </c>
      <c r="H57" s="3" t="n">
        <v>0</v>
      </c>
      <c r="I57" s="3" t="n">
        <v>0</v>
      </c>
      <c r="J57" s="4" t="n">
        <v>18.6471392393967</v>
      </c>
    </row>
    <row r="58" customFormat="false" ht="15" hidden="false" customHeight="false" outlineLevel="0" collapsed="false">
      <c r="A58" s="0" t="n">
        <f aca="false">A57+1</f>
        <v>56</v>
      </c>
      <c r="B58" s="1" t="n">
        <f aca="false">B57+H58*1</f>
        <v>17.8816</v>
      </c>
      <c r="C58" s="1" t="n">
        <f aca="false">B58*$K$1</f>
        <v>40.0011392</v>
      </c>
      <c r="D58" s="1" t="n">
        <v>17.6830026520678</v>
      </c>
      <c r="E58" s="1" t="n">
        <f aca="false">D58*$K$1</f>
        <v>39.5568769326757</v>
      </c>
      <c r="F58" s="2" t="n">
        <v>0.8</v>
      </c>
      <c r="G58" s="0" t="n">
        <f aca="false">B58*F58+5</f>
        <v>19.30528</v>
      </c>
      <c r="H58" s="3" t="n">
        <v>0</v>
      </c>
      <c r="I58" s="3" t="n">
        <v>0</v>
      </c>
      <c r="J58" s="4" t="n">
        <v>18.82953055859</v>
      </c>
    </row>
    <row r="59" customFormat="false" ht="15" hidden="false" customHeight="false" outlineLevel="0" collapsed="false">
      <c r="A59" s="0" t="n">
        <f aca="false">A58+1</f>
        <v>57</v>
      </c>
      <c r="B59" s="1" t="n">
        <f aca="false">B58+H59*1</f>
        <v>17.8816</v>
      </c>
      <c r="C59" s="1" t="n">
        <f aca="false">B59*$K$1</f>
        <v>40.0011392</v>
      </c>
      <c r="D59" s="1" t="n">
        <v>17.6877504025954</v>
      </c>
      <c r="E59" s="1" t="n">
        <f aca="false">D59*$K$1</f>
        <v>39.5674976506059</v>
      </c>
      <c r="F59" s="2" t="n">
        <v>0.8</v>
      </c>
      <c r="G59" s="0" t="n">
        <f aca="false">B59*F59+5</f>
        <v>19.30528</v>
      </c>
      <c r="H59" s="3" t="n">
        <v>0</v>
      </c>
      <c r="I59" s="3" t="n">
        <v>0</v>
      </c>
      <c r="J59" s="4" t="n">
        <v>19.0283160728718</v>
      </c>
    </row>
    <row r="60" customFormat="false" ht="15" hidden="false" customHeight="false" outlineLevel="0" collapsed="false">
      <c r="A60" s="0" t="n">
        <f aca="false">A59+1</f>
        <v>58</v>
      </c>
      <c r="B60" s="1" t="n">
        <f aca="false">B59+H60*1</f>
        <v>17.8816</v>
      </c>
      <c r="C60" s="1" t="n">
        <f aca="false">B60*$K$1</f>
        <v>40.0011392</v>
      </c>
      <c r="D60" s="1" t="n">
        <v>17.7221206968425</v>
      </c>
      <c r="E60" s="1" t="n">
        <f aca="false">D60*$K$1</f>
        <v>39.6443839988367</v>
      </c>
      <c r="F60" s="2" t="n">
        <v>0.8</v>
      </c>
      <c r="G60" s="0" t="n">
        <f aca="false">B60*F60+5</f>
        <v>19.30528</v>
      </c>
      <c r="H60" s="3" t="n">
        <v>0</v>
      </c>
      <c r="I60" s="3" t="n">
        <v>0</v>
      </c>
      <c r="J60" s="4" t="n">
        <v>19.2061069604973</v>
      </c>
    </row>
    <row r="61" customFormat="false" ht="15" hidden="false" customHeight="false" outlineLevel="0" collapsed="false">
      <c r="A61" s="0" t="n">
        <f aca="false">A60+1</f>
        <v>59</v>
      </c>
      <c r="B61" s="1" t="n">
        <f aca="false">B60+H61*1</f>
        <v>17.8816</v>
      </c>
      <c r="C61" s="1" t="n">
        <f aca="false">B61*$K$1</f>
        <v>40.0011392</v>
      </c>
      <c r="D61" s="1" t="n">
        <v>17.770814879717</v>
      </c>
      <c r="E61" s="1" t="n">
        <f aca="false">D61*$K$1</f>
        <v>39.7533128859269</v>
      </c>
      <c r="F61" s="2" t="n">
        <v>0.8</v>
      </c>
      <c r="G61" s="0" t="n">
        <f aca="false">B61*F61+5</f>
        <v>19.30528</v>
      </c>
      <c r="H61" s="3" t="n">
        <v>0</v>
      </c>
      <c r="I61" s="3" t="n">
        <v>0</v>
      </c>
      <c r="J61" s="4" t="n">
        <v>19.3412222044259</v>
      </c>
    </row>
    <row r="62" customFormat="false" ht="15" hidden="false" customHeight="false" outlineLevel="0" collapsed="false">
      <c r="A62" s="0" t="n">
        <f aca="false">A61+1</f>
        <v>60</v>
      </c>
      <c r="B62" s="1" t="n">
        <f aca="false">B61+H62*1</f>
        <v>17.8816</v>
      </c>
      <c r="C62" s="1" t="n">
        <f aca="false">B62*$K$1</f>
        <v>40.0011392</v>
      </c>
      <c r="D62" s="1" t="n">
        <v>17.8212748980803</v>
      </c>
      <c r="E62" s="1" t="n">
        <f aca="false">D62*$K$1</f>
        <v>39.8661919470056</v>
      </c>
      <c r="F62" s="2" t="n">
        <v>0.8</v>
      </c>
      <c r="G62" s="0" t="n">
        <f aca="false">B62*F62+5</f>
        <v>19.30528</v>
      </c>
      <c r="H62" s="3" t="n">
        <v>0</v>
      </c>
      <c r="I62" s="3" t="n">
        <v>0</v>
      </c>
      <c r="J62" s="4" t="n">
        <v>19.4259967421335</v>
      </c>
    </row>
    <row r="63" customFormat="false" ht="15" hidden="false" customHeight="false" outlineLevel="0" collapsed="false">
      <c r="A63" s="0" t="n">
        <f aca="false">A62+1</f>
        <v>61</v>
      </c>
      <c r="B63" s="1" t="n">
        <f aca="false">B57-H63*1</f>
        <v>16.98752</v>
      </c>
      <c r="C63" s="1" t="n">
        <f aca="false">B63*$K$1</f>
        <v>38.00108224</v>
      </c>
      <c r="D63" s="1" t="n">
        <v>17.7420129756744</v>
      </c>
      <c r="E63" s="1" t="n">
        <f aca="false">D63*$K$1</f>
        <v>39.6888830265836</v>
      </c>
      <c r="F63" s="2" t="n">
        <v>0.8</v>
      </c>
      <c r="G63" s="0" t="n">
        <f aca="false">B63*F63+5</f>
        <v>18.590016</v>
      </c>
      <c r="H63" s="3" t="n">
        <v>0.89408</v>
      </c>
      <c r="I63" s="3" t="n">
        <v>0</v>
      </c>
      <c r="J63" s="4" t="n">
        <v>19.0521157386717</v>
      </c>
    </row>
    <row r="64" customFormat="false" ht="15" hidden="false" customHeight="false" outlineLevel="0" collapsed="false">
      <c r="A64" s="0" t="n">
        <f aca="false">A63+1</f>
        <v>62</v>
      </c>
      <c r="B64" s="1" t="n">
        <f aca="false">B63-H64*1</f>
        <v>16.09344</v>
      </c>
      <c r="C64" s="1" t="n">
        <f aca="false">B64*$K$1</f>
        <v>36.00102528</v>
      </c>
      <c r="D64" s="1" t="n">
        <v>17.3877306520378</v>
      </c>
      <c r="E64" s="1" t="n">
        <f aca="false">D64*$K$1</f>
        <v>38.8963534686086</v>
      </c>
      <c r="F64" s="2" t="n">
        <v>0.8</v>
      </c>
      <c r="G64" s="0" t="n">
        <f aca="false">B64*F64+5</f>
        <v>17.874752</v>
      </c>
      <c r="H64" s="3" t="n">
        <v>0.89408</v>
      </c>
      <c r="I64" s="3" t="n">
        <v>0</v>
      </c>
      <c r="J64" s="4" t="n">
        <v>18.0022258672851</v>
      </c>
    </row>
    <row r="65" customFormat="false" ht="15" hidden="false" customHeight="false" outlineLevel="0" collapsed="false">
      <c r="A65" s="0" t="n">
        <f aca="false">A64+1</f>
        <v>63</v>
      </c>
      <c r="B65" s="1" t="n">
        <f aca="false">B64-H65*1</f>
        <v>15.19936</v>
      </c>
      <c r="C65" s="1" t="n">
        <f aca="false">B65*$K$1</f>
        <v>34.00096832</v>
      </c>
      <c r="D65" s="1" t="n">
        <v>16.7622760955571</v>
      </c>
      <c r="E65" s="1" t="n">
        <f aca="false">D65*$K$1</f>
        <v>37.4972116257612</v>
      </c>
      <c r="F65" s="2" t="n">
        <v>0.8</v>
      </c>
      <c r="G65" s="0" t="n">
        <f aca="false">B65*F65+5</f>
        <v>17.159488</v>
      </c>
      <c r="H65" s="3" t="n">
        <v>0.89408</v>
      </c>
      <c r="I65" s="3" t="n">
        <v>0</v>
      </c>
      <c r="J65" s="4" t="n">
        <v>16.553097414837</v>
      </c>
    </row>
    <row r="66" customFormat="false" ht="15" hidden="false" customHeight="false" outlineLevel="0" collapsed="false">
      <c r="A66" s="0" t="n">
        <f aca="false">A65+1</f>
        <v>64</v>
      </c>
      <c r="B66" s="1" t="n">
        <f aca="false">B65-H66*1</f>
        <v>14.30528</v>
      </c>
      <c r="C66" s="1" t="n">
        <f aca="false">B66*$K$1</f>
        <v>32.00091136</v>
      </c>
      <c r="D66" s="1" t="n">
        <v>15.9118570334395</v>
      </c>
      <c r="E66" s="1" t="n">
        <f aca="false">D66*$K$1</f>
        <v>35.5948241838042</v>
      </c>
      <c r="F66" s="2" t="n">
        <v>0.8</v>
      </c>
      <c r="G66" s="0" t="n">
        <f aca="false">B66*F66+5</f>
        <v>16.444224</v>
      </c>
      <c r="H66" s="3" t="n">
        <v>0.89408</v>
      </c>
      <c r="I66" s="3" t="n">
        <v>0</v>
      </c>
      <c r="J66" s="4" t="n">
        <v>14.9544610297426</v>
      </c>
    </row>
    <row r="67" customFormat="false" ht="15" hidden="false" customHeight="false" outlineLevel="0" collapsed="false">
      <c r="A67" s="0" t="n">
        <f aca="false">A66+1</f>
        <v>65</v>
      </c>
      <c r="B67" s="1" t="n">
        <f aca="false">B66-H67*1</f>
        <v>13.4112</v>
      </c>
      <c r="C67" s="1" t="n">
        <f aca="false">B67*$K$1</f>
        <v>30.0008544</v>
      </c>
      <c r="D67" s="1" t="n">
        <v>14.9036372006491</v>
      </c>
      <c r="E67" s="1" t="n">
        <f aca="false">D67*$K$1</f>
        <v>33.339436417852</v>
      </c>
      <c r="F67" s="2" t="n">
        <v>0.8</v>
      </c>
      <c r="G67" s="0" t="n">
        <f aca="false">B67*F67+5</f>
        <v>15.72896</v>
      </c>
      <c r="H67" s="3" t="n">
        <v>0.89408</v>
      </c>
      <c r="I67" s="3" t="n">
        <v>0</v>
      </c>
      <c r="J67" s="4" t="n">
        <v>13.3977459073029</v>
      </c>
    </row>
    <row r="68" customFormat="false" ht="15" hidden="false" customHeight="false" outlineLevel="0" collapsed="false">
      <c r="A68" s="0" t="n">
        <f aca="false">A67+1</f>
        <v>66</v>
      </c>
      <c r="B68" s="1" t="n">
        <f aca="false">B67-H68*1</f>
        <v>12.51712</v>
      </c>
      <c r="C68" s="1" t="n">
        <f aca="false">B68*$K$1</f>
        <v>28.00079744</v>
      </c>
      <c r="D68" s="1" t="n">
        <v>13.8080196155456</v>
      </c>
      <c r="E68" s="1" t="n">
        <f aca="false">D68*$K$1</f>
        <v>30.8885398799755</v>
      </c>
      <c r="F68" s="2" t="n">
        <v>0.8</v>
      </c>
      <c r="G68" s="0" t="n">
        <f aca="false">B68*F68+5</f>
        <v>15.013696</v>
      </c>
      <c r="H68" s="3" t="n">
        <v>0.89408</v>
      </c>
      <c r="I68" s="3" t="n">
        <v>0</v>
      </c>
      <c r="J68" s="4" t="n">
        <v>12.0045074828217</v>
      </c>
    </row>
    <row r="69" customFormat="false" ht="15" hidden="false" customHeight="false" outlineLevel="0" collapsed="false">
      <c r="A69" s="0" t="n">
        <f aca="false">A68+1</f>
        <v>67</v>
      </c>
      <c r="B69" s="1" t="n">
        <f aca="false">B68-H69*1</f>
        <v>11.62304</v>
      </c>
      <c r="C69" s="1" t="n">
        <f aca="false">B69*$K$1</f>
        <v>26.00074048</v>
      </c>
      <c r="D69" s="1" t="n">
        <v>12.6862512728062</v>
      </c>
      <c r="E69" s="1" t="n">
        <f aca="false">D69*$K$1</f>
        <v>28.3791440972675</v>
      </c>
      <c r="F69" s="2" t="n">
        <v>0.8</v>
      </c>
      <c r="G69" s="0" t="n">
        <f aca="false">B69*F69+5</f>
        <v>14.298432</v>
      </c>
      <c r="H69" s="3" t="n">
        <v>0.89408</v>
      </c>
      <c r="I69" s="3" t="n">
        <v>0</v>
      </c>
      <c r="J69" s="4" t="n">
        <v>10.8299133259776</v>
      </c>
    </row>
    <row r="70" customFormat="false" ht="15" hidden="false" customHeight="false" outlineLevel="0" collapsed="false">
      <c r="A70" s="0" t="n">
        <f aca="false">A69+1</f>
        <v>68</v>
      </c>
      <c r="B70" s="1" t="n">
        <f aca="false">B69-H70*1</f>
        <v>10.72896</v>
      </c>
      <c r="C70" s="1" t="n">
        <f aca="false">B70*$K$1</f>
        <v>24.00068352</v>
      </c>
      <c r="D70" s="1" t="n">
        <v>11.5835886356476</v>
      </c>
      <c r="E70" s="1" t="n">
        <f aca="false">D70*$K$1</f>
        <v>25.9124877779437</v>
      </c>
      <c r="F70" s="2" t="n">
        <v>0.8</v>
      </c>
      <c r="G70" s="0" t="n">
        <f aca="false">B70*F70+5</f>
        <v>13.583168</v>
      </c>
      <c r="H70" s="3" t="n">
        <v>0.89408</v>
      </c>
      <c r="I70" s="3" t="n">
        <v>0</v>
      </c>
      <c r="J70" s="4" t="n">
        <v>9.87576053463329</v>
      </c>
    </row>
    <row r="71" customFormat="false" ht="15" hidden="false" customHeight="false" outlineLevel="0" collapsed="false">
      <c r="A71" s="0" t="n">
        <f aca="false">A70+1</f>
        <v>69</v>
      </c>
      <c r="B71" s="1" t="n">
        <f aca="false">B70-H71*1</f>
        <v>9.83488</v>
      </c>
      <c r="C71" s="1" t="n">
        <f aca="false">B71*$K$1</f>
        <v>22.00062656</v>
      </c>
      <c r="D71" s="1" t="n">
        <v>10.5272896956745</v>
      </c>
      <c r="E71" s="1" t="n">
        <f aca="false">D71*$K$1</f>
        <v>23.5495470492239</v>
      </c>
      <c r="F71" s="2" t="n">
        <v>0.8</v>
      </c>
      <c r="G71" s="0" t="n">
        <f aca="false">B71*F71+5</f>
        <v>12.867904</v>
      </c>
      <c r="H71" s="3" t="n">
        <v>0.89408</v>
      </c>
      <c r="I71" s="3" t="n">
        <v>0</v>
      </c>
      <c r="J71" s="4" t="n">
        <v>9.10778699735135</v>
      </c>
    </row>
    <row r="72" customFormat="false" ht="15" hidden="false" customHeight="false" outlineLevel="0" collapsed="false">
      <c r="A72" s="0" t="n">
        <f aca="false">A71+1</f>
        <v>70</v>
      </c>
      <c r="B72" s="1" t="n">
        <f aca="false">B71-H72*1</f>
        <v>8.9408</v>
      </c>
      <c r="C72" s="1" t="n">
        <f aca="false">B72*$K$1</f>
        <v>20.0005696</v>
      </c>
      <c r="D72" s="1" t="n">
        <v>9.5281639608684</v>
      </c>
      <c r="E72" s="1" t="n">
        <f aca="false">D72*$K$1</f>
        <v>21.3145027804626</v>
      </c>
      <c r="F72" s="2" t="n">
        <v>0.8</v>
      </c>
      <c r="G72" s="0" t="n">
        <f aca="false">B72*F72+5</f>
        <v>12.15264</v>
      </c>
      <c r="H72" s="3" t="n">
        <v>0.89408</v>
      </c>
      <c r="I72" s="3" t="n">
        <v>0</v>
      </c>
      <c r="J72" s="4" t="n">
        <v>8.47307531234583</v>
      </c>
    </row>
    <row r="73" customFormat="false" ht="15" hidden="false" customHeight="false" outlineLevel="0" collapsed="false">
      <c r="A73" s="0" t="n">
        <f aca="false">A72+1</f>
        <v>71</v>
      </c>
      <c r="B73" s="1" t="n">
        <f aca="false">B72+H73*1</f>
        <v>8.9408</v>
      </c>
      <c r="C73" s="1" t="n">
        <f aca="false">B73*$K$1</f>
        <v>20.0005696</v>
      </c>
      <c r="D73" s="1" t="n">
        <v>8.7070446569031</v>
      </c>
      <c r="E73" s="1" t="n">
        <f aca="false">D73*$K$1</f>
        <v>19.4776588974922</v>
      </c>
      <c r="F73" s="2" t="n">
        <v>0.8</v>
      </c>
      <c r="G73" s="0" t="n">
        <f aca="false">B73*F73+5</f>
        <v>12.15264</v>
      </c>
      <c r="H73" s="3" t="n">
        <v>0</v>
      </c>
      <c r="I73" s="3" t="n">
        <v>0</v>
      </c>
      <c r="J73" s="4" t="n">
        <v>8.32599550965358</v>
      </c>
    </row>
    <row r="74" customFormat="false" ht="15" hidden="false" customHeight="false" outlineLevel="0" collapsed="false">
      <c r="A74" s="0" t="n">
        <f aca="false">A73+1</f>
        <v>72</v>
      </c>
      <c r="B74" s="1" t="n">
        <f aca="false">B73+H74*1</f>
        <v>8.9408</v>
      </c>
      <c r="C74" s="1" t="n">
        <f aca="false">B74*$K$1</f>
        <v>20.0005696</v>
      </c>
      <c r="D74" s="1" t="n">
        <v>8.19432088971263</v>
      </c>
      <c r="E74" s="1" t="n">
        <f aca="false">D74*$K$1</f>
        <v>18.3306958302872</v>
      </c>
      <c r="F74" s="2" t="n">
        <v>0.8</v>
      </c>
      <c r="G74" s="0" t="n">
        <f aca="false">B74*F74+5</f>
        <v>12.15264</v>
      </c>
      <c r="H74" s="3" t="n">
        <v>0</v>
      </c>
      <c r="I74" s="3" t="n">
        <v>0</v>
      </c>
      <c r="J74" s="4" t="n">
        <v>8.84308393767378</v>
      </c>
    </row>
    <row r="75" customFormat="false" ht="15" hidden="false" customHeight="false" outlineLevel="0" collapsed="false">
      <c r="A75" s="0" t="n">
        <f aca="false">A74+1</f>
        <v>73</v>
      </c>
      <c r="B75" s="1" t="n">
        <f aca="false">B74+H75*1</f>
        <v>8.9408</v>
      </c>
      <c r="C75" s="1" t="n">
        <f aca="false">B75*$K$1</f>
        <v>20.0005696</v>
      </c>
      <c r="D75" s="1" t="n">
        <v>7.97078222171296</v>
      </c>
      <c r="E75" s="1" t="n">
        <f aca="false">D75*$K$1</f>
        <v>17.8306398299719</v>
      </c>
      <c r="F75" s="2" t="n">
        <v>0.8</v>
      </c>
      <c r="G75" s="0" t="n">
        <f aca="false">B75*F75+5</f>
        <v>12.15264</v>
      </c>
      <c r="H75" s="3" t="n">
        <v>0</v>
      </c>
      <c r="I75" s="3" t="n">
        <v>0</v>
      </c>
      <c r="J75" s="4" t="n">
        <v>9.72211889056996</v>
      </c>
    </row>
    <row r="76" customFormat="false" ht="15" hidden="false" customHeight="false" outlineLevel="0" collapsed="false">
      <c r="A76" s="0" t="n">
        <f aca="false">A75+1</f>
        <v>74</v>
      </c>
      <c r="B76" s="1" t="n">
        <f aca="false">B75+H76*1</f>
        <v>8.9408</v>
      </c>
      <c r="C76" s="1" t="n">
        <f aca="false">B76*$K$1</f>
        <v>20.0005696</v>
      </c>
      <c r="D76" s="1" t="n">
        <v>7.9770267214447</v>
      </c>
      <c r="E76" s="1" t="n">
        <f aca="false">D76*$K$1</f>
        <v>17.8446087758718</v>
      </c>
      <c r="F76" s="2" t="n">
        <v>0.8</v>
      </c>
      <c r="G76" s="0" t="n">
        <f aca="false">B76*F76+5</f>
        <v>12.15264</v>
      </c>
      <c r="H76" s="3" t="n">
        <v>0</v>
      </c>
      <c r="I76" s="3" t="n">
        <v>0</v>
      </c>
      <c r="J76" s="4" t="n">
        <v>10.7023114908283</v>
      </c>
    </row>
    <row r="77" customFormat="false" ht="15" hidden="false" customHeight="false" outlineLevel="0" collapsed="false">
      <c r="A77" s="0" t="n">
        <f aca="false">A76+1</f>
        <v>75</v>
      </c>
      <c r="B77" s="1" t="n">
        <f aca="false">B76+H77*1</f>
        <v>8.9408</v>
      </c>
      <c r="C77" s="1" t="n">
        <f aca="false">B77*$K$1</f>
        <v>20.0005696</v>
      </c>
      <c r="D77" s="1" t="n">
        <v>8.13627233585913</v>
      </c>
      <c r="E77" s="1" t="n">
        <f aca="false">D77*$K$1</f>
        <v>18.2008412153169</v>
      </c>
      <c r="F77" s="2" t="n">
        <v>0.8</v>
      </c>
      <c r="G77" s="0" t="n">
        <f aca="false">B77*F77+5</f>
        <v>12.15264</v>
      </c>
      <c r="H77" s="3" t="n">
        <v>0</v>
      </c>
      <c r="I77" s="3" t="n">
        <v>0</v>
      </c>
      <c r="J77" s="4" t="n">
        <v>11.5926000959437</v>
      </c>
    </row>
    <row r="78" customFormat="false" ht="15" hidden="false" customHeight="false" outlineLevel="0" collapsed="false">
      <c r="A78" s="0" t="n">
        <f aca="false">A77+1</f>
        <v>76</v>
      </c>
      <c r="B78" s="1" t="n">
        <f aca="false">B77+H78*1</f>
        <v>8.9408</v>
      </c>
      <c r="C78" s="1" t="n">
        <f aca="false">B78*$K$1</f>
        <v>20.0005696</v>
      </c>
      <c r="D78" s="1" t="n">
        <v>8.37244184739511</v>
      </c>
      <c r="E78" s="1" t="n">
        <f aca="false">D78*$K$1</f>
        <v>18.7291524126229</v>
      </c>
      <c r="F78" s="2" t="n">
        <v>0.8</v>
      </c>
      <c r="G78" s="0" t="n">
        <f aca="false">B78*F78+5</f>
        <v>12.15264</v>
      </c>
      <c r="H78" s="3" t="n">
        <v>0</v>
      </c>
      <c r="I78" s="3" t="n">
        <v>0</v>
      </c>
      <c r="J78" s="4" t="n">
        <v>12.2793955011803</v>
      </c>
    </row>
    <row r="79" customFormat="false" ht="15" hidden="false" customHeight="false" outlineLevel="0" collapsed="false">
      <c r="A79" s="0" t="n">
        <f aca="false">A78+1</f>
        <v>77</v>
      </c>
      <c r="B79" s="1" t="n">
        <f aca="false">B78+H79*1</f>
        <v>8.9408</v>
      </c>
      <c r="C79" s="1" t="n">
        <f aca="false">B79*$K$1</f>
        <v>20.0005696</v>
      </c>
      <c r="D79" s="1" t="n">
        <v>8.62217041390142</v>
      </c>
      <c r="E79" s="1" t="n">
        <f aca="false">D79*$K$1</f>
        <v>19.2877952158975</v>
      </c>
      <c r="F79" s="2" t="n">
        <v>0.8</v>
      </c>
      <c r="G79" s="0" t="n">
        <f aca="false">B79*F79+5</f>
        <v>12.15264</v>
      </c>
      <c r="H79" s="3" t="n">
        <v>0</v>
      </c>
      <c r="I79" s="3" t="n">
        <v>0</v>
      </c>
      <c r="J79" s="4" t="n">
        <v>12.7193074921445</v>
      </c>
    </row>
    <row r="80" customFormat="false" ht="15" hidden="false" customHeight="false" outlineLevel="0" collapsed="false">
      <c r="A80" s="0" t="n">
        <f aca="false">A79+1</f>
        <v>78</v>
      </c>
      <c r="B80" s="1" t="n">
        <f aca="false">B79+H80*1</f>
        <v>8.9408</v>
      </c>
      <c r="C80" s="1" t="n">
        <f aca="false">B80*$K$1</f>
        <v>20.0005696</v>
      </c>
      <c r="D80" s="1" t="n">
        <v>8.84080800877217</v>
      </c>
      <c r="E80" s="1" t="n">
        <f aca="false">D80*$K$1</f>
        <v>19.7768875156233</v>
      </c>
      <c r="F80" s="2" t="n">
        <v>0.8</v>
      </c>
      <c r="G80" s="0" t="n">
        <f aca="false">B80*F80+5</f>
        <v>12.15264</v>
      </c>
      <c r="H80" s="3" t="n">
        <v>0</v>
      </c>
      <c r="I80" s="3" t="n">
        <v>0</v>
      </c>
      <c r="J80" s="4" t="n">
        <v>12.9229757811302</v>
      </c>
    </row>
    <row r="81" customFormat="false" ht="15" hidden="false" customHeight="false" outlineLevel="0" collapsed="false">
      <c r="A81" s="0" t="n">
        <f aca="false">A80+1</f>
        <v>79</v>
      </c>
      <c r="B81" s="1" t="n">
        <f aca="false">B80+H81*1</f>
        <v>8.9408</v>
      </c>
      <c r="C81" s="1" t="n">
        <f aca="false">B81*$K$1</f>
        <v>20.0005696</v>
      </c>
      <c r="D81" s="1" t="n">
        <v>9.0034313838342</v>
      </c>
      <c r="E81" s="1" t="n">
        <f aca="false">D81*$K$1</f>
        <v>20.1406760056371</v>
      </c>
      <c r="F81" s="2" t="n">
        <v>0.8</v>
      </c>
      <c r="G81" s="0" t="n">
        <f aca="false">B81*F81+5</f>
        <v>12.15264</v>
      </c>
      <c r="H81" s="3" t="n">
        <v>0</v>
      </c>
      <c r="I81" s="3" t="n">
        <v>0</v>
      </c>
      <c r="J81" s="4" t="n">
        <v>12.935540326473</v>
      </c>
    </row>
    <row r="82" customFormat="false" ht="15" hidden="false" customHeight="false" outlineLevel="0" collapsed="false">
      <c r="A82" s="0" t="n">
        <f aca="false">A81+1</f>
        <v>80</v>
      </c>
      <c r="B82" s="1" t="n">
        <f aca="false">B81+H82*1</f>
        <v>8.9408</v>
      </c>
      <c r="C82" s="1" t="n">
        <f aca="false">B82*$K$1</f>
        <v>20.0005696</v>
      </c>
      <c r="D82" s="1" t="n">
        <v>9.1023484898989</v>
      </c>
      <c r="E82" s="1" t="n">
        <f aca="false">D82*$K$1</f>
        <v>20.3619535719038</v>
      </c>
      <c r="F82" s="2" t="n">
        <v>0.8</v>
      </c>
      <c r="G82" s="0" t="n">
        <f aca="false">B82*F82+5</f>
        <v>12.15264</v>
      </c>
      <c r="H82" s="3" t="n">
        <v>0</v>
      </c>
      <c r="I82" s="3" t="n">
        <v>0</v>
      </c>
      <c r="J82" s="4" t="n">
        <v>12.8180014003368</v>
      </c>
    </row>
    <row r="83" customFormat="false" ht="15" hidden="false" customHeight="false" outlineLevel="0" collapsed="false">
      <c r="A83" s="0" t="n">
        <f aca="false">A82+1</f>
        <v>81</v>
      </c>
      <c r="B83" s="1" t="n">
        <f aca="false">B82+H83*1</f>
        <v>8.9408</v>
      </c>
      <c r="C83" s="1" t="n">
        <f aca="false">B83*$K$1</f>
        <v>20.0005696</v>
      </c>
      <c r="D83" s="1" t="n">
        <v>9.14265357549985</v>
      </c>
      <c r="E83" s="1" t="n">
        <f aca="false">D83*$K$1</f>
        <v>20.4521160483932</v>
      </c>
      <c r="F83" s="2" t="n">
        <v>0.8</v>
      </c>
      <c r="G83" s="0" t="n">
        <f aca="false">B83*F83+5</f>
        <v>12.15264</v>
      </c>
      <c r="H83" s="3" t="n">
        <v>0</v>
      </c>
      <c r="I83" s="3" t="n">
        <v>0</v>
      </c>
      <c r="J83" s="4" t="n">
        <v>12.6321749436545</v>
      </c>
    </row>
    <row r="84" customFormat="false" ht="15" hidden="false" customHeight="false" outlineLevel="0" collapsed="false">
      <c r="A84" s="0" t="n">
        <f aca="false">A83+1</f>
        <v>82</v>
      </c>
      <c r="B84" s="1" t="n">
        <f aca="false">B83+H84*1</f>
        <v>8.9408</v>
      </c>
      <c r="C84" s="1" t="n">
        <f aca="false">B84*$K$1</f>
        <v>20.0005696</v>
      </c>
      <c r="D84" s="1" t="n">
        <v>9.13719094205776</v>
      </c>
      <c r="E84" s="1" t="n">
        <f aca="false">D84*$K$1</f>
        <v>20.4398961373832</v>
      </c>
      <c r="F84" s="2" t="n">
        <v>0.8</v>
      </c>
      <c r="G84" s="0" t="n">
        <f aca="false">B84*F84+5</f>
        <v>12.15264</v>
      </c>
      <c r="H84" s="3" t="n">
        <v>0</v>
      </c>
      <c r="I84" s="3" t="n">
        <v>0</v>
      </c>
      <c r="J84" s="4" t="n">
        <v>12.4304780786412</v>
      </c>
    </row>
    <row r="85" customFormat="false" ht="15" hidden="false" customHeight="false" outlineLevel="0" collapsed="false">
      <c r="A85" s="0" t="n">
        <f aca="false">A84+1</f>
        <v>83</v>
      </c>
      <c r="B85" s="1" t="n">
        <f aca="false">B84+H85*1</f>
        <v>8.9408</v>
      </c>
      <c r="C85" s="1" t="n">
        <f aca="false">B85*$K$1</f>
        <v>20.0005696</v>
      </c>
      <c r="D85" s="1" t="n">
        <v>9.10193264327749</v>
      </c>
      <c r="E85" s="1" t="n">
        <f aca="false">D85*$K$1</f>
        <v>20.3610233230117</v>
      </c>
      <c r="F85" s="2" t="n">
        <v>0.8</v>
      </c>
      <c r="G85" s="0" t="n">
        <f aca="false">B85*F85+5</f>
        <v>12.15264</v>
      </c>
      <c r="H85" s="3" t="n">
        <v>0</v>
      </c>
      <c r="I85" s="3" t="n">
        <v>0</v>
      </c>
      <c r="J85" s="4" t="n">
        <v>12.2505952977931</v>
      </c>
    </row>
    <row r="86" customFormat="false" ht="15" hidden="false" customHeight="false" outlineLevel="0" collapsed="false">
      <c r="A86" s="0" t="n">
        <f aca="false">A85+1</f>
        <v>84</v>
      </c>
      <c r="B86" s="1" t="n">
        <f aca="false">B85+H86*1</f>
        <v>8.9408</v>
      </c>
      <c r="C86" s="1" t="n">
        <f aca="false">B86*$K$1</f>
        <v>20.0005696</v>
      </c>
      <c r="D86" s="1" t="n">
        <v>9.05237729597656</v>
      </c>
      <c r="E86" s="1" t="n">
        <f aca="false">D86*$K$1</f>
        <v>20.2501680110996</v>
      </c>
      <c r="F86" s="2" t="n">
        <v>0.8</v>
      </c>
      <c r="G86" s="0" t="n">
        <f aca="false">B86*F86+5</f>
        <v>12.15264</v>
      </c>
      <c r="H86" s="3" t="n">
        <v>0</v>
      </c>
      <c r="I86" s="3" t="n">
        <v>0</v>
      </c>
      <c r="J86" s="4" t="n">
        <v>12.1142739416508</v>
      </c>
    </row>
    <row r="87" customFormat="false" ht="15" hidden="false" customHeight="false" outlineLevel="0" collapsed="false">
      <c r="A87" s="0" t="n">
        <f aca="false">A86+1</f>
        <v>85</v>
      </c>
      <c r="B87" s="1" t="n">
        <f aca="false">B86+H87*1</f>
        <v>8.9408</v>
      </c>
      <c r="C87" s="1" t="n">
        <f aca="false">B87*$K$1</f>
        <v>20.0005696</v>
      </c>
      <c r="D87" s="1" t="n">
        <v>9.00121265381063</v>
      </c>
      <c r="E87" s="1" t="n">
        <f aca="false">D87*$K$1</f>
        <v>20.1357127065744</v>
      </c>
      <c r="F87" s="2" t="n">
        <v>0.8</v>
      </c>
      <c r="G87" s="0" t="n">
        <f aca="false">B87*F87+5</f>
        <v>12.15264</v>
      </c>
      <c r="H87" s="3" t="n">
        <v>0</v>
      </c>
      <c r="I87" s="3" t="n">
        <v>0</v>
      </c>
      <c r="J87" s="4" t="n">
        <v>12.0290810118996</v>
      </c>
    </row>
    <row r="88" customFormat="false" ht="15" hidden="false" customHeight="false" outlineLevel="0" collapsed="false">
      <c r="A88" s="0" t="n">
        <f aca="false">A87+1</f>
        <v>86</v>
      </c>
      <c r="B88" s="1" t="n">
        <f aca="false">B82+H88*1</f>
        <v>10.4308</v>
      </c>
      <c r="C88" s="1" t="n">
        <f aca="false">B88*$K$1</f>
        <v>23.3336996</v>
      </c>
      <c r="D88" s="1" t="n">
        <v>9.16182791555922</v>
      </c>
      <c r="E88" s="1" t="n">
        <f aca="false">D88*$K$1</f>
        <v>20.495009047106</v>
      </c>
      <c r="F88" s="2" t="n">
        <v>0.8</v>
      </c>
      <c r="G88" s="0" t="n">
        <f aca="false">B88*F88+5</f>
        <v>13.34464</v>
      </c>
      <c r="H88" s="3" t="n">
        <v>1.49</v>
      </c>
      <c r="I88" s="3" t="n">
        <v>0</v>
      </c>
      <c r="J88" s="4" t="n">
        <v>12.6772620855119</v>
      </c>
    </row>
    <row r="89" customFormat="false" ht="15" hidden="false" customHeight="false" outlineLevel="0" collapsed="false">
      <c r="A89" s="0" t="n">
        <f aca="false">A88+1</f>
        <v>87</v>
      </c>
      <c r="B89" s="1" t="n">
        <f aca="false">B88+H89*1</f>
        <v>11.9208</v>
      </c>
      <c r="C89" s="1" t="n">
        <f aca="false">B89*$K$1</f>
        <v>26.6668296</v>
      </c>
      <c r="D89" s="1" t="n">
        <v>9.77322867524118</v>
      </c>
      <c r="E89" s="1" t="n">
        <f aca="false">D89*$K$1</f>
        <v>21.8627125465145</v>
      </c>
      <c r="F89" s="2" t="n">
        <v>0.8</v>
      </c>
      <c r="G89" s="0" t="n">
        <f aca="false">B89*F89+5</f>
        <v>14.53664</v>
      </c>
      <c r="H89" s="3" t="n">
        <v>1.49</v>
      </c>
      <c r="I89" s="3" t="n">
        <v>0</v>
      </c>
      <c r="J89" s="4" t="n">
        <v>14.4272193584238</v>
      </c>
    </row>
    <row r="90" customFormat="false" ht="15" hidden="false" customHeight="false" outlineLevel="0" collapsed="false">
      <c r="A90" s="0" t="n">
        <f aca="false">A89+1</f>
        <v>88</v>
      </c>
      <c r="B90" s="1" t="n">
        <f aca="false">B89+H90*1</f>
        <v>13.4108</v>
      </c>
      <c r="C90" s="1" t="n">
        <f aca="false">B90*$K$1</f>
        <v>29.9999596</v>
      </c>
      <c r="D90" s="1" t="n">
        <v>10.828112748647</v>
      </c>
      <c r="E90" s="1" t="n">
        <f aca="false">D90*$K$1</f>
        <v>24.2224882187233</v>
      </c>
      <c r="F90" s="2" t="n">
        <v>0.8</v>
      </c>
      <c r="G90" s="0" t="n">
        <f aca="false">B90*F90+5</f>
        <v>15.72864</v>
      </c>
      <c r="H90" s="3" t="n">
        <v>1.49</v>
      </c>
      <c r="I90" s="3" t="n">
        <v>0</v>
      </c>
      <c r="J90" s="4" t="n">
        <v>16.8258423983358</v>
      </c>
    </row>
    <row r="91" customFormat="false" ht="15" hidden="false" customHeight="false" outlineLevel="0" collapsed="false">
      <c r="A91" s="0" t="n">
        <f aca="false">A90+1</f>
        <v>89</v>
      </c>
      <c r="B91" s="1" t="n">
        <f aca="false">B90+H91*1</f>
        <v>14.9008</v>
      </c>
      <c r="C91" s="1" t="n">
        <f aca="false">B91*$K$1</f>
        <v>33.3330896</v>
      </c>
      <c r="D91" s="1" t="n">
        <v>12.2502345120629</v>
      </c>
      <c r="E91" s="1" t="n">
        <f aca="false">D91*$K$1</f>
        <v>27.4037746034847</v>
      </c>
      <c r="F91" s="2" t="n">
        <v>0.8</v>
      </c>
      <c r="G91" s="0" t="n">
        <f aca="false">B91*F91+5</f>
        <v>16.92064</v>
      </c>
      <c r="H91" s="3" t="n">
        <v>1.49</v>
      </c>
      <c r="I91" s="3" t="n">
        <v>0</v>
      </c>
      <c r="J91" s="4" t="n">
        <v>19.4650834098867</v>
      </c>
    </row>
    <row r="92" customFormat="false" ht="15" hidden="false" customHeight="false" outlineLevel="0" collapsed="false">
      <c r="A92" s="0" t="n">
        <f aca="false">A91+1</f>
        <v>90</v>
      </c>
      <c r="B92" s="1" t="n">
        <f aca="false">B91+H92*1</f>
        <v>16.3908</v>
      </c>
      <c r="C92" s="1" t="n">
        <f aca="false">B92*$K$1</f>
        <v>36.6662196</v>
      </c>
      <c r="D92" s="1" t="n">
        <v>13.9294079902248</v>
      </c>
      <c r="E92" s="1" t="n">
        <f aca="false">D92*$K$1</f>
        <v>31.1600856741329</v>
      </c>
      <c r="F92" s="2" t="n">
        <v>0.8</v>
      </c>
      <c r="G92" s="0" t="n">
        <f aca="false">B92*F92+5</f>
        <v>18.11264</v>
      </c>
      <c r="H92" s="3" t="n">
        <v>1.49</v>
      </c>
      <c r="I92" s="3" t="n">
        <v>0</v>
      </c>
      <c r="J92" s="4" t="n">
        <v>22.0327469347933</v>
      </c>
    </row>
    <row r="93" customFormat="false" ht="15" hidden="false" customHeight="false" outlineLevel="0" collapsed="false">
      <c r="A93" s="0" t="n">
        <f aca="false">A92+1</f>
        <v>91</v>
      </c>
      <c r="B93" s="1" t="n">
        <f aca="false">B92+H93*1</f>
        <v>17.8808</v>
      </c>
      <c r="C93" s="1" t="n">
        <f aca="false">B93*$K$1</f>
        <v>39.9993496</v>
      </c>
      <c r="D93" s="1" t="n">
        <v>15.7504273291612</v>
      </c>
      <c r="E93" s="1" t="n">
        <f aca="false">D93*$K$1</f>
        <v>35.2337059353336</v>
      </c>
      <c r="F93" s="2" t="n">
        <v>0.8</v>
      </c>
      <c r="G93" s="0" t="n">
        <f aca="false">B93*F93+5</f>
        <v>19.30464</v>
      </c>
      <c r="H93" s="3" t="n">
        <v>1.49</v>
      </c>
      <c r="I93" s="3" t="n">
        <v>0</v>
      </c>
      <c r="J93" s="4" t="n">
        <v>24.3311086615329</v>
      </c>
    </row>
    <row r="94" customFormat="false" ht="15" hidden="false" customHeight="false" outlineLevel="0" collapsed="false">
      <c r="A94" s="0" t="n">
        <f aca="false">A93+1</f>
        <v>92</v>
      </c>
      <c r="B94" s="1" t="n">
        <f aca="false">B93-H94*1</f>
        <v>17.8808</v>
      </c>
      <c r="C94" s="1" t="n">
        <f aca="false">B94*$K$1</f>
        <v>39.9993496</v>
      </c>
      <c r="D94" s="1" t="n">
        <v>17.40863091581</v>
      </c>
      <c r="E94" s="1" t="n">
        <f aca="false">D94*$K$1</f>
        <v>38.943107358667</v>
      </c>
      <c r="F94" s="2" t="n">
        <v>0.8</v>
      </c>
      <c r="G94" s="0" t="n">
        <f aca="false">B94*F94+5</f>
        <v>19.30464</v>
      </c>
      <c r="H94" s="3" t="n">
        <v>0</v>
      </c>
      <c r="I94" s="3" t="n">
        <v>0</v>
      </c>
      <c r="J94" s="4" t="n">
        <v>25.5855770297321</v>
      </c>
    </row>
    <row r="95" customFormat="false" ht="15" hidden="false" customHeight="false" outlineLevel="0" collapsed="false">
      <c r="A95" s="0" t="n">
        <f aca="false">A94+1</f>
        <v>93</v>
      </c>
      <c r="B95" s="1" t="n">
        <f aca="false">B94-H95*1</f>
        <v>17.8808</v>
      </c>
      <c r="C95" s="1" t="n">
        <f aca="false">B95*$K$1</f>
        <v>39.9993496</v>
      </c>
      <c r="D95" s="1" t="n">
        <v>18.5959625678736</v>
      </c>
      <c r="E95" s="1" t="n">
        <f aca="false">D95*$K$1</f>
        <v>41.5991682643332</v>
      </c>
      <c r="F95" s="2" t="n">
        <v>0.8</v>
      </c>
      <c r="G95" s="0" t="n">
        <f aca="false">B95*F95+5</f>
        <v>19.30464</v>
      </c>
      <c r="H95" s="3" t="n">
        <v>0</v>
      </c>
      <c r="I95" s="3" t="n">
        <v>0</v>
      </c>
      <c r="J95" s="4" t="n">
        <v>25.4158166272795</v>
      </c>
    </row>
    <row r="96" customFormat="false" ht="15" hidden="false" customHeight="false" outlineLevel="0" collapsed="false">
      <c r="A96" s="0" t="n">
        <f aca="false">A95+1</f>
        <v>94</v>
      </c>
      <c r="B96" s="1" t="n">
        <f aca="false">B95-H96*1</f>
        <v>17.8808</v>
      </c>
      <c r="C96" s="1" t="n">
        <f aca="false">B96*$K$1</f>
        <v>39.9993496</v>
      </c>
      <c r="D96" s="1" t="n">
        <v>19.2766769153143</v>
      </c>
      <c r="E96" s="1" t="n">
        <f aca="false">D96*$K$1</f>
        <v>43.1219262595581</v>
      </c>
      <c r="F96" s="2" t="n">
        <v>0.8</v>
      </c>
      <c r="G96" s="0" t="n">
        <f aca="false">B96*F96+5</f>
        <v>19.30464</v>
      </c>
      <c r="H96" s="3" t="n">
        <v>0</v>
      </c>
      <c r="I96" s="3" t="n">
        <v>0</v>
      </c>
      <c r="J96" s="4" t="n">
        <v>24.3188190157356</v>
      </c>
    </row>
    <row r="97" customFormat="false" ht="15" hidden="false" customHeight="false" outlineLevel="0" collapsed="false">
      <c r="A97" s="0" t="n">
        <f aca="false">A96+1</f>
        <v>95</v>
      </c>
      <c r="B97" s="1" t="n">
        <f aca="false">B96-H97*1</f>
        <v>17.8808</v>
      </c>
      <c r="C97" s="1" t="n">
        <f aca="false">B97*$K$1</f>
        <v>39.9993496</v>
      </c>
      <c r="D97" s="1" t="n">
        <v>19.5083257120241</v>
      </c>
      <c r="E97" s="1" t="n">
        <f aca="false">D97*$K$1</f>
        <v>43.6401246177979</v>
      </c>
      <c r="F97" s="2" t="n">
        <v>0.8</v>
      </c>
      <c r="G97" s="0" t="n">
        <f aca="false">B97*F97+5</f>
        <v>19.30464</v>
      </c>
      <c r="H97" s="3" t="n">
        <v>0</v>
      </c>
      <c r="I97" s="3" t="n">
        <v>0</v>
      </c>
      <c r="J97" s="4" t="n">
        <v>22.7768611482225</v>
      </c>
    </row>
    <row r="98" customFormat="false" ht="15" hidden="false" customHeight="false" outlineLevel="0" collapsed="false">
      <c r="A98" s="0" t="n">
        <f aca="false">A97+1</f>
        <v>96</v>
      </c>
      <c r="B98" s="1" t="n">
        <f aca="false">B97-H98*1</f>
        <v>17.8808</v>
      </c>
      <c r="C98" s="1" t="n">
        <f aca="false">B98*$K$1</f>
        <v>39.9993496</v>
      </c>
      <c r="D98" s="1" t="n">
        <v>19.4017310798843</v>
      </c>
      <c r="E98" s="1" t="n">
        <f aca="false">D98*$K$1</f>
        <v>43.4016724257012</v>
      </c>
      <c r="F98" s="2" t="n">
        <v>0.8</v>
      </c>
      <c r="G98" s="0" t="n">
        <f aca="false">B98*F98+5</f>
        <v>19.30464</v>
      </c>
      <c r="H98" s="3" t="n">
        <v>0</v>
      </c>
      <c r="I98" s="3" t="n">
        <v>0</v>
      </c>
      <c r="J98" s="4" t="n">
        <v>21.1847649171708</v>
      </c>
    </row>
    <row r="99" customFormat="false" ht="15" hidden="false" customHeight="false" outlineLevel="0" collapsed="false">
      <c r="A99" s="0" t="n">
        <f aca="false">A98+1</f>
        <v>97</v>
      </c>
      <c r="B99" s="1" t="n">
        <f aca="false">B98-H99*1</f>
        <v>17.8808</v>
      </c>
      <c r="C99" s="1" t="n">
        <f aca="false">B99*$K$1</f>
        <v>39.9993496</v>
      </c>
      <c r="D99" s="1" t="n">
        <v>19.0855880771355</v>
      </c>
      <c r="E99" s="1" t="n">
        <f aca="false">D99*$K$1</f>
        <v>42.6944605285521</v>
      </c>
      <c r="F99" s="2" t="n">
        <v>0.8</v>
      </c>
      <c r="G99" s="0" t="n">
        <f aca="false">B99*F99+5</f>
        <v>19.30464</v>
      </c>
      <c r="H99" s="3" t="n">
        <v>0</v>
      </c>
      <c r="I99" s="3" t="n">
        <v>0</v>
      </c>
      <c r="J99" s="4" t="n">
        <v>19.8152154343077</v>
      </c>
    </row>
    <row r="100" customFormat="false" ht="15" hidden="false" customHeight="false" outlineLevel="0" collapsed="false">
      <c r="A100" s="0" t="n">
        <f aca="false">A99+1</f>
        <v>98</v>
      </c>
      <c r="B100" s="1" t="n">
        <f aca="false">B99-H100*1</f>
        <v>17.8808</v>
      </c>
      <c r="C100" s="1" t="n">
        <f aca="false">B100*$K$1</f>
        <v>39.9993496</v>
      </c>
      <c r="D100" s="1" t="n">
        <v>18.6798649962162</v>
      </c>
      <c r="E100" s="1" t="n">
        <f aca="false">D100*$K$1</f>
        <v>41.7868579965356</v>
      </c>
      <c r="F100" s="2" t="n">
        <v>0.8</v>
      </c>
      <c r="G100" s="0" t="n">
        <f aca="false">B100*F100+5</f>
        <v>19.30464</v>
      </c>
      <c r="H100" s="3" t="n">
        <v>0</v>
      </c>
      <c r="I100" s="3" t="n">
        <v>0</v>
      </c>
      <c r="J100" s="4" t="n">
        <v>18.81516702214</v>
      </c>
    </row>
    <row r="101" customFormat="false" ht="15" hidden="false" customHeight="false" outlineLevel="0" collapsed="false">
      <c r="A101" s="0" t="n">
        <f aca="false">A100+1</f>
        <v>99</v>
      </c>
      <c r="B101" s="1" t="n">
        <f aca="false">B100-H101*1</f>
        <v>17.8808</v>
      </c>
      <c r="C101" s="1" t="n">
        <f aca="false">B101*$K$1</f>
        <v>39.9993496</v>
      </c>
      <c r="D101" s="1" t="n">
        <v>18.2793796919244</v>
      </c>
      <c r="E101" s="1" t="n">
        <f aca="false">D101*$K$1</f>
        <v>40.8909723708349</v>
      </c>
      <c r="F101" s="2" t="n">
        <v>0.8</v>
      </c>
      <c r="G101" s="0" t="n">
        <f aca="false">B101*F101+5</f>
        <v>19.30464</v>
      </c>
      <c r="H101" s="3" t="n">
        <v>0</v>
      </c>
      <c r="I101" s="3" t="n">
        <v>0</v>
      </c>
      <c r="J101" s="4" t="n">
        <v>18.2236631165563</v>
      </c>
    </row>
    <row r="102" customFormat="false" ht="15" hidden="false" customHeight="false" outlineLevel="0" collapsed="false">
      <c r="A102" s="0" t="n">
        <f aca="false">A101+1</f>
        <v>100</v>
      </c>
      <c r="B102" s="1" t="n">
        <f aca="false">B101-H102*1</f>
        <v>17.8808</v>
      </c>
      <c r="C102" s="1" t="n">
        <f aca="false">B102*$K$1</f>
        <v>39.9993496</v>
      </c>
      <c r="D102" s="1" t="n">
        <v>17.9468384975472</v>
      </c>
      <c r="E102" s="1" t="n">
        <f aca="false">D102*$K$1</f>
        <v>40.1470777190131</v>
      </c>
      <c r="F102" s="2" t="n">
        <v>0.8</v>
      </c>
      <c r="G102" s="0" t="n">
        <f aca="false">B102*F102+5</f>
        <v>19.30464</v>
      </c>
      <c r="H102" s="3" t="n">
        <v>0</v>
      </c>
      <c r="I102" s="3" t="n">
        <v>0</v>
      </c>
      <c r="J102" s="4" t="n">
        <v>18.0011412241947</v>
      </c>
    </row>
    <row r="103" customFormat="false" ht="15" hidden="false" customHeight="false" outlineLevel="0" collapsed="false">
      <c r="A103" s="0" t="n">
        <f aca="false">A102+1</f>
        <v>101</v>
      </c>
      <c r="B103" s="1" t="n">
        <f aca="false">B102-H103*1</f>
        <v>17.8808</v>
      </c>
      <c r="C103" s="1" t="n">
        <f aca="false">B103*$K$1</f>
        <v>39.9993496</v>
      </c>
      <c r="D103" s="1" t="n">
        <v>17.713337138777</v>
      </c>
      <c r="E103" s="1" t="n">
        <f aca="false">D103*$K$1</f>
        <v>39.6247351794441</v>
      </c>
      <c r="F103" s="2" t="n">
        <v>0.8</v>
      </c>
      <c r="G103" s="0" t="n">
        <f aca="false">B103*F103+5</f>
        <v>19.30464</v>
      </c>
      <c r="H103" s="3" t="n">
        <v>0</v>
      </c>
      <c r="I103" s="3" t="n">
        <v>0</v>
      </c>
      <c r="J103" s="4" t="n">
        <v>18.0617205767103</v>
      </c>
    </row>
    <row r="104" customFormat="false" ht="15" hidden="false" customHeight="false" outlineLevel="0" collapsed="false">
      <c r="A104" s="0" t="n">
        <f aca="false">A103+1</f>
        <v>102</v>
      </c>
      <c r="B104" s="1" t="n">
        <f aca="false">B103-H104*1</f>
        <v>17.8808</v>
      </c>
      <c r="C104" s="1" t="n">
        <f aca="false">B104*$K$1</f>
        <v>39.9993496</v>
      </c>
      <c r="D104" s="1" t="n">
        <v>17.5837822528825</v>
      </c>
      <c r="E104" s="1" t="n">
        <f aca="false">D104*$K$1</f>
        <v>39.3349208996982</v>
      </c>
      <c r="F104" s="2" t="n">
        <v>0.8</v>
      </c>
      <c r="G104" s="0" t="n">
        <f aca="false">B104*F104+5</f>
        <v>19.30464</v>
      </c>
      <c r="H104" s="3" t="n">
        <v>0</v>
      </c>
      <c r="I104" s="3" t="n">
        <v>0</v>
      </c>
      <c r="J104" s="4" t="n">
        <v>18.3022941299655</v>
      </c>
    </row>
    <row r="105" customFormat="false" ht="15" hidden="false" customHeight="false" outlineLevel="0" collapsed="false">
      <c r="A105" s="0" t="n">
        <f aca="false">A104+1</f>
        <v>103</v>
      </c>
      <c r="B105" s="1" t="n">
        <f aca="false">B104-H105*1</f>
        <v>17.8808</v>
      </c>
      <c r="C105" s="1" t="n">
        <f aca="false">B105*$K$1</f>
        <v>39.9993496</v>
      </c>
      <c r="D105" s="1" t="n">
        <v>17.5447385446725</v>
      </c>
      <c r="E105" s="1" t="n">
        <f aca="false">D105*$K$1</f>
        <v>39.2475801244324</v>
      </c>
      <c r="F105" s="2" t="n">
        <v>0.8</v>
      </c>
      <c r="G105" s="0" t="n">
        <f aca="false">B105*F105+5</f>
        <v>19.30464</v>
      </c>
      <c r="H105" s="3" t="n">
        <v>0</v>
      </c>
      <c r="I105" s="3" t="n">
        <v>0</v>
      </c>
      <c r="J105" s="4" t="n">
        <v>18.6247981847482</v>
      </c>
    </row>
    <row r="106" customFormat="false" ht="15" hidden="false" customHeight="false" outlineLevel="0" collapsed="false">
      <c r="A106" s="0" t="n">
        <f aca="false">A105+1</f>
        <v>104</v>
      </c>
      <c r="B106" s="1" t="n">
        <f aca="false">B105-H106*1</f>
        <v>17.8808</v>
      </c>
      <c r="C106" s="1" t="n">
        <f aca="false">B106*$K$1</f>
        <v>39.9993496</v>
      </c>
      <c r="D106" s="1" t="n">
        <v>17.5726391379382</v>
      </c>
      <c r="E106" s="1" t="n">
        <f aca="false">D106*$K$1</f>
        <v>39.3099937515678</v>
      </c>
      <c r="F106" s="2" t="n">
        <v>0.8</v>
      </c>
      <c r="G106" s="0" t="n">
        <f aca="false">B106*F106+5</f>
        <v>19.30464</v>
      </c>
      <c r="H106" s="3" t="n">
        <v>0</v>
      </c>
      <c r="I106" s="3" t="n">
        <v>0</v>
      </c>
      <c r="J106" s="4" t="n">
        <v>18.9503265632964</v>
      </c>
    </row>
    <row r="107" customFormat="false" ht="15" hidden="false" customHeight="false" outlineLevel="0" collapsed="false">
      <c r="A107" s="0" t="n">
        <f aca="false">A106+1</f>
        <v>105</v>
      </c>
      <c r="B107" s="1" t="n">
        <f aca="false">B101-H107*1</f>
        <v>16.3908</v>
      </c>
      <c r="C107" s="1" t="n">
        <f aca="false">B107*$K$1</f>
        <v>36.6662196</v>
      </c>
      <c r="D107" s="1" t="n">
        <v>17.4362917275875</v>
      </c>
      <c r="E107" s="1" t="n">
        <f aca="false">D107*$K$1</f>
        <v>39.0049845946132</v>
      </c>
      <c r="F107" s="2" t="n">
        <v>0.8</v>
      </c>
      <c r="G107" s="0" t="n">
        <f aca="false">B107*F107+5</f>
        <v>18.11264</v>
      </c>
      <c r="H107" s="3" t="n">
        <v>1.49</v>
      </c>
      <c r="I107" s="3" t="n">
        <v>0</v>
      </c>
      <c r="J107" s="4" t="n">
        <v>18.5401080117131</v>
      </c>
    </row>
    <row r="108" customFormat="false" ht="15" hidden="false" customHeight="false" outlineLevel="0" collapsed="false">
      <c r="A108" s="0" t="n">
        <f aca="false">A107+1</f>
        <v>106</v>
      </c>
      <c r="B108" s="1" t="n">
        <f aca="false">B107-H108*1</f>
        <v>14.9008</v>
      </c>
      <c r="C108" s="1" t="n">
        <f aca="false">B108*$K$1</f>
        <v>33.3330896</v>
      </c>
      <c r="D108" s="1" t="n">
        <v>16.8771113275006</v>
      </c>
      <c r="E108" s="1" t="n">
        <f aca="false">D108*$K$1</f>
        <v>37.7540980396188</v>
      </c>
      <c r="F108" s="2" t="n">
        <v>0.8</v>
      </c>
      <c r="G108" s="0" t="n">
        <f aca="false">B108*F108+5</f>
        <v>16.92064</v>
      </c>
      <c r="H108" s="3" t="n">
        <v>1.49</v>
      </c>
      <c r="I108" s="3" t="n">
        <v>0</v>
      </c>
      <c r="J108" s="4" t="n">
        <v>16.988237346812</v>
      </c>
    </row>
    <row r="109" customFormat="false" ht="15" hidden="false" customHeight="false" outlineLevel="0" collapsed="false">
      <c r="A109" s="0" t="n">
        <f aca="false">A108+1</f>
        <v>107</v>
      </c>
      <c r="B109" s="1" t="n">
        <f aca="false">B108-H109*1</f>
        <v>13.4108</v>
      </c>
      <c r="C109" s="1" t="n">
        <f aca="false">B109*$K$1</f>
        <v>29.9999596</v>
      </c>
      <c r="D109" s="1" t="n">
        <v>15.8847803302179</v>
      </c>
      <c r="E109" s="1" t="n">
        <f aca="false">D109*$K$1</f>
        <v>35.5342535986974</v>
      </c>
      <c r="F109" s="2" t="n">
        <v>0.8</v>
      </c>
      <c r="G109" s="0" t="n">
        <f aca="false">B109*F109+5</f>
        <v>15.72864</v>
      </c>
      <c r="H109" s="3" t="n">
        <v>1.49</v>
      </c>
      <c r="I109" s="3" t="n">
        <v>0</v>
      </c>
      <c r="J109" s="4" t="n">
        <v>14.7291052569378</v>
      </c>
    </row>
    <row r="110" customFormat="false" ht="15" hidden="false" customHeight="false" outlineLevel="0" collapsed="false">
      <c r="A110" s="0" t="n">
        <f aca="false">A109+1</f>
        <v>108</v>
      </c>
      <c r="B110" s="1" t="n">
        <f aca="false">B109-H110*1</f>
        <v>11.9208</v>
      </c>
      <c r="C110" s="1" t="n">
        <f aca="false">B110*$K$1</f>
        <v>26.6668296</v>
      </c>
      <c r="D110" s="1" t="n">
        <v>14.522072764244</v>
      </c>
      <c r="E110" s="1" t="n">
        <f aca="false">D110*$K$1</f>
        <v>32.4858767736138</v>
      </c>
      <c r="F110" s="2" t="n">
        <v>0.8</v>
      </c>
      <c r="G110" s="0" t="n">
        <f aca="false">B110*F110+5</f>
        <v>14.53664</v>
      </c>
      <c r="H110" s="3" t="n">
        <v>1.49</v>
      </c>
      <c r="I110" s="3" t="n">
        <v>0</v>
      </c>
      <c r="J110" s="4" t="n">
        <v>12.1676405393637</v>
      </c>
    </row>
    <row r="111" customFormat="false" ht="15" hidden="false" customHeight="false" outlineLevel="0" collapsed="false">
      <c r="A111" s="0" t="n">
        <f aca="false">A110+1</f>
        <v>109</v>
      </c>
      <c r="B111" s="1" t="n">
        <f aca="false">B110-H111*1</f>
        <v>10.4308</v>
      </c>
      <c r="C111" s="1" t="n">
        <f aca="false">B111*$K$1</f>
        <v>23.3336996</v>
      </c>
      <c r="D111" s="1" t="n">
        <v>12.8906506530684</v>
      </c>
      <c r="E111" s="1" t="n">
        <f aca="false">D111*$K$1</f>
        <v>28.836385510914</v>
      </c>
      <c r="F111" s="2" t="n">
        <v>0.8</v>
      </c>
      <c r="G111" s="0" t="n">
        <f aca="false">B111*F111+5</f>
        <v>13.34464</v>
      </c>
      <c r="H111" s="3" t="n">
        <v>1.49</v>
      </c>
      <c r="I111" s="3" t="n">
        <v>0</v>
      </c>
      <c r="J111" s="4" t="n">
        <v>9.62387743298518</v>
      </c>
    </row>
    <row r="112" customFormat="false" ht="15" hidden="false" customHeight="false" outlineLevel="0" collapsed="false">
      <c r="A112" s="0" t="n">
        <f aca="false">A111+1</f>
        <v>110</v>
      </c>
      <c r="B112" s="1" t="n">
        <f aca="false">B111-H112*1</f>
        <v>8.9408</v>
      </c>
      <c r="C112" s="1" t="n">
        <f aca="false">B112*$K$1</f>
        <v>20.0005696</v>
      </c>
      <c r="D112" s="1" t="n">
        <v>11.1018833285958</v>
      </c>
      <c r="E112" s="1" t="n">
        <f aca="false">D112*$K$1</f>
        <v>24.8349130060688</v>
      </c>
      <c r="F112" s="2" t="n">
        <v>0.8</v>
      </c>
      <c r="G112" s="0" t="n">
        <f aca="false">B112*F112+5</f>
        <v>12.15264</v>
      </c>
      <c r="H112" s="3" t="n">
        <v>1.49</v>
      </c>
      <c r="I112" s="3" t="n">
        <v>0</v>
      </c>
      <c r="J112" s="4" t="n">
        <v>7.30946200402536</v>
      </c>
    </row>
    <row r="113" customFormat="false" ht="15" hidden="false" customHeight="false" outlineLevel="0" collapsed="false">
      <c r="A113" s="0" t="n">
        <f aca="false">A112+1</f>
        <v>111</v>
      </c>
      <c r="B113" s="1" t="n">
        <f aca="false">B112-H113*1</f>
        <v>8.9408</v>
      </c>
      <c r="C113" s="1" t="n">
        <f aca="false">B113*$K$1</f>
        <v>20.0005696</v>
      </c>
      <c r="D113" s="1" t="n">
        <v>9.46035475514843</v>
      </c>
      <c r="E113" s="1" t="n">
        <f aca="false">D113*$K$1</f>
        <v>21.162813587267</v>
      </c>
      <c r="F113" s="2" t="n">
        <v>0.8</v>
      </c>
      <c r="G113" s="0" t="n">
        <f aca="false">B113*F113+5</f>
        <v>12.15264</v>
      </c>
      <c r="H113" s="3" t="n">
        <v>0</v>
      </c>
      <c r="I113" s="3" t="n">
        <v>0</v>
      </c>
      <c r="J113" s="4" t="n">
        <v>6.01474465632396</v>
      </c>
    </row>
    <row r="114" customFormat="false" ht="15" hidden="false" customHeight="false" outlineLevel="0" collapsed="false">
      <c r="A114" s="0" t="n">
        <f aca="false">A113+1</f>
        <v>112</v>
      </c>
      <c r="B114" s="1" t="n">
        <f aca="false">B113-H114*1</f>
        <v>8.9408</v>
      </c>
      <c r="C114" s="1" t="n">
        <f aca="false">B114*$K$1</f>
        <v>20.0005696</v>
      </c>
      <c r="D114" s="1" t="n">
        <v>8.27657523953853</v>
      </c>
      <c r="E114" s="1" t="n">
        <f aca="false">D114*$K$1</f>
        <v>18.5146988108477</v>
      </c>
      <c r="F114" s="2" t="n">
        <v>0.8</v>
      </c>
      <c r="G114" s="0" t="n">
        <f aca="false">B114*F114+5</f>
        <v>12.15264</v>
      </c>
      <c r="H114" s="3" t="n">
        <v>0</v>
      </c>
      <c r="I114" s="3" t="n">
        <v>0</v>
      </c>
      <c r="J114" s="4" t="n">
        <v>6.13451548035823</v>
      </c>
    </row>
    <row r="115" customFormat="false" ht="15" hidden="false" customHeight="false" outlineLevel="0" collapsed="false">
      <c r="A115" s="0" t="n">
        <f aca="false">A114+1</f>
        <v>113</v>
      </c>
      <c r="B115" s="1" t="n">
        <f aca="false">B114-H115*1</f>
        <v>8.9408</v>
      </c>
      <c r="C115" s="1" t="n">
        <f aca="false">B115*$K$1</f>
        <v>20.0005696</v>
      </c>
      <c r="D115" s="1" t="n">
        <v>7.59004628564847</v>
      </c>
      <c r="E115" s="1" t="n">
        <f aca="false">D115*$K$1</f>
        <v>16.9789335409956</v>
      </c>
      <c r="F115" s="2" t="n">
        <v>0.8</v>
      </c>
      <c r="G115" s="0" t="n">
        <f aca="false">B115*F115+5</f>
        <v>12.15264</v>
      </c>
      <c r="H115" s="3" t="n">
        <v>0</v>
      </c>
      <c r="I115" s="3" t="n">
        <v>0</v>
      </c>
      <c r="J115" s="4" t="n">
        <v>7.18303791536005</v>
      </c>
    </row>
    <row r="116" customFormat="false" ht="15" hidden="false" customHeight="false" outlineLevel="0" collapsed="false">
      <c r="A116" s="0" t="n">
        <f aca="false">A115+1</f>
        <v>114</v>
      </c>
      <c r="B116" s="1" t="n">
        <f aca="false">B115-H116*1</f>
        <v>8.9408</v>
      </c>
      <c r="C116" s="1" t="n">
        <f aca="false">B116*$K$1</f>
        <v>20.0005696</v>
      </c>
      <c r="D116" s="1" t="n">
        <v>7.34724058881694</v>
      </c>
      <c r="E116" s="1" t="n">
        <f aca="false">D116*$K$1</f>
        <v>16.4357771971835</v>
      </c>
      <c r="F116" s="2" t="n">
        <v>0.8</v>
      </c>
      <c r="G116" s="0" t="n">
        <f aca="false">B116*F116+5</f>
        <v>12.15264</v>
      </c>
      <c r="H116" s="3" t="n">
        <v>0</v>
      </c>
      <c r="I116" s="3" t="n">
        <v>0</v>
      </c>
      <c r="J116" s="4" t="n">
        <v>8.68533470941452</v>
      </c>
    </row>
    <row r="117" customFormat="false" ht="15" hidden="false" customHeight="false" outlineLevel="0" collapsed="false">
      <c r="A117" s="0" t="n">
        <f aca="false">A116+1</f>
        <v>115</v>
      </c>
      <c r="B117" s="1" t="n">
        <f aca="false">B116-H117*1</f>
        <v>8.9408</v>
      </c>
      <c r="C117" s="1" t="n">
        <f aca="false">B117*$K$1</f>
        <v>20.0005696</v>
      </c>
      <c r="D117" s="1" t="n">
        <v>7.440892818162</v>
      </c>
      <c r="E117" s="1" t="n">
        <f aca="false">D117*$K$1</f>
        <v>16.6452772342284</v>
      </c>
      <c r="F117" s="2" t="n">
        <v>0.8</v>
      </c>
      <c r="G117" s="0" t="n">
        <f aca="false">B117*F117+5</f>
        <v>12.15264</v>
      </c>
      <c r="H117" s="3" t="n">
        <v>0</v>
      </c>
      <c r="I117" s="3" t="n">
        <v>0</v>
      </c>
      <c r="J117" s="4" t="n">
        <v>10.2500583008039</v>
      </c>
    </row>
    <row r="118" customFormat="false" ht="15" hidden="false" customHeight="false" outlineLevel="0" collapsed="false">
      <c r="A118" s="0" t="n">
        <f aca="false">A117+1</f>
        <v>116</v>
      </c>
      <c r="B118" s="1" t="n">
        <f aca="false">B117-H118*1</f>
        <v>8.9408</v>
      </c>
      <c r="C118" s="1" t="n">
        <f aca="false">B118*$K$1</f>
        <v>20.0005696</v>
      </c>
      <c r="D118" s="1" t="n">
        <v>7.74497902335209</v>
      </c>
      <c r="E118" s="1" t="n">
        <f aca="false">D118*$K$1</f>
        <v>17.3255180752386</v>
      </c>
      <c r="F118" s="2" t="n">
        <v>0.8</v>
      </c>
      <c r="G118" s="0" t="n">
        <f aca="false">B118*F118+5</f>
        <v>12.15264</v>
      </c>
      <c r="H118" s="3" t="n">
        <v>0</v>
      </c>
      <c r="I118" s="3" t="n">
        <v>0</v>
      </c>
      <c r="J118" s="4" t="n">
        <v>11.6048750789923</v>
      </c>
    </row>
    <row r="119" customFormat="false" ht="15" hidden="false" customHeight="false" outlineLevel="0" collapsed="false">
      <c r="A119" s="0" t="n">
        <f aca="false">A118+1</f>
        <v>117</v>
      </c>
      <c r="B119" s="1" t="n">
        <f aca="false">B118-H119*1</f>
        <v>8.9408</v>
      </c>
      <c r="C119" s="1" t="n">
        <f aca="false">B119*$K$1</f>
        <v>20.0005696</v>
      </c>
      <c r="D119" s="1" t="n">
        <v>8.14117866378463</v>
      </c>
      <c r="E119" s="1" t="n">
        <f aca="false">D119*$K$1</f>
        <v>18.2118166708862</v>
      </c>
      <c r="F119" s="2" t="n">
        <v>0.8</v>
      </c>
      <c r="G119" s="0" t="n">
        <f aca="false">B119*F119+5</f>
        <v>12.15264</v>
      </c>
      <c r="H119" s="3" t="n">
        <v>0</v>
      </c>
      <c r="I119" s="3" t="n">
        <v>0</v>
      </c>
      <c r="J119" s="4" t="n">
        <v>12.6010326802871</v>
      </c>
    </row>
    <row r="120" customFormat="false" ht="15" hidden="false" customHeight="false" outlineLevel="0" collapsed="false">
      <c r="A120" s="0" t="n">
        <f aca="false">A119+1</f>
        <v>118</v>
      </c>
      <c r="B120" s="1" t="n">
        <f aca="false">B119-H120*1</f>
        <v>8.9408</v>
      </c>
      <c r="C120" s="1" t="n">
        <f aca="false">B120*$K$1</f>
        <v>20.0005696</v>
      </c>
      <c r="D120" s="1" t="n">
        <v>8.53537065555451</v>
      </c>
      <c r="E120" s="1" t="n">
        <f aca="false">D120*$K$1</f>
        <v>19.0936241564754</v>
      </c>
      <c r="F120" s="2" t="n">
        <v>0.8</v>
      </c>
      <c r="G120" s="0" t="n">
        <f aca="false">B120*F120+5</f>
        <v>12.15264</v>
      </c>
      <c r="H120" s="3" t="n">
        <v>0</v>
      </c>
      <c r="I120" s="3" t="n">
        <v>0</v>
      </c>
      <c r="J120" s="4" t="n">
        <v>13.1965382413932</v>
      </c>
    </row>
    <row r="121" customFormat="false" ht="15" hidden="false" customHeight="false" outlineLevel="0" collapsed="false">
      <c r="A121" s="0" t="n">
        <f aca="false">A120+1</f>
        <v>119</v>
      </c>
      <c r="B121" s="1" t="n">
        <f aca="false">B120-H121*1</f>
        <v>8.9408</v>
      </c>
      <c r="C121" s="1" t="n">
        <f aca="false">B121*$K$1</f>
        <v>20.0005696</v>
      </c>
      <c r="D121" s="1" t="n">
        <v>8.86479596501156</v>
      </c>
      <c r="E121" s="1" t="n">
        <f aca="false">D121*$K$1</f>
        <v>19.8305485737309</v>
      </c>
      <c r="F121" s="2" t="n">
        <v>0.8</v>
      </c>
      <c r="G121" s="0" t="n">
        <f aca="false">B121*F121+5</f>
        <v>12.15264</v>
      </c>
      <c r="H121" s="3" t="n">
        <v>0</v>
      </c>
      <c r="I121" s="3" t="n">
        <v>0</v>
      </c>
      <c r="J121" s="4" t="n">
        <v>13.4277076737326</v>
      </c>
    </row>
    <row r="122" customFormat="false" ht="15" hidden="false" customHeight="false" outlineLevel="0" collapsed="false">
      <c r="A122" s="0" t="n">
        <f aca="false">A121+1</f>
        <v>120</v>
      </c>
      <c r="B122" s="1" t="n">
        <f aca="false">B121-H122*1</f>
        <v>8.9408</v>
      </c>
      <c r="C122" s="1" t="n">
        <f aca="false">B122*$K$1</f>
        <v>20.0005696</v>
      </c>
      <c r="D122" s="1" t="n">
        <v>9.09781233271245</v>
      </c>
      <c r="E122" s="1" t="n">
        <f aca="false">D122*$K$1</f>
        <v>20.3518061882778</v>
      </c>
      <c r="F122" s="2" t="n">
        <v>0.8</v>
      </c>
      <c r="G122" s="0" t="n">
        <f aca="false">B122*F122+5</f>
        <v>12.15264</v>
      </c>
      <c r="H122" s="3" t="n">
        <v>0</v>
      </c>
      <c r="I122" s="3" t="n">
        <v>0</v>
      </c>
      <c r="J122" s="4" t="n">
        <v>13.3774983431001</v>
      </c>
    </row>
    <row r="123" customFormat="false" ht="15" hidden="false" customHeight="false" outlineLevel="0" collapsed="false">
      <c r="A123" s="0" t="n">
        <f aca="false">A122+1</f>
        <v>121</v>
      </c>
      <c r="B123" s="1" t="n">
        <f aca="false">B122-H123*1</f>
        <v>8.9408</v>
      </c>
      <c r="C123" s="1" t="n">
        <f aca="false">B123*$K$1</f>
        <v>20.0005696</v>
      </c>
      <c r="D123" s="1" t="n">
        <v>9.22872354073517</v>
      </c>
      <c r="E123" s="1" t="n">
        <f aca="false">D123*$K$1</f>
        <v>20.6446545606246</v>
      </c>
      <c r="F123" s="2" t="n">
        <v>0.8</v>
      </c>
      <c r="G123" s="0" t="n">
        <f aca="false">B123*F123+5</f>
        <v>12.15264</v>
      </c>
      <c r="H123" s="3" t="n">
        <v>0</v>
      </c>
      <c r="I123" s="3" t="n">
        <v>0</v>
      </c>
      <c r="J123" s="4" t="n">
        <v>13.1467808360796</v>
      </c>
    </row>
    <row r="124" customFormat="false" ht="15" hidden="false" customHeight="false" outlineLevel="0" collapsed="false">
      <c r="A124" s="0" t="n">
        <f aca="false">A123+1</f>
        <v>122</v>
      </c>
      <c r="B124" s="1" t="n">
        <f aca="false">B123-H124*1</f>
        <v>8.9408</v>
      </c>
      <c r="C124" s="1" t="n">
        <f aca="false">B124*$K$1</f>
        <v>20.0005696</v>
      </c>
      <c r="D124" s="1" t="n">
        <v>9.27013944293613</v>
      </c>
      <c r="E124" s="1" t="n">
        <f aca="false">D124*$K$1</f>
        <v>20.7373019338481</v>
      </c>
      <c r="F124" s="2" t="n">
        <v>0.8</v>
      </c>
      <c r="G124" s="0" t="n">
        <f aca="false">B124*F124+5</f>
        <v>12.15264</v>
      </c>
      <c r="H124" s="3" t="n">
        <v>0</v>
      </c>
      <c r="I124" s="3" t="n">
        <v>0</v>
      </c>
      <c r="J124" s="4" t="n">
        <v>12.8322026213029</v>
      </c>
    </row>
    <row r="125" customFormat="false" ht="15" hidden="false" customHeight="false" outlineLevel="0" collapsed="false">
      <c r="A125" s="0" t="n">
        <f aca="false">A124+1</f>
        <v>123</v>
      </c>
      <c r="B125" s="1" t="n">
        <f aca="false">B124-H125*1</f>
        <v>8.9408</v>
      </c>
      <c r="C125" s="1" t="n">
        <f aca="false">B125*$K$1</f>
        <v>20.0005696</v>
      </c>
      <c r="D125" s="1" t="n">
        <v>9.24491024390333</v>
      </c>
      <c r="E125" s="1" t="n">
        <f aca="false">D125*$K$1</f>
        <v>20.6808642156118</v>
      </c>
      <c r="F125" s="2" t="n">
        <v>0.8</v>
      </c>
      <c r="G125" s="0" t="n">
        <f aca="false">B125*F125+5</f>
        <v>12.15264</v>
      </c>
      <c r="H125" s="3" t="n">
        <v>0</v>
      </c>
      <c r="I125" s="3" t="n">
        <v>0</v>
      </c>
      <c r="J125" s="4" t="n">
        <v>12.5120312360607</v>
      </c>
    </row>
    <row r="126" customFormat="false" ht="15" hidden="false" customHeight="false" outlineLevel="0" collapsed="false">
      <c r="A126" s="0" t="n">
        <f aca="false">A125+1</f>
        <v>124</v>
      </c>
      <c r="B126" s="1" t="n">
        <f aca="false">B120+H126*1</f>
        <v>10.9408</v>
      </c>
      <c r="C126" s="1" t="n">
        <f aca="false">B126*$K$1</f>
        <v>24.4745696</v>
      </c>
      <c r="D126" s="1" t="n">
        <v>9.45373978148801</v>
      </c>
      <c r="E126" s="1" t="n">
        <f aca="false">D126*$K$1</f>
        <v>21.1480158911887</v>
      </c>
      <c r="F126" s="2" t="n">
        <v>0.8</v>
      </c>
      <c r="G126" s="0" t="n">
        <f aca="false">B126*F126+5</f>
        <v>13.75264</v>
      </c>
      <c r="H126" s="3" t="n">
        <v>2</v>
      </c>
      <c r="I126" s="3" t="n">
        <v>0</v>
      </c>
      <c r="J126" s="4" t="n">
        <v>13.1596232021057</v>
      </c>
    </row>
    <row r="127" customFormat="false" ht="15" hidden="false" customHeight="false" outlineLevel="0" collapsed="false">
      <c r="A127" s="0" t="n">
        <f aca="false">A126+1</f>
        <v>125</v>
      </c>
      <c r="B127" s="1" t="n">
        <f aca="false">B126+H127*1</f>
        <v>12.9408</v>
      </c>
      <c r="C127" s="1" t="n">
        <f aca="false">B127*$K$1</f>
        <v>28.9485696</v>
      </c>
      <c r="D127" s="1" t="n">
        <v>10.2350867778343</v>
      </c>
      <c r="E127" s="1" t="n">
        <f aca="false">D127*$K$1</f>
        <v>22.8958891220153</v>
      </c>
      <c r="F127" s="2" t="n">
        <v>0.8</v>
      </c>
      <c r="G127" s="0" t="n">
        <f aca="false">B127*F127+5</f>
        <v>15.35264</v>
      </c>
      <c r="H127" s="3" t="n">
        <v>2</v>
      </c>
      <c r="I127" s="3" t="n">
        <v>0</v>
      </c>
      <c r="J127" s="4" t="n">
        <v>15.3107524312761</v>
      </c>
    </row>
    <row r="128" customFormat="false" ht="15" hidden="false" customHeight="false" outlineLevel="0" collapsed="false">
      <c r="A128" s="0" t="n">
        <f aca="false">A127+1</f>
        <v>126</v>
      </c>
      <c r="B128" s="1" t="n">
        <f aca="false">B127+H128*1</f>
        <v>14.9408</v>
      </c>
      <c r="C128" s="1" t="n">
        <f aca="false">B128*$K$1</f>
        <v>33.4225696</v>
      </c>
      <c r="D128" s="1" t="n">
        <v>11.5962154253517</v>
      </c>
      <c r="E128" s="1" t="n">
        <f aca="false">D128*$K$1</f>
        <v>25.9407339065118</v>
      </c>
      <c r="F128" s="2" t="n">
        <v>0.8</v>
      </c>
      <c r="G128" s="0" t="n">
        <f aca="false">B128*F128+5</f>
        <v>16.95264</v>
      </c>
      <c r="H128" s="3" t="n">
        <v>2</v>
      </c>
      <c r="I128" s="3" t="n">
        <v>0</v>
      </c>
      <c r="J128" s="4" t="n">
        <v>18.3809151768171</v>
      </c>
    </row>
    <row r="129" customFormat="false" ht="15" hidden="false" customHeight="false" outlineLevel="0" collapsed="false">
      <c r="A129" s="0" t="n">
        <f aca="false">A128+1</f>
        <v>127</v>
      </c>
      <c r="B129" s="1" t="n">
        <f aca="false">B128+H129*1</f>
        <v>16.9408</v>
      </c>
      <c r="C129" s="1" t="n">
        <f aca="false">B129*$K$1</f>
        <v>37.8965696</v>
      </c>
      <c r="D129" s="1" t="n">
        <v>13.4487139215646</v>
      </c>
      <c r="E129" s="1" t="n">
        <f aca="false">D129*$K$1</f>
        <v>30.08477304254</v>
      </c>
      <c r="F129" s="2" t="n">
        <v>0.8</v>
      </c>
      <c r="G129" s="0" t="n">
        <f aca="false">B129*F129+5</f>
        <v>18.55264</v>
      </c>
      <c r="H129" s="3" t="n">
        <v>2</v>
      </c>
      <c r="I129" s="3" t="n">
        <v>0</v>
      </c>
      <c r="J129" s="4" t="n">
        <v>21.8305017573807</v>
      </c>
    </row>
    <row r="130" customFormat="false" ht="15" hidden="false" customHeight="false" outlineLevel="0" collapsed="false">
      <c r="A130" s="0" t="n">
        <f aca="false">A129+1</f>
        <v>128</v>
      </c>
      <c r="B130" s="1" t="n">
        <f aca="false">B129+H130*1</f>
        <v>18.9408</v>
      </c>
      <c r="C130" s="1" t="n">
        <f aca="false">B130*$K$1</f>
        <v>42.3705696</v>
      </c>
      <c r="D130" s="1" t="n">
        <v>15.6542707627569</v>
      </c>
      <c r="E130" s="1" t="n">
        <f aca="false">D130*$K$1</f>
        <v>35.0186036962872</v>
      </c>
      <c r="F130" s="2" t="n">
        <v>0.8</v>
      </c>
      <c r="G130" s="0" t="n">
        <f aca="false">B130*F130+5</f>
        <v>20.15264</v>
      </c>
      <c r="H130" s="3" t="n">
        <v>2</v>
      </c>
      <c r="I130" s="3" t="n">
        <v>0</v>
      </c>
      <c r="J130" s="4" t="n">
        <v>25.2368086939666</v>
      </c>
    </row>
    <row r="131" customFormat="false" ht="15" hidden="false" customHeight="false" outlineLevel="0" collapsed="false">
      <c r="A131" s="0" t="n">
        <f aca="false">A130+1</f>
        <v>129</v>
      </c>
      <c r="B131" s="1" t="n">
        <f aca="false">B130+H131*1</f>
        <v>18.9408</v>
      </c>
      <c r="C131" s="1" t="n">
        <f aca="false">B131*$K$1</f>
        <v>42.3705696</v>
      </c>
      <c r="D131" s="1" t="n">
        <v>17.7887166740458</v>
      </c>
      <c r="E131" s="1" t="n">
        <f aca="false">D131*$K$1</f>
        <v>39.7933591998405</v>
      </c>
      <c r="F131" s="2" t="n">
        <v>0.8</v>
      </c>
      <c r="G131" s="0" t="n">
        <f aca="false">B131*F131+5</f>
        <v>20.15264</v>
      </c>
      <c r="H131" s="3" t="n">
        <v>0</v>
      </c>
      <c r="I131" s="3" t="n">
        <v>0</v>
      </c>
      <c r="J131" s="4" t="n">
        <v>27.4034939353692</v>
      </c>
    </row>
    <row r="132" customFormat="false" ht="15" hidden="false" customHeight="false" outlineLevel="0" collapsed="false">
      <c r="A132" s="0" t="n">
        <f aca="false">A131+1</f>
        <v>130</v>
      </c>
      <c r="B132" s="1" t="n">
        <f aca="false">B131+H132*1</f>
        <v>18.9408</v>
      </c>
      <c r="C132" s="1" t="n">
        <f aca="false">B132*$K$1</f>
        <v>42.3705696</v>
      </c>
      <c r="D132" s="1" t="n">
        <v>19.4046271621432</v>
      </c>
      <c r="E132" s="1" t="n">
        <f aca="false">D132*$K$1</f>
        <v>43.4081509617143</v>
      </c>
      <c r="F132" s="2" t="n">
        <v>0.8</v>
      </c>
      <c r="G132" s="0" t="n">
        <f aca="false">B132*F132+5</f>
        <v>20.15264</v>
      </c>
      <c r="H132" s="3" t="n">
        <v>0</v>
      </c>
      <c r="I132" s="3" t="n">
        <v>0</v>
      </c>
      <c r="J132" s="4" t="n">
        <v>27.6890726995609</v>
      </c>
    </row>
    <row r="133" customFormat="false" ht="15" hidden="false" customHeight="false" outlineLevel="0" collapsed="false">
      <c r="A133" s="0" t="n">
        <f aca="false">A132+1</f>
        <v>131</v>
      </c>
      <c r="B133" s="1" t="n">
        <f aca="false">B132+H133*1</f>
        <v>18.9408</v>
      </c>
      <c r="C133" s="1" t="n">
        <f aca="false">B133*$K$1</f>
        <v>42.3705696</v>
      </c>
      <c r="D133" s="1" t="n">
        <v>20.4130216436344</v>
      </c>
      <c r="E133" s="1" t="n">
        <f aca="false">D133*$K$1</f>
        <v>45.6639294168102</v>
      </c>
      <c r="F133" s="2" t="n">
        <v>0.8</v>
      </c>
      <c r="G133" s="0" t="n">
        <f aca="false">B133*F133+5</f>
        <v>20.15264</v>
      </c>
      <c r="H133" s="3" t="n">
        <v>0</v>
      </c>
      <c r="I133" s="3" t="n">
        <v>0</v>
      </c>
      <c r="J133" s="4" t="n">
        <v>26.6679456502989</v>
      </c>
    </row>
    <row r="134" customFormat="false" ht="15" hidden="false" customHeight="false" outlineLevel="0" collapsed="false">
      <c r="A134" s="0" t="n">
        <f aca="false">A133+1</f>
        <v>132</v>
      </c>
      <c r="B134" s="1" t="n">
        <f aca="false">B133+H134*1</f>
        <v>18.9408</v>
      </c>
      <c r="C134" s="1" t="n">
        <f aca="false">B134*$K$1</f>
        <v>42.3705696</v>
      </c>
      <c r="D134" s="1" t="n">
        <v>20.8520059294535</v>
      </c>
      <c r="E134" s="1" t="n">
        <f aca="false">D134*$K$1</f>
        <v>46.6459372641875</v>
      </c>
      <c r="F134" s="2" t="n">
        <v>0.8</v>
      </c>
      <c r="G134" s="0" t="n">
        <f aca="false">B134*F134+5</f>
        <v>20.15264</v>
      </c>
      <c r="H134" s="3" t="n">
        <v>0</v>
      </c>
      <c r="I134" s="3" t="n">
        <v>0</v>
      </c>
      <c r="J134" s="4" t="n">
        <v>24.935323323323</v>
      </c>
    </row>
    <row r="135" customFormat="false" ht="15" hidden="false" customHeight="false" outlineLevel="0" collapsed="false">
      <c r="A135" s="0" t="n">
        <f aca="false">A134+1</f>
        <v>133</v>
      </c>
      <c r="B135" s="1" t="n">
        <f aca="false">B134+H135*1</f>
        <v>18.9408</v>
      </c>
      <c r="C135" s="1" t="n">
        <f aca="false">B135*$K$1</f>
        <v>42.3705696</v>
      </c>
      <c r="D135" s="1" t="n">
        <v>20.8387311545882</v>
      </c>
      <c r="E135" s="1" t="n">
        <f aca="false">D135*$K$1</f>
        <v>46.6162415928138</v>
      </c>
      <c r="F135" s="2" t="n">
        <v>0.8</v>
      </c>
      <c r="G135" s="0" t="n">
        <f aca="false">B135*F135+5</f>
        <v>20.15264</v>
      </c>
      <c r="H135" s="3" t="n">
        <v>0</v>
      </c>
      <c r="I135" s="3" t="n">
        <v>0</v>
      </c>
      <c r="J135" s="4" t="n">
        <v>23.0046007312687</v>
      </c>
    </row>
    <row r="136" customFormat="false" ht="15" hidden="false" customHeight="false" outlineLevel="0" collapsed="false">
      <c r="A136" s="0" t="n">
        <f aca="false">A135+1</f>
        <v>134</v>
      </c>
      <c r="B136" s="1" t="n">
        <f aca="false">B135+H136*1</f>
        <v>18.9408</v>
      </c>
      <c r="C136" s="1" t="n">
        <f aca="false">B136*$K$1</f>
        <v>42.3705696</v>
      </c>
      <c r="D136" s="1" t="n">
        <v>20.5244780708292</v>
      </c>
      <c r="E136" s="1" t="n">
        <f aca="false">D136*$K$1</f>
        <v>45.9132574444449</v>
      </c>
      <c r="F136" s="2" t="n">
        <v>0.8</v>
      </c>
      <c r="G136" s="0" t="n">
        <f aca="false">B136*F136+5</f>
        <v>20.15264</v>
      </c>
      <c r="H136" s="3" t="n">
        <v>0</v>
      </c>
      <c r="I136" s="3" t="n">
        <v>0</v>
      </c>
      <c r="J136" s="4" t="n">
        <v>21.251738751919</v>
      </c>
    </row>
    <row r="137" customFormat="false" ht="15" hidden="false" customHeight="false" outlineLevel="0" collapsed="false">
      <c r="A137" s="0" t="n">
        <f aca="false">A136+1</f>
        <v>135</v>
      </c>
      <c r="B137" s="1" t="n">
        <f aca="false">B136+H137*1</f>
        <v>18.9408</v>
      </c>
      <c r="C137" s="1" t="n">
        <f aca="false">B137*$K$1</f>
        <v>42.3705696</v>
      </c>
      <c r="D137" s="1" t="n">
        <v>20.0590624655187</v>
      </c>
      <c r="E137" s="1" t="n">
        <f aca="false">D137*$K$1</f>
        <v>44.8721227353653</v>
      </c>
      <c r="F137" s="2" t="n">
        <v>0.8</v>
      </c>
      <c r="G137" s="0" t="n">
        <f aca="false">B137*F137+5</f>
        <v>20.15264</v>
      </c>
      <c r="H137" s="3" t="n">
        <v>0</v>
      </c>
      <c r="I137" s="3" t="n">
        <v>0</v>
      </c>
      <c r="J137" s="4" t="n">
        <v>19.900098923895</v>
      </c>
    </row>
    <row r="138" customFormat="false" ht="15" hidden="false" customHeight="false" outlineLevel="0" collapsed="false">
      <c r="A138" s="0" t="n">
        <f aca="false">A137+1</f>
        <v>136</v>
      </c>
      <c r="B138" s="1" t="n">
        <f aca="false">B137+H138*1</f>
        <v>18.9408</v>
      </c>
      <c r="C138" s="1" t="n">
        <f aca="false">B138*$K$1</f>
        <v>42.3705696</v>
      </c>
      <c r="D138" s="1" t="n">
        <v>19.5672145787072</v>
      </c>
      <c r="E138" s="1" t="n">
        <f aca="false">D138*$K$1</f>
        <v>43.771859012568</v>
      </c>
      <c r="F138" s="2" t="n">
        <v>0.8</v>
      </c>
      <c r="G138" s="0" t="n">
        <f aca="false">B138*F138+5</f>
        <v>20.15264</v>
      </c>
      <c r="H138" s="3" t="n">
        <v>0</v>
      </c>
      <c r="I138" s="3" t="n">
        <v>0</v>
      </c>
      <c r="J138" s="4" t="n">
        <v>19.0348309278461</v>
      </c>
    </row>
    <row r="139" customFormat="false" ht="15" hidden="false" customHeight="false" outlineLevel="0" collapsed="false">
      <c r="A139" s="0" t="n">
        <f aca="false">A138+1</f>
        <v>137</v>
      </c>
      <c r="B139" s="1" t="n">
        <f aca="false">B138+H139*1</f>
        <v>18.9408</v>
      </c>
      <c r="C139" s="1" t="n">
        <f aca="false">B139*$K$1</f>
        <v>42.3705696</v>
      </c>
      <c r="D139" s="1" t="n">
        <v>19.136784049461</v>
      </c>
      <c r="E139" s="1" t="n">
        <f aca="false">D139*$K$1</f>
        <v>42.8089859186443</v>
      </c>
      <c r="F139" s="2" t="n">
        <v>0.8</v>
      </c>
      <c r="G139" s="0" t="n">
        <f aca="false">B139*F139+5</f>
        <v>20.15264</v>
      </c>
      <c r="H139" s="3" t="n">
        <v>0</v>
      </c>
      <c r="I139" s="3" t="n">
        <v>0</v>
      </c>
      <c r="J139" s="4" t="n">
        <v>18.6347521483251</v>
      </c>
    </row>
    <row r="140" customFormat="false" ht="15" hidden="false" customHeight="false" outlineLevel="0" collapsed="false">
      <c r="A140" s="0" t="n">
        <f aca="false">A139+1</f>
        <v>138</v>
      </c>
      <c r="B140" s="1" t="n">
        <f aca="false">B139+H140*1</f>
        <v>18.9408</v>
      </c>
      <c r="C140" s="1" t="n">
        <f aca="false">B140*$K$1</f>
        <v>42.3705696</v>
      </c>
      <c r="D140" s="1" t="n">
        <v>18.8167682876797</v>
      </c>
      <c r="E140" s="1" t="n">
        <f aca="false">D140*$K$1</f>
        <v>42.0931106595395</v>
      </c>
      <c r="F140" s="2" t="n">
        <v>0.8</v>
      </c>
      <c r="G140" s="0" t="n">
        <f aca="false">B140*F140+5</f>
        <v>20.15264</v>
      </c>
      <c r="H140" s="3" t="n">
        <v>0</v>
      </c>
      <c r="I140" s="3" t="n">
        <v>0</v>
      </c>
      <c r="J140" s="4" t="n">
        <v>18.6108217495646</v>
      </c>
    </row>
    <row r="141" customFormat="false" ht="15" hidden="false" customHeight="false" outlineLevel="0" collapsed="false">
      <c r="A141" s="0" t="n">
        <f aca="false">A140+1</f>
        <v>139</v>
      </c>
      <c r="B141" s="1" t="n">
        <f aca="false">B140+H141*1</f>
        <v>18.9408</v>
      </c>
      <c r="C141" s="1" t="n">
        <f aca="false">B141*$K$1</f>
        <v>42.3705696</v>
      </c>
      <c r="D141" s="1" t="n">
        <v>18.6222419370547</v>
      </c>
      <c r="E141" s="1" t="n">
        <f aca="false">D141*$K$1</f>
        <v>41.6579552131914</v>
      </c>
      <c r="F141" s="2" t="n">
        <v>0.8</v>
      </c>
      <c r="G141" s="0" t="n">
        <f aca="false">B141*F141+5</f>
        <v>20.15264</v>
      </c>
      <c r="H141" s="3" t="n">
        <v>0</v>
      </c>
      <c r="I141" s="3" t="n">
        <v>0</v>
      </c>
      <c r="J141" s="4" t="n">
        <v>18.8428444897099</v>
      </c>
    </row>
    <row r="142" customFormat="false" ht="15" hidden="false" customHeight="false" outlineLevel="0" collapsed="false">
      <c r="A142" s="0" t="n">
        <f aca="false">A141+1</f>
        <v>140</v>
      </c>
      <c r="B142" s="1" t="n">
        <f aca="false">B141+H142*1</f>
        <v>18.9408</v>
      </c>
      <c r="C142" s="1" t="n">
        <f aca="false">B142*$K$1</f>
        <v>42.3705696</v>
      </c>
      <c r="D142" s="1" t="n">
        <v>18.5431185068519</v>
      </c>
      <c r="E142" s="1" t="n">
        <f aca="false">D142*$K$1</f>
        <v>41.4809560998277</v>
      </c>
      <c r="F142" s="2" t="n">
        <v>0.8</v>
      </c>
      <c r="G142" s="0" t="n">
        <f aca="false">B142*F142+5</f>
        <v>20.15264</v>
      </c>
      <c r="H142" s="3" t="n">
        <v>0</v>
      </c>
      <c r="I142" s="3" t="n">
        <v>0</v>
      </c>
      <c r="J142" s="4" t="n">
        <v>19.2090828305384</v>
      </c>
    </row>
    <row r="143" customFormat="false" ht="15" hidden="false" customHeight="false" outlineLevel="0" collapsed="false">
      <c r="A143" s="0" t="n">
        <f aca="false">A142+1</f>
        <v>141</v>
      </c>
      <c r="B143" s="1" t="n">
        <f aca="false">B142+H143*1</f>
        <v>18.9408</v>
      </c>
      <c r="C143" s="1" t="n">
        <f aca="false">B143*$K$1</f>
        <v>42.3705696</v>
      </c>
      <c r="D143" s="1" t="n">
        <v>18.5540707591958</v>
      </c>
      <c r="E143" s="1" t="n">
        <f aca="false">D143*$K$1</f>
        <v>41.505456288321</v>
      </c>
      <c r="F143" s="2" t="n">
        <v>0.8</v>
      </c>
      <c r="G143" s="0" t="n">
        <f aca="false">B143*F143+5</f>
        <v>20.15264</v>
      </c>
      <c r="H143" s="3" t="n">
        <v>0</v>
      </c>
      <c r="I143" s="3" t="n">
        <v>0</v>
      </c>
      <c r="J143" s="4" t="n">
        <v>19.6063517697894</v>
      </c>
    </row>
    <row r="144" customFormat="false" ht="15" hidden="false" customHeight="false" outlineLevel="0" collapsed="false">
      <c r="A144" s="0" t="n">
        <f aca="false">A143+1</f>
        <v>142</v>
      </c>
      <c r="B144" s="1" t="n">
        <f aca="false">B138-H144*1</f>
        <v>16.9408</v>
      </c>
      <c r="C144" s="1" t="n">
        <f aca="false">B144*$K$1</f>
        <v>37.8965696</v>
      </c>
      <c r="D144" s="1" t="n">
        <v>18.3489649732873</v>
      </c>
      <c r="E144" s="1" t="n">
        <f aca="false">D144*$K$1</f>
        <v>41.0466346452437</v>
      </c>
      <c r="F144" s="2" t="n">
        <v>0.8</v>
      </c>
      <c r="G144" s="0" t="n">
        <f aca="false">B144*F144+5</f>
        <v>18.55264</v>
      </c>
      <c r="H144" s="3" t="n">
        <v>2</v>
      </c>
      <c r="I144" s="3" t="n">
        <v>0</v>
      </c>
      <c r="J144" s="4" t="n">
        <v>19.0405019474458</v>
      </c>
    </row>
    <row r="145" customFormat="false" ht="15" hidden="false" customHeight="false" outlineLevel="0" collapsed="false">
      <c r="A145" s="0" t="n">
        <f aca="false">A144+1</f>
        <v>143</v>
      </c>
      <c r="B145" s="1" t="n">
        <f aca="false">B144-H145*1</f>
        <v>14.9408</v>
      </c>
      <c r="C145" s="1" t="n">
        <f aca="false">B145*$K$1</f>
        <v>33.4225696</v>
      </c>
      <c r="D145" s="1" t="n">
        <v>17.5828070864073</v>
      </c>
      <c r="E145" s="1" t="n">
        <f aca="false">D145*$K$1</f>
        <v>39.3327394522931</v>
      </c>
      <c r="F145" s="2" t="n">
        <v>0.8</v>
      </c>
      <c r="G145" s="0" t="n">
        <f aca="false">B145*F145+5</f>
        <v>16.95264</v>
      </c>
      <c r="H145" s="3" t="n">
        <v>2</v>
      </c>
      <c r="I145" s="3" t="n">
        <v>0</v>
      </c>
      <c r="J145" s="4" t="n">
        <v>16.961076366526</v>
      </c>
    </row>
    <row r="146" customFormat="false" ht="15" hidden="false" customHeight="false" outlineLevel="0" collapsed="false">
      <c r="A146" s="0" t="n">
        <f aca="false">A145+1</f>
        <v>144</v>
      </c>
      <c r="B146" s="1" t="n">
        <f aca="false">B145-H146*1</f>
        <v>12.9408</v>
      </c>
      <c r="C146" s="1" t="n">
        <f aca="false">B146*$K$1</f>
        <v>28.9485696</v>
      </c>
      <c r="D146" s="1" t="n">
        <v>16.2421081269875</v>
      </c>
      <c r="E146" s="1" t="n">
        <f aca="false">D146*$K$1</f>
        <v>36.333595880071</v>
      </c>
      <c r="F146" s="2" t="n">
        <v>0.8</v>
      </c>
      <c r="G146" s="0" t="n">
        <f aca="false">B146*F146+5</f>
        <v>15.35264</v>
      </c>
      <c r="H146" s="3" t="n">
        <v>2</v>
      </c>
      <c r="I146" s="3" t="n">
        <v>0</v>
      </c>
      <c r="J146" s="4" t="n">
        <v>13.9443529262107</v>
      </c>
    </row>
    <row r="147" customFormat="false" ht="15" hidden="false" customHeight="false" outlineLevel="0" collapsed="false">
      <c r="A147" s="0" t="n">
        <f aca="false">A146+1</f>
        <v>145</v>
      </c>
      <c r="B147" s="1" t="n">
        <f aca="false">B146-H147*1</f>
        <v>10.9408</v>
      </c>
      <c r="C147" s="1" t="n">
        <f aca="false">B147*$K$1</f>
        <v>24.4745696</v>
      </c>
      <c r="D147" s="1" t="n">
        <v>14.41026476131</v>
      </c>
      <c r="E147" s="1" t="n">
        <f aca="false">D147*$K$1</f>
        <v>32.2357622710505</v>
      </c>
      <c r="F147" s="2" t="n">
        <v>0.8</v>
      </c>
      <c r="G147" s="0" t="n">
        <f aca="false">B147*F147+5</f>
        <v>13.75264</v>
      </c>
      <c r="H147" s="3" t="n">
        <v>2</v>
      </c>
      <c r="I147" s="3" t="n">
        <v>0</v>
      </c>
      <c r="J147" s="4" t="n">
        <v>10.5273666918624</v>
      </c>
    </row>
    <row r="148" customFormat="false" ht="15" hidden="false" customHeight="false" outlineLevel="0" collapsed="false">
      <c r="A148" s="0" t="n">
        <f aca="false">A147+1</f>
        <v>146</v>
      </c>
      <c r="B148" s="1" t="n">
        <f aca="false">B147-H148*1</f>
        <v>8.9408</v>
      </c>
      <c r="C148" s="1" t="n">
        <f aca="false">B148*$K$1</f>
        <v>20.0005696</v>
      </c>
      <c r="D148" s="1" t="n">
        <v>12.2221909661829</v>
      </c>
      <c r="E148" s="1" t="n">
        <f aca="false">D148*$K$1</f>
        <v>27.3410411913511</v>
      </c>
      <c r="F148" s="2" t="n">
        <v>0.8</v>
      </c>
      <c r="G148" s="0" t="n">
        <f aca="false">B148*F148+5</f>
        <v>12.15264</v>
      </c>
      <c r="H148" s="3" t="n">
        <v>2</v>
      </c>
      <c r="I148" s="3" t="n">
        <v>0</v>
      </c>
      <c r="J148" s="4" t="n">
        <v>7.13444833459516</v>
      </c>
    </row>
    <row r="149" customFormat="false" ht="15" hidden="false" customHeight="false" outlineLevel="0" collapsed="false">
      <c r="A149" s="0" t="n">
        <f aca="false">A148+1</f>
        <v>147</v>
      </c>
      <c r="B149" s="1" t="n">
        <f aca="false">B148-H149*1</f>
        <v>8.9408</v>
      </c>
      <c r="C149" s="1" t="n">
        <f aca="false">B149*$K$1</f>
        <v>20.0005696</v>
      </c>
      <c r="D149" s="1" t="n">
        <v>10.1002892716008</v>
      </c>
      <c r="E149" s="1" t="n">
        <f aca="false">D149*$K$1</f>
        <v>22.594347100571</v>
      </c>
      <c r="F149" s="2" t="n">
        <v>0.8</v>
      </c>
      <c r="G149" s="0" t="n">
        <f aca="false">B149*F149+5</f>
        <v>12.15264</v>
      </c>
      <c r="H149" s="3" t="n">
        <v>0</v>
      </c>
      <c r="I149" s="3" t="n">
        <v>0</v>
      </c>
      <c r="J149" s="4" t="n">
        <v>4.96612144575852</v>
      </c>
    </row>
    <row r="150" customFormat="false" ht="15" hidden="false" customHeight="false" outlineLevel="0" collapsed="false">
      <c r="A150" s="0" t="n">
        <f aca="false">A149+1</f>
        <v>148</v>
      </c>
      <c r="B150" s="1" t="n">
        <f aca="false">B149-H150*1</f>
        <v>8.9408</v>
      </c>
      <c r="C150" s="1" t="n">
        <f aca="false">B150*$K$1</f>
        <v>20.0005696</v>
      </c>
      <c r="D150" s="1" t="n">
        <v>8.49159466193441</v>
      </c>
      <c r="E150" s="1" t="n">
        <f aca="false">D150*$K$1</f>
        <v>18.9956972587473</v>
      </c>
      <c r="F150" s="2" t="n">
        <v>0.8</v>
      </c>
      <c r="G150" s="0" t="n">
        <f aca="false">B150*F150+5</f>
        <v>12.15264</v>
      </c>
      <c r="H150" s="3" t="n">
        <v>0</v>
      </c>
      <c r="I150" s="3" t="n">
        <v>0</v>
      </c>
      <c r="J150" s="4" t="n">
        <v>4.66909156498969</v>
      </c>
    </row>
    <row r="151" customFormat="false" ht="15" hidden="false" customHeight="false" outlineLevel="0" collapsed="false">
      <c r="A151" s="0" t="n">
        <f aca="false">A150+1</f>
        <v>149</v>
      </c>
      <c r="B151" s="1" t="n">
        <f aca="false">B150-H151*1</f>
        <v>8.9408</v>
      </c>
      <c r="C151" s="1" t="n">
        <f aca="false">B151*$K$1</f>
        <v>20.0005696</v>
      </c>
      <c r="D151" s="1" t="n">
        <v>7.48568393349127</v>
      </c>
      <c r="E151" s="1" t="n">
        <f aca="false">D151*$K$1</f>
        <v>16.74547495922</v>
      </c>
      <c r="F151" s="2" t="n">
        <v>0.8</v>
      </c>
      <c r="G151" s="0" t="n">
        <f aca="false">B151*F151+5</f>
        <v>12.15264</v>
      </c>
      <c r="H151" s="3" t="n">
        <v>0</v>
      </c>
      <c r="I151" s="3" t="n">
        <v>0</v>
      </c>
      <c r="J151" s="4" t="n">
        <v>5.67403533088941</v>
      </c>
    </row>
    <row r="152" customFormat="false" ht="15" hidden="false" customHeight="false" outlineLevel="0" collapsed="false">
      <c r="A152" s="0" t="n">
        <f aca="false">A151+1</f>
        <v>150</v>
      </c>
      <c r="B152" s="1" t="n">
        <f aca="false">B151-H152*1</f>
        <v>8.9408</v>
      </c>
      <c r="C152" s="1" t="n">
        <f aca="false">B152*$K$1</f>
        <v>20.0005696</v>
      </c>
      <c r="D152" s="1" t="n">
        <v>7.04561221686191</v>
      </c>
      <c r="E152" s="1" t="n">
        <f aca="false">D152*$K$1</f>
        <v>15.7610345291201</v>
      </c>
      <c r="F152" s="2" t="n">
        <v>0.8</v>
      </c>
      <c r="G152" s="0" t="n">
        <f aca="false">B152*F152+5</f>
        <v>12.15264</v>
      </c>
      <c r="H152" s="3" t="n">
        <v>0</v>
      </c>
      <c r="I152" s="3" t="n">
        <v>0</v>
      </c>
      <c r="J152" s="4" t="n">
        <v>7.38990648164258</v>
      </c>
    </row>
    <row r="153" customFormat="false" ht="15" hidden="false" customHeight="false" outlineLevel="0" collapsed="false">
      <c r="A153" s="0" t="n">
        <f aca="false">A152+1</f>
        <v>151</v>
      </c>
      <c r="B153" s="1" t="n">
        <f aca="false">B152-H153*1</f>
        <v>8.9408</v>
      </c>
      <c r="C153" s="1" t="n">
        <f aca="false">B153*$K$1</f>
        <v>20.0005696</v>
      </c>
      <c r="D153" s="1" t="n">
        <v>7.05558102967031</v>
      </c>
      <c r="E153" s="1" t="n">
        <f aca="false">D153*$K$1</f>
        <v>15.7833347633725</v>
      </c>
      <c r="F153" s="2" t="n">
        <v>0.8</v>
      </c>
      <c r="G153" s="0" t="n">
        <f aca="false">B153*F153+5</f>
        <v>12.15264</v>
      </c>
      <c r="H153" s="3" t="n">
        <v>0</v>
      </c>
      <c r="I153" s="3" t="n">
        <v>0</v>
      </c>
      <c r="J153" s="4" t="n">
        <v>9.30619236118992</v>
      </c>
    </row>
    <row r="154" customFormat="false" ht="15" hidden="false" customHeight="false" outlineLevel="0" collapsed="false">
      <c r="A154" s="0" t="n">
        <f aca="false">A153+1</f>
        <v>152</v>
      </c>
      <c r="B154" s="1" t="n">
        <f aca="false">B153-H154*1</f>
        <v>8.9408</v>
      </c>
      <c r="C154" s="1" t="n">
        <f aca="false">B154*$K$1</f>
        <v>20.0005696</v>
      </c>
      <c r="D154" s="1" t="n">
        <v>7.36557313499231</v>
      </c>
      <c r="E154" s="1" t="n">
        <f aca="false">D154*$K$1</f>
        <v>16.4767871029778</v>
      </c>
      <c r="F154" s="2" t="n">
        <v>0.8</v>
      </c>
      <c r="G154" s="0" t="n">
        <f aca="false">B154*F154+5</f>
        <v>12.15264</v>
      </c>
      <c r="H154" s="3" t="n">
        <v>0</v>
      </c>
      <c r="I154" s="3" t="n">
        <v>0</v>
      </c>
      <c r="J154" s="4" t="n">
        <v>11.0484915396817</v>
      </c>
    </row>
    <row r="155" customFormat="false" ht="15" hidden="false" customHeight="false" outlineLevel="0" collapsed="false">
      <c r="A155" s="0" t="n">
        <f aca="false">A154+1</f>
        <v>153</v>
      </c>
      <c r="B155" s="1" t="n">
        <f aca="false">B154-H155*1</f>
        <v>8.9408</v>
      </c>
      <c r="C155" s="1" t="n">
        <f aca="false">B155*$K$1</f>
        <v>20.0005696</v>
      </c>
      <c r="D155" s="1" t="n">
        <v>7.82677323275157</v>
      </c>
      <c r="E155" s="1" t="n">
        <f aca="false">D155*$K$1</f>
        <v>17.5084917216653</v>
      </c>
      <c r="F155" s="2" t="n">
        <v>0.8</v>
      </c>
      <c r="G155" s="0" t="n">
        <f aca="false">B155*F155+5</f>
        <v>12.15264</v>
      </c>
      <c r="H155" s="3" t="n">
        <v>0</v>
      </c>
      <c r="I155" s="3" t="n">
        <v>0</v>
      </c>
      <c r="J155" s="4" t="n">
        <v>12.3938643858155</v>
      </c>
    </row>
    <row r="156" customFormat="false" ht="15" hidden="false" customHeight="false" outlineLevel="0" collapsed="false">
      <c r="A156" s="0" t="n">
        <f aca="false">A155+1</f>
        <v>154</v>
      </c>
      <c r="B156" s="1" t="n">
        <f aca="false">B155-H156*1</f>
        <v>8.9408</v>
      </c>
      <c r="C156" s="1" t="n">
        <f aca="false">B156*$K$1</f>
        <v>20.0005696</v>
      </c>
      <c r="D156" s="1" t="n">
        <v>8.31511431593599</v>
      </c>
      <c r="E156" s="1" t="n">
        <f aca="false">D156*$K$1</f>
        <v>18.6009107247488</v>
      </c>
      <c r="F156" s="2" t="n">
        <v>0.8</v>
      </c>
      <c r="G156" s="0" t="n">
        <f aca="false">B156*F156+5</f>
        <v>12.15264</v>
      </c>
      <c r="H156" s="3" t="n">
        <v>0</v>
      </c>
      <c r="I156" s="3" t="n">
        <v>0</v>
      </c>
      <c r="J156" s="4" t="n">
        <v>13.2567528410621</v>
      </c>
    </row>
    <row r="157" customFormat="false" ht="15" hidden="false" customHeight="false" outlineLevel="0" collapsed="false">
      <c r="A157" s="0" t="n">
        <f aca="false">A156+1</f>
        <v>155</v>
      </c>
      <c r="B157" s="1" t="n">
        <f aca="false">B156-H157*1</f>
        <v>8.9408</v>
      </c>
      <c r="C157" s="1" t="n">
        <f aca="false">B157*$K$1</f>
        <v>20.0005696</v>
      </c>
      <c r="D157" s="1" t="n">
        <v>8.74307723641302</v>
      </c>
      <c r="E157" s="1" t="n">
        <f aca="false">D157*$K$1</f>
        <v>19.5582637778559</v>
      </c>
      <c r="F157" s="2" t="n">
        <v>0.8</v>
      </c>
      <c r="G157" s="0" t="n">
        <f aca="false">B157*F157+5</f>
        <v>12.15264</v>
      </c>
      <c r="H157" s="3" t="n">
        <v>0</v>
      </c>
      <c r="I157" s="3" t="n">
        <v>0</v>
      </c>
      <c r="J157" s="4" t="n">
        <v>13.657440370861</v>
      </c>
    </row>
    <row r="158" customFormat="false" ht="15" hidden="false" customHeight="false" outlineLevel="0" collapsed="false">
      <c r="A158" s="0" t="n">
        <f aca="false">A157+1</f>
        <v>156</v>
      </c>
      <c r="B158" s="1" t="n">
        <f aca="false">B157-H158*1</f>
        <v>8.9408</v>
      </c>
      <c r="C158" s="1" t="n">
        <f aca="false">B158*$K$1</f>
        <v>20.0005696</v>
      </c>
      <c r="D158" s="1" t="n">
        <v>9.06171889174543</v>
      </c>
      <c r="E158" s="1" t="n">
        <f aca="false">D158*$K$1</f>
        <v>20.2710651608345</v>
      </c>
      <c r="F158" s="2" t="n">
        <v>0.8</v>
      </c>
      <c r="G158" s="0" t="n">
        <f aca="false">B158*F158+5</f>
        <v>12.15264</v>
      </c>
      <c r="H158" s="3" t="n">
        <v>0</v>
      </c>
      <c r="I158" s="3" t="n">
        <v>0</v>
      </c>
      <c r="J158" s="4" t="n">
        <v>13.6838843978321</v>
      </c>
    </row>
    <row r="159" customFormat="false" ht="15" hidden="false" customHeight="false" outlineLevel="0" collapsed="false">
      <c r="A159" s="0" t="n">
        <f aca="false">A158+1</f>
        <v>157</v>
      </c>
      <c r="B159" s="1" t="n">
        <f aca="false">B158-H159*1</f>
        <v>8.9408</v>
      </c>
      <c r="C159" s="1" t="n">
        <f aca="false">B159*$K$1</f>
        <v>20.0005696</v>
      </c>
      <c r="D159" s="1" t="n">
        <v>9.25582510393631</v>
      </c>
      <c r="E159" s="1" t="n">
        <f aca="false">D159*$K$1</f>
        <v>20.7052807575055</v>
      </c>
      <c r="F159" s="2" t="n">
        <v>0.8</v>
      </c>
      <c r="G159" s="0" t="n">
        <f aca="false">B159*F159+5</f>
        <v>12.15264</v>
      </c>
      <c r="H159" s="3" t="n">
        <v>0</v>
      </c>
      <c r="I159" s="3" t="n">
        <v>0</v>
      </c>
      <c r="J159" s="4" t="n">
        <v>13.4552475625687</v>
      </c>
    </row>
    <row r="160" customFormat="false" ht="15" hidden="false" customHeight="false" outlineLevel="0" collapsed="false">
      <c r="A160" s="0" t="n">
        <f aca="false">A159+1</f>
        <v>158</v>
      </c>
      <c r="B160" s="1" t="n">
        <f aca="false">B159-H160*1</f>
        <v>8.9408</v>
      </c>
      <c r="C160" s="1" t="n">
        <f aca="false">B160*$K$1</f>
        <v>20.0005696</v>
      </c>
      <c r="D160" s="1" t="n">
        <v>9.33523536187362</v>
      </c>
      <c r="E160" s="1" t="n">
        <f aca="false">D160*$K$1</f>
        <v>20.8829215045113</v>
      </c>
      <c r="F160" s="2" t="n">
        <v>0.8</v>
      </c>
      <c r="G160" s="0" t="n">
        <f aca="false">B160*F160+5</f>
        <v>12.15264</v>
      </c>
      <c r="H160" s="3" t="n">
        <v>0</v>
      </c>
      <c r="I160" s="3" t="n">
        <v>0</v>
      </c>
      <c r="J160" s="4" t="n">
        <v>13.0924349913566</v>
      </c>
    </row>
    <row r="161" customFormat="false" ht="15" hidden="false" customHeight="false" outlineLevel="0" collapsed="false">
      <c r="A161" s="0" t="n">
        <f aca="false">A160+1</f>
        <v>159</v>
      </c>
      <c r="B161" s="1" t="n">
        <f aca="false">B160-H161*1</f>
        <v>8.04672</v>
      </c>
      <c r="C161" s="1" t="n">
        <f aca="false">B161*$K$1</f>
        <v>18.00051264</v>
      </c>
      <c r="D161" s="1" t="n">
        <v>9.2022106276386</v>
      </c>
      <c r="E161" s="1" t="n">
        <f aca="false">D161*$K$1</f>
        <v>20.5853451740275</v>
      </c>
      <c r="F161" s="2" t="n">
        <v>0.8</v>
      </c>
      <c r="G161" s="0" t="n">
        <f aca="false">B161*F161+5</f>
        <v>11.437376</v>
      </c>
      <c r="H161" s="3" t="n">
        <v>0.89408</v>
      </c>
      <c r="I161" s="3" t="n">
        <v>0</v>
      </c>
      <c r="J161" s="4" t="n">
        <v>12.286790571686</v>
      </c>
    </row>
    <row r="162" customFormat="false" ht="15" hidden="false" customHeight="false" outlineLevel="0" collapsed="false">
      <c r="A162" s="0" t="n">
        <f aca="false">A161+1</f>
        <v>160</v>
      </c>
      <c r="B162" s="1" t="n">
        <f aca="false">B161-H162*1</f>
        <v>7.15264</v>
      </c>
      <c r="C162" s="1" t="n">
        <f aca="false">B162*$K$1</f>
        <v>16.00045568</v>
      </c>
      <c r="D162" s="1" t="n">
        <v>8.74737920611344</v>
      </c>
      <c r="E162" s="1" t="n">
        <f aca="false">D162*$K$1</f>
        <v>19.5678872840758</v>
      </c>
      <c r="F162" s="2" t="n">
        <v>0.8</v>
      </c>
      <c r="G162" s="0" t="n">
        <f aca="false">B162*F162+5</f>
        <v>10.722112</v>
      </c>
      <c r="H162" s="3" t="n">
        <v>0.89408</v>
      </c>
      <c r="I162" s="3" t="n">
        <v>0</v>
      </c>
      <c r="J162" s="4" t="n">
        <v>10.88520861088</v>
      </c>
    </row>
    <row r="163" customFormat="false" ht="15" hidden="false" customHeight="false" outlineLevel="0" collapsed="false">
      <c r="A163" s="0" t="n">
        <f aca="false">A162+1</f>
        <v>161</v>
      </c>
      <c r="B163" s="1" t="n">
        <f aca="false">B162-H163*1</f>
        <v>6.25856</v>
      </c>
      <c r="C163" s="1" t="n">
        <f aca="false">B163*$K$1</f>
        <v>14.00039872</v>
      </c>
      <c r="D163" s="1" t="n">
        <v>8.0061955757699</v>
      </c>
      <c r="E163" s="1" t="n">
        <f aca="false">D163*$K$1</f>
        <v>17.9098595029973</v>
      </c>
      <c r="F163" s="2" t="n">
        <v>0.8</v>
      </c>
      <c r="G163" s="0" t="n">
        <f aca="false">B163*F163+5</f>
        <v>10.006848</v>
      </c>
      <c r="H163" s="3" t="n">
        <v>0.89408</v>
      </c>
      <c r="I163" s="3" t="n">
        <v>0</v>
      </c>
      <c r="J163" s="4" t="n">
        <v>9.19463700108713</v>
      </c>
    </row>
    <row r="164" customFormat="false" ht="15" hidden="false" customHeight="false" outlineLevel="0" collapsed="false">
      <c r="A164" s="0" t="n">
        <f aca="false">A163+1</f>
        <v>162</v>
      </c>
      <c r="B164" s="1" t="n">
        <f aca="false">B163-H164*1</f>
        <v>5.36448</v>
      </c>
      <c r="C164" s="1" t="n">
        <f aca="false">B164*$K$1</f>
        <v>12.00034176</v>
      </c>
      <c r="D164" s="1" t="n">
        <v>7.04849300466468</v>
      </c>
      <c r="E164" s="1" t="n">
        <f aca="false">D164*$K$1</f>
        <v>15.7674788514349</v>
      </c>
      <c r="F164" s="2" t="n">
        <v>0.8</v>
      </c>
      <c r="G164" s="0" t="n">
        <f aca="false">B164*F164+5</f>
        <v>9.291584</v>
      </c>
      <c r="H164" s="3" t="n">
        <v>0.89408</v>
      </c>
      <c r="I164" s="3" t="n">
        <v>0</v>
      </c>
      <c r="J164" s="4" t="n">
        <v>7.46729426421553</v>
      </c>
    </row>
    <row r="165" customFormat="false" ht="15" hidden="false" customHeight="false" outlineLevel="0" collapsed="false">
      <c r="A165" s="0" t="n">
        <f aca="false">A164+1</f>
        <v>163</v>
      </c>
      <c r="B165" s="1" t="n">
        <f aca="false">B164-H165*1</f>
        <v>4.4704</v>
      </c>
      <c r="C165" s="1" t="n">
        <f aca="false">B165*$K$1</f>
        <v>10.0002848</v>
      </c>
      <c r="D165" s="1" t="n">
        <v>5.95591079270234</v>
      </c>
      <c r="E165" s="1" t="n">
        <f aca="false">D165*$K$1</f>
        <v>13.3233724432751</v>
      </c>
      <c r="F165" s="2" t="n">
        <v>0.8</v>
      </c>
      <c r="G165" s="0" t="n">
        <f aca="false">B165*F165+5</f>
        <v>8.57632</v>
      </c>
      <c r="H165" s="3" t="n">
        <v>0.89408</v>
      </c>
      <c r="I165" s="3" t="n">
        <v>0</v>
      </c>
      <c r="J165" s="4" t="n">
        <v>5.87813892428289</v>
      </c>
    </row>
    <row r="166" customFormat="false" ht="15" hidden="false" customHeight="false" outlineLevel="0" collapsed="false">
      <c r="A166" s="0" t="n">
        <f aca="false">A165+1</f>
        <v>164</v>
      </c>
      <c r="B166" s="1" t="n">
        <f aca="false">B165-H166*1</f>
        <v>3.57632</v>
      </c>
      <c r="C166" s="1" t="n">
        <f aca="false">B166*$K$1</f>
        <v>8.00022783999999</v>
      </c>
      <c r="D166" s="1" t="n">
        <v>4.80486604843682</v>
      </c>
      <c r="E166" s="1" t="n">
        <f aca="false">D166*$K$1</f>
        <v>10.7484853503532</v>
      </c>
      <c r="F166" s="2" t="n">
        <v>0.8</v>
      </c>
      <c r="G166" s="0" t="n">
        <f aca="false">B166*F166+5</f>
        <v>7.861056</v>
      </c>
      <c r="H166" s="3" t="n">
        <v>0.89408</v>
      </c>
      <c r="I166" s="3" t="n">
        <v>0</v>
      </c>
      <c r="J166" s="4" t="n">
        <v>4.52219925530108</v>
      </c>
    </row>
    <row r="167" customFormat="false" ht="15" hidden="false" customHeight="false" outlineLevel="0" collapsed="false">
      <c r="A167" s="0" t="n">
        <f aca="false">A166+1</f>
        <v>165</v>
      </c>
      <c r="B167" s="1" t="n">
        <f aca="false">B166-H167*1</f>
        <v>2.68224</v>
      </c>
      <c r="C167" s="1" t="n">
        <f aca="false">B167*$K$1</f>
        <v>6.00017087999999</v>
      </c>
      <c r="D167" s="1" t="n">
        <v>3.65598118804279</v>
      </c>
      <c r="E167" s="1" t="n">
        <f aca="false">D167*$K$1</f>
        <v>8.17842991765172</v>
      </c>
      <c r="F167" s="2" t="n">
        <v>0.8</v>
      </c>
      <c r="G167" s="0" t="n">
        <f aca="false">B167*F167+5</f>
        <v>7.145792</v>
      </c>
      <c r="H167" s="3" t="n">
        <v>0.89408</v>
      </c>
      <c r="I167" s="3" t="n">
        <v>0</v>
      </c>
      <c r="J167" s="4" t="n">
        <v>3.42564350808198</v>
      </c>
    </row>
    <row r="168" customFormat="false" ht="15" hidden="false" customHeight="false" outlineLevel="0" collapsed="false">
      <c r="A168" s="0" t="n">
        <f aca="false">A167+1</f>
        <v>166</v>
      </c>
      <c r="B168" s="1" t="n">
        <f aca="false">B167-H168*1</f>
        <v>1.78816</v>
      </c>
      <c r="C168" s="1" t="n">
        <f aca="false">B168*$K$1</f>
        <v>4.00011391999999</v>
      </c>
      <c r="D168" s="1" t="n">
        <v>2.54953920068919</v>
      </c>
      <c r="E168" s="1" t="n">
        <f aca="false">D168*$K$1</f>
        <v>5.70331919194172</v>
      </c>
      <c r="F168" s="2" t="n">
        <v>0.8</v>
      </c>
      <c r="G168" s="0" t="n">
        <f aca="false">B168*F168+5</f>
        <v>6.430528</v>
      </c>
      <c r="H168" s="3" t="n">
        <v>0.89408</v>
      </c>
      <c r="I168" s="3" t="n">
        <v>0</v>
      </c>
      <c r="J168" s="4" t="n">
        <v>2.56427823486774</v>
      </c>
    </row>
    <row r="169" customFormat="false" ht="15" hidden="false" customHeight="false" outlineLevel="0" collapsed="false">
      <c r="A169" s="0" t="n">
        <f aca="false">A168+1</f>
        <v>167</v>
      </c>
      <c r="B169" s="1" t="n">
        <f aca="false">B168-H169*1</f>
        <v>0.894079999999997</v>
      </c>
      <c r="C169" s="1" t="n">
        <f aca="false">B169*$K$1</f>
        <v>2.00005695999999</v>
      </c>
      <c r="D169" s="1" t="n">
        <v>0</v>
      </c>
      <c r="E169" s="1" t="n">
        <f aca="false">D169*$K$1</f>
        <v>0</v>
      </c>
      <c r="F169" s="2" t="n">
        <v>0.8</v>
      </c>
      <c r="G169" s="0" t="n">
        <f aca="false">B169*F169+5</f>
        <v>5.715264</v>
      </c>
      <c r="H169" s="3" t="n">
        <v>0.89408</v>
      </c>
      <c r="I169" s="3" t="n">
        <v>0</v>
      </c>
      <c r="J169" s="4" t="n">
        <v>1.88404891529922</v>
      </c>
    </row>
    <row r="170" customFormat="false" ht="15" hidden="false" customHeight="false" outlineLevel="0" collapsed="false">
      <c r="A170" s="0" t="n">
        <f aca="false">A169+1</f>
        <v>168</v>
      </c>
      <c r="B170" s="1" t="n">
        <f aca="false">B169-H170*1</f>
        <v>-3.33066907387547E-015</v>
      </c>
      <c r="C170" s="1" t="n">
        <f aca="false">B170*$K$1</f>
        <v>-7.45070671825942E-015</v>
      </c>
      <c r="D170" s="1" t="n">
        <v>0</v>
      </c>
      <c r="E170" s="1" t="n">
        <f aca="false">D170*$K$1</f>
        <v>0</v>
      </c>
      <c r="F170" s="2" t="n">
        <v>0.8</v>
      </c>
      <c r="G170" s="0" t="n">
        <f aca="false">B170*F170+5</f>
        <v>5</v>
      </c>
      <c r="H170" s="3" t="n">
        <v>0.89408</v>
      </c>
      <c r="I170" s="3" t="n">
        <v>0</v>
      </c>
      <c r="J170" s="4" t="n">
        <v>1.31958424630011</v>
      </c>
    </row>
    <row r="171" customFormat="false" ht="15" hidden="false" customHeight="false" outlineLevel="0" collapsed="false">
      <c r="A171" s="0" t="n">
        <f aca="false">A170+1</f>
        <v>169</v>
      </c>
      <c r="B171" s="1" t="n">
        <v>0</v>
      </c>
      <c r="C171" s="1" t="n">
        <f aca="false">B171*$K$1</f>
        <v>0</v>
      </c>
      <c r="D171" s="1" t="n">
        <v>0</v>
      </c>
      <c r="E171" s="1" t="n">
        <f aca="false">D171*$K$1</f>
        <v>0</v>
      </c>
      <c r="F171" s="2" t="n">
        <v>1.8</v>
      </c>
      <c r="G171" s="0" t="n">
        <f aca="false">B171*F171+5</f>
        <v>5</v>
      </c>
      <c r="H171" s="3" t="n">
        <v>0.89408</v>
      </c>
      <c r="I171" s="3" t="n">
        <v>0</v>
      </c>
      <c r="J171" s="4" t="n">
        <v>1.31958424630011</v>
      </c>
    </row>
    <row r="172" customFormat="false" ht="15" hidden="false" customHeight="false" outlineLevel="0" collapsed="false">
      <c r="A172" s="0" t="n">
        <f aca="false">A171+1</f>
        <v>170</v>
      </c>
      <c r="B172" s="1" t="n">
        <v>0</v>
      </c>
      <c r="C172" s="1" t="n">
        <f aca="false">B172*$K$1</f>
        <v>0</v>
      </c>
      <c r="D172" s="1" t="n">
        <v>0</v>
      </c>
      <c r="E172" s="1" t="n">
        <f aca="false">D172*$K$1</f>
        <v>0</v>
      </c>
      <c r="F172" s="2" t="n">
        <v>2.8</v>
      </c>
      <c r="G172" s="0" t="n">
        <f aca="false">B172*F172+5</f>
        <v>5</v>
      </c>
      <c r="H172" s="3" t="n">
        <v>0.89408</v>
      </c>
      <c r="I172" s="3" t="n">
        <v>0</v>
      </c>
      <c r="J172" s="4" t="n">
        <v>1.31958424630011</v>
      </c>
    </row>
    <row r="173" customFormat="false" ht="15" hidden="false" customHeight="false" outlineLevel="0" collapsed="false">
      <c r="A173" s="0" t="n">
        <f aca="false">A172+1</f>
        <v>171</v>
      </c>
      <c r="B173" s="1" t="n">
        <v>0</v>
      </c>
      <c r="C173" s="1" t="n">
        <f aca="false">B173*$K$1</f>
        <v>0</v>
      </c>
      <c r="D173" s="1" t="n">
        <v>0</v>
      </c>
      <c r="E173" s="1" t="n">
        <f aca="false">D173*$K$1</f>
        <v>0</v>
      </c>
      <c r="F173" s="2" t="n">
        <v>3.8</v>
      </c>
      <c r="G173" s="0" t="n">
        <f aca="false">B173*F173+5</f>
        <v>5</v>
      </c>
      <c r="H173" s="3" t="n">
        <v>0.89408</v>
      </c>
      <c r="I173" s="3" t="n">
        <v>0</v>
      </c>
      <c r="J173" s="4" t="n">
        <v>1.31958424630011</v>
      </c>
    </row>
    <row r="174" customFormat="false" ht="15" hidden="false" customHeight="false" outlineLevel="0" collapsed="false">
      <c r="A174" s="0" t="n">
        <f aca="false">A173+1</f>
        <v>172</v>
      </c>
      <c r="B174" s="1" t="n">
        <v>0</v>
      </c>
      <c r="C174" s="1" t="n">
        <f aca="false">B174*$K$1</f>
        <v>0</v>
      </c>
      <c r="D174" s="1" t="n">
        <v>0</v>
      </c>
      <c r="E174" s="1" t="n">
        <f aca="false">D174*$K$1</f>
        <v>0</v>
      </c>
      <c r="F174" s="2" t="n">
        <v>4.8</v>
      </c>
      <c r="G174" s="0" t="n">
        <f aca="false">B174*F174+5</f>
        <v>5</v>
      </c>
      <c r="H174" s="3" t="n">
        <v>0.89408</v>
      </c>
      <c r="I174" s="3" t="n">
        <v>0</v>
      </c>
      <c r="J174" s="4" t="n">
        <v>1.31958424630011</v>
      </c>
    </row>
    <row r="175" customFormat="false" ht="15" hidden="false" customHeight="false" outlineLevel="0" collapsed="false">
      <c r="A175" s="0" t="n">
        <f aca="false">A174+1</f>
        <v>173</v>
      </c>
      <c r="B175" s="1" t="n">
        <v>0</v>
      </c>
      <c r="C175" s="1" t="n">
        <f aca="false">B175*$K$1</f>
        <v>0</v>
      </c>
      <c r="D175" s="1" t="n">
        <v>0</v>
      </c>
      <c r="E175" s="1" t="n">
        <f aca="false">D175*$K$1</f>
        <v>0</v>
      </c>
      <c r="F175" s="2" t="n">
        <v>5.8</v>
      </c>
      <c r="G175" s="0" t="n">
        <f aca="false">B175*F175+5</f>
        <v>5</v>
      </c>
      <c r="H175" s="3" t="n">
        <v>0.89408</v>
      </c>
      <c r="I175" s="3" t="n">
        <v>0</v>
      </c>
      <c r="J175" s="4" t="n">
        <v>1.31958424630011</v>
      </c>
    </row>
    <row r="176" customFormat="false" ht="15" hidden="false" customHeight="false" outlineLevel="0" collapsed="false">
      <c r="A176" s="0" t="n">
        <f aca="false">A175+1</f>
        <v>174</v>
      </c>
      <c r="B176" s="1" t="n">
        <v>0</v>
      </c>
      <c r="C176" s="1" t="n">
        <f aca="false">B176*$K$1</f>
        <v>0</v>
      </c>
      <c r="D176" s="1" t="n">
        <v>0</v>
      </c>
      <c r="E176" s="1" t="n">
        <f aca="false">D176*$K$1</f>
        <v>0</v>
      </c>
      <c r="F176" s="2" t="n">
        <v>6.8</v>
      </c>
      <c r="G176" s="0" t="n">
        <f aca="false">B176*F176+5</f>
        <v>5</v>
      </c>
      <c r="H176" s="3" t="n">
        <v>0.89408</v>
      </c>
      <c r="I176" s="3" t="n">
        <v>0</v>
      </c>
      <c r="J176" s="4" t="n">
        <v>1.31958424630011</v>
      </c>
    </row>
    <row r="177" customFormat="false" ht="15" hidden="false" customHeight="false" outlineLevel="0" collapsed="false">
      <c r="A177" s="0" t="n">
        <f aca="false">A176+1</f>
        <v>175</v>
      </c>
      <c r="B177" s="1" t="n">
        <v>0</v>
      </c>
      <c r="C177" s="1" t="n">
        <f aca="false">B177*$K$1</f>
        <v>0</v>
      </c>
      <c r="D177" s="1" t="n">
        <v>0</v>
      </c>
      <c r="E177" s="1" t="n">
        <f aca="false">D177*$K$1</f>
        <v>0</v>
      </c>
      <c r="F177" s="2" t="n">
        <v>7.8</v>
      </c>
      <c r="G177" s="0" t="n">
        <f aca="false">B177*F177+5</f>
        <v>5</v>
      </c>
      <c r="H177" s="3" t="n">
        <v>0.89408</v>
      </c>
      <c r="I177" s="3" t="n">
        <v>0</v>
      </c>
      <c r="J177" s="4" t="n">
        <v>1.31958424630011</v>
      </c>
    </row>
    <row r="178" customFormat="false" ht="15" hidden="false" customHeight="false" outlineLevel="0" collapsed="false">
      <c r="A178" s="0" t="n">
        <f aca="false">A177+1</f>
        <v>176</v>
      </c>
      <c r="B178" s="1" t="n">
        <v>0</v>
      </c>
      <c r="C178" s="1" t="n">
        <f aca="false">B178*$K$1</f>
        <v>0</v>
      </c>
      <c r="D178" s="1" t="n">
        <v>0</v>
      </c>
      <c r="E178" s="1" t="n">
        <f aca="false">D178*$K$1</f>
        <v>0</v>
      </c>
      <c r="F178" s="2" t="n">
        <v>8.8</v>
      </c>
      <c r="G178" s="0" t="n">
        <f aca="false">B178*F178+5</f>
        <v>5</v>
      </c>
      <c r="H178" s="3" t="n">
        <v>0.89408</v>
      </c>
      <c r="I178" s="3" t="n">
        <v>0</v>
      </c>
      <c r="J178" s="4" t="n">
        <v>1.31958424630011</v>
      </c>
    </row>
    <row r="179" customFormat="false" ht="15" hidden="false" customHeight="false" outlineLevel="0" collapsed="false">
      <c r="A179" s="0" t="n">
        <f aca="false">A178+1</f>
        <v>177</v>
      </c>
      <c r="B179" s="1" t="n">
        <v>0</v>
      </c>
      <c r="C179" s="1" t="n">
        <f aca="false">B179*$K$1</f>
        <v>0</v>
      </c>
      <c r="D179" s="1" t="n">
        <v>0</v>
      </c>
      <c r="E179" s="1" t="n">
        <f aca="false">D179*$K$1</f>
        <v>0</v>
      </c>
      <c r="F179" s="2" t="n">
        <v>9.8</v>
      </c>
      <c r="G179" s="0" t="n">
        <f aca="false">B179*F179+5</f>
        <v>5</v>
      </c>
      <c r="H179" s="3" t="n">
        <v>0.89408</v>
      </c>
      <c r="I179" s="3" t="n">
        <v>0</v>
      </c>
      <c r="J179" s="4" t="n">
        <v>1.31958424630011</v>
      </c>
    </row>
    <row r="180" customFormat="false" ht="15" hidden="false" customHeight="false" outlineLevel="0" collapsed="false">
      <c r="A180" s="0" t="n">
        <f aca="false">A179+1</f>
        <v>178</v>
      </c>
      <c r="B180" s="1" t="n">
        <v>0</v>
      </c>
      <c r="C180" s="1" t="n">
        <f aca="false">B180*$K$1</f>
        <v>0</v>
      </c>
      <c r="D180" s="1" t="n">
        <v>0</v>
      </c>
      <c r="E180" s="1" t="n">
        <f aca="false">D180*$K$1</f>
        <v>0</v>
      </c>
      <c r="F180" s="2" t="n">
        <v>10.8</v>
      </c>
      <c r="G180" s="0" t="n">
        <f aca="false">B180*F180+5</f>
        <v>5</v>
      </c>
      <c r="H180" s="3" t="n">
        <v>0.89408</v>
      </c>
      <c r="I180" s="3" t="n">
        <v>0</v>
      </c>
      <c r="J180" s="4" t="n">
        <v>1.31958424630011</v>
      </c>
    </row>
    <row r="181" customFormat="false" ht="15" hidden="false" customHeight="false" outlineLevel="0" collapsed="false">
      <c r="A181" s="0" t="n">
        <f aca="false">A180+1</f>
        <v>179</v>
      </c>
      <c r="B181" s="1" t="n">
        <v>0</v>
      </c>
      <c r="C181" s="1" t="n">
        <f aca="false">B181*$K$1</f>
        <v>0</v>
      </c>
      <c r="D181" s="1" t="n">
        <v>0</v>
      </c>
      <c r="E181" s="1" t="n">
        <f aca="false">D181*$K$1</f>
        <v>0</v>
      </c>
      <c r="F181" s="2" t="n">
        <v>11.8</v>
      </c>
      <c r="G181" s="0" t="n">
        <f aca="false">B181*F181+5</f>
        <v>5</v>
      </c>
      <c r="H181" s="3" t="n">
        <v>0.89408</v>
      </c>
      <c r="I181" s="3" t="n">
        <v>0</v>
      </c>
      <c r="J181" s="4" t="n">
        <v>1.31958424630011</v>
      </c>
    </row>
    <row r="182" customFormat="false" ht="15" hidden="false" customHeight="false" outlineLevel="0" collapsed="false">
      <c r="A182" s="0" t="n">
        <f aca="false">A181+1</f>
        <v>180</v>
      </c>
      <c r="B182" s="1" t="n">
        <v>0</v>
      </c>
      <c r="C182" s="1" t="n">
        <f aca="false">B182*$K$1</f>
        <v>0</v>
      </c>
      <c r="D182" s="1" t="n">
        <v>0</v>
      </c>
      <c r="E182" s="1" t="n">
        <f aca="false">D182*$K$1</f>
        <v>0</v>
      </c>
      <c r="F182" s="2" t="n">
        <v>12.8</v>
      </c>
      <c r="G182" s="0" t="n">
        <f aca="false">B182*F182+5</f>
        <v>5</v>
      </c>
      <c r="H182" s="3" t="n">
        <v>0.89408</v>
      </c>
      <c r="I182" s="3" t="n">
        <v>0</v>
      </c>
      <c r="J182" s="4" t="n">
        <v>1.31958424630011</v>
      </c>
    </row>
    <row r="183" customFormat="false" ht="15" hidden="false" customHeight="false" outlineLevel="0" collapsed="false">
      <c r="A183" s="0" t="n">
        <f aca="false">A182+1</f>
        <v>181</v>
      </c>
      <c r="B183" s="1" t="n">
        <v>0</v>
      </c>
      <c r="C183" s="1" t="n">
        <f aca="false">B183*$K$1</f>
        <v>0</v>
      </c>
      <c r="D183" s="1" t="n">
        <v>0</v>
      </c>
      <c r="E183" s="1" t="n">
        <f aca="false">D183*$K$1</f>
        <v>0</v>
      </c>
      <c r="F183" s="2" t="n">
        <v>13.8</v>
      </c>
      <c r="G183" s="0" t="n">
        <f aca="false">B183*F183+5</f>
        <v>5</v>
      </c>
      <c r="H183" s="3" t="n">
        <v>0.89408</v>
      </c>
      <c r="I183" s="3" t="n">
        <v>0</v>
      </c>
      <c r="J183" s="4" t="n">
        <v>1.31958424630011</v>
      </c>
    </row>
    <row r="184" customFormat="false" ht="15" hidden="false" customHeight="false" outlineLevel="0" collapsed="false">
      <c r="A184" s="0" t="n">
        <f aca="false">A183+1</f>
        <v>182</v>
      </c>
      <c r="B184" s="1" t="n">
        <v>0</v>
      </c>
      <c r="C184" s="1" t="n">
        <f aca="false">B184*$K$1</f>
        <v>0</v>
      </c>
      <c r="D184" s="1" t="n">
        <v>0</v>
      </c>
      <c r="E184" s="1" t="n">
        <f aca="false">D184*$K$1</f>
        <v>0</v>
      </c>
      <c r="F184" s="2" t="n">
        <v>14.8</v>
      </c>
      <c r="G184" s="0" t="n">
        <f aca="false">B184*F184+5</f>
        <v>5</v>
      </c>
      <c r="H184" s="3" t="n">
        <v>0.89408</v>
      </c>
      <c r="I184" s="3" t="n">
        <v>0</v>
      </c>
      <c r="J184" s="4" t="n">
        <v>1.31958424630011</v>
      </c>
    </row>
    <row r="185" customFormat="false" ht="15" hidden="false" customHeight="false" outlineLevel="0" collapsed="false">
      <c r="A185" s="0" t="n">
        <f aca="false">A184+1</f>
        <v>183</v>
      </c>
      <c r="B185" s="1" t="n">
        <v>0</v>
      </c>
      <c r="C185" s="1" t="n">
        <f aca="false">B185*$K$1</f>
        <v>0</v>
      </c>
      <c r="D185" s="1" t="n">
        <v>0</v>
      </c>
      <c r="E185" s="1" t="n">
        <f aca="false">D185*$K$1</f>
        <v>0</v>
      </c>
      <c r="F185" s="2" t="n">
        <v>15.8</v>
      </c>
      <c r="G185" s="0" t="n">
        <f aca="false">B185*F185+5</f>
        <v>5</v>
      </c>
      <c r="H185" s="3" t="n">
        <v>0.89408</v>
      </c>
      <c r="I185" s="3" t="n">
        <v>0</v>
      </c>
      <c r="J185" s="4" t="n">
        <v>1.31958424630011</v>
      </c>
    </row>
    <row r="186" customFormat="false" ht="15" hidden="false" customHeight="false" outlineLevel="0" collapsed="false">
      <c r="A186" s="0" t="n">
        <f aca="false">A185+1</f>
        <v>184</v>
      </c>
      <c r="B186" s="1" t="n">
        <v>0</v>
      </c>
      <c r="C186" s="1" t="n">
        <f aca="false">B186*$K$1</f>
        <v>0</v>
      </c>
      <c r="D186" s="1" t="n">
        <v>0</v>
      </c>
      <c r="E186" s="1" t="n">
        <f aca="false">D186*$K$1</f>
        <v>0</v>
      </c>
      <c r="F186" s="2" t="n">
        <v>16.8</v>
      </c>
      <c r="G186" s="0" t="n">
        <f aca="false">B186*F186+5</f>
        <v>5</v>
      </c>
      <c r="H186" s="3" t="n">
        <v>0.89408</v>
      </c>
      <c r="I186" s="3" t="n">
        <v>0</v>
      </c>
      <c r="J186" s="4" t="n">
        <v>1.31958424630011</v>
      </c>
    </row>
    <row r="187" customFormat="false" ht="15" hidden="false" customHeight="false" outlineLevel="0" collapsed="false">
      <c r="A187" s="0" t="n">
        <f aca="false">A186+1</f>
        <v>185</v>
      </c>
      <c r="B187" s="1" t="n">
        <v>0</v>
      </c>
      <c r="C187" s="1" t="n">
        <f aca="false">B187*$K$1</f>
        <v>0</v>
      </c>
      <c r="D187" s="1" t="n">
        <v>0</v>
      </c>
      <c r="E187" s="1" t="n">
        <f aca="false">D187*$K$1</f>
        <v>0</v>
      </c>
      <c r="F187" s="2" t="n">
        <v>17.8</v>
      </c>
      <c r="G187" s="0" t="n">
        <f aca="false">B187*F187+5</f>
        <v>5</v>
      </c>
      <c r="H187" s="3" t="n">
        <v>0.89408</v>
      </c>
      <c r="I187" s="3" t="n">
        <v>0</v>
      </c>
      <c r="J187" s="4" t="n">
        <v>1.31958424630011</v>
      </c>
    </row>
    <row r="188" customFormat="false" ht="15" hidden="false" customHeight="false" outlineLevel="0" collapsed="false">
      <c r="A188" s="0" t="n">
        <f aca="false">A187+1</f>
        <v>186</v>
      </c>
      <c r="B188" s="1" t="n">
        <v>0</v>
      </c>
      <c r="C188" s="1" t="n">
        <f aca="false">B188*$K$1</f>
        <v>0</v>
      </c>
      <c r="D188" s="1" t="n">
        <v>0</v>
      </c>
      <c r="E188" s="1" t="n">
        <f aca="false">D188*$K$1</f>
        <v>0</v>
      </c>
      <c r="F188" s="2" t="n">
        <v>18.8</v>
      </c>
      <c r="G188" s="0" t="n">
        <f aca="false">B188*F188+5</f>
        <v>5</v>
      </c>
      <c r="H188" s="3" t="n">
        <v>0.89408</v>
      </c>
      <c r="I188" s="3" t="n">
        <v>0</v>
      </c>
      <c r="J188" s="4" t="n">
        <v>1.31958424630011</v>
      </c>
    </row>
    <row r="189" customFormat="false" ht="15" hidden="false" customHeight="false" outlineLevel="0" collapsed="false">
      <c r="A189" s="0" t="n">
        <f aca="false">A188+1</f>
        <v>187</v>
      </c>
      <c r="B189" s="1" t="n">
        <v>0</v>
      </c>
      <c r="C189" s="1" t="n">
        <f aca="false">B189*$K$1</f>
        <v>0</v>
      </c>
      <c r="D189" s="1" t="n">
        <v>0</v>
      </c>
      <c r="E189" s="1" t="n">
        <f aca="false">D189*$K$1</f>
        <v>0</v>
      </c>
      <c r="F189" s="2" t="n">
        <v>19.8</v>
      </c>
      <c r="G189" s="0" t="n">
        <f aca="false">B189*F189+5</f>
        <v>5</v>
      </c>
      <c r="H189" s="3" t="n">
        <v>0.89408</v>
      </c>
      <c r="I189" s="3" t="n">
        <v>0</v>
      </c>
      <c r="J189" s="4" t="n">
        <v>1.31958424630011</v>
      </c>
    </row>
    <row r="190" customFormat="false" ht="15" hidden="false" customHeight="false" outlineLevel="0" collapsed="false">
      <c r="A190" s="0" t="n">
        <f aca="false">A189+1</f>
        <v>188</v>
      </c>
      <c r="B190" s="1" t="n">
        <v>0</v>
      </c>
      <c r="C190" s="1" t="n">
        <f aca="false">B190*$K$1</f>
        <v>0</v>
      </c>
      <c r="D190" s="1" t="n">
        <v>0</v>
      </c>
      <c r="E190" s="1" t="n">
        <f aca="false">D190*$K$1</f>
        <v>0</v>
      </c>
      <c r="F190" s="2" t="n">
        <v>20.8</v>
      </c>
      <c r="G190" s="0" t="n">
        <f aca="false">B190*F190+5</f>
        <v>5</v>
      </c>
      <c r="H190" s="3" t="n">
        <v>0.89408</v>
      </c>
      <c r="I190" s="3" t="n">
        <v>0</v>
      </c>
      <c r="J190" s="4" t="n">
        <v>1.31958424630011</v>
      </c>
    </row>
    <row r="191" customFormat="false" ht="15" hidden="false" customHeight="false" outlineLevel="0" collapsed="false">
      <c r="A191" s="0" t="n">
        <f aca="false">A190+1</f>
        <v>189</v>
      </c>
      <c r="B191" s="1" t="n">
        <v>0</v>
      </c>
      <c r="C191" s="1" t="n">
        <f aca="false">B191*$K$1</f>
        <v>0</v>
      </c>
      <c r="D191" s="1" t="n">
        <v>0</v>
      </c>
      <c r="E191" s="1" t="n">
        <f aca="false">D191*$K$1</f>
        <v>0</v>
      </c>
      <c r="F191" s="2" t="n">
        <v>21.8</v>
      </c>
      <c r="G191" s="0" t="n">
        <f aca="false">B191*F191+5</f>
        <v>5</v>
      </c>
      <c r="H191" s="3" t="n">
        <v>0.89408</v>
      </c>
      <c r="I191" s="3" t="n">
        <v>0</v>
      </c>
      <c r="J191" s="4" t="n">
        <v>1.31958424630011</v>
      </c>
    </row>
    <row r="192" customFormat="false" ht="15" hidden="false" customHeight="false" outlineLevel="0" collapsed="false">
      <c r="A192" s="0" t="n">
        <f aca="false">A191+1</f>
        <v>190</v>
      </c>
      <c r="B192" s="1" t="n">
        <v>0</v>
      </c>
      <c r="C192" s="1" t="n">
        <f aca="false">B192*$K$1</f>
        <v>0</v>
      </c>
      <c r="D192" s="1" t="n">
        <v>0</v>
      </c>
      <c r="E192" s="1" t="n">
        <f aca="false">D192*$K$1</f>
        <v>0</v>
      </c>
      <c r="F192" s="2" t="n">
        <v>22.8</v>
      </c>
      <c r="G192" s="0" t="n">
        <f aca="false">B192*F192+5</f>
        <v>5</v>
      </c>
      <c r="H192" s="3" t="n">
        <v>0.89408</v>
      </c>
      <c r="I192" s="3" t="n">
        <v>0</v>
      </c>
      <c r="J192" s="4" t="n">
        <v>1.31958424630011</v>
      </c>
    </row>
    <row r="193" customFormat="false" ht="15" hidden="false" customHeight="false" outlineLevel="0" collapsed="false">
      <c r="A193" s="0" t="n">
        <f aca="false">A192+1</f>
        <v>191</v>
      </c>
      <c r="B193" s="1" t="n">
        <v>0</v>
      </c>
      <c r="C193" s="1" t="n">
        <f aca="false">B193*$K$1</f>
        <v>0</v>
      </c>
      <c r="D193" s="1" t="n">
        <v>0</v>
      </c>
      <c r="E193" s="1" t="n">
        <f aca="false">D193*$K$1</f>
        <v>0</v>
      </c>
      <c r="F193" s="2" t="n">
        <v>23.8</v>
      </c>
      <c r="G193" s="0" t="n">
        <f aca="false">B193*F193+5</f>
        <v>5</v>
      </c>
      <c r="H193" s="3" t="n">
        <v>0.89408</v>
      </c>
      <c r="I193" s="3" t="n">
        <v>0</v>
      </c>
      <c r="J193" s="4" t="n">
        <v>1.31958424630011</v>
      </c>
    </row>
    <row r="194" customFormat="false" ht="15" hidden="false" customHeight="false" outlineLevel="0" collapsed="false">
      <c r="A194" s="0" t="n">
        <f aca="false">A193+1</f>
        <v>192</v>
      </c>
      <c r="B194" s="1" t="n">
        <v>0</v>
      </c>
      <c r="C194" s="1" t="n">
        <f aca="false">B194*$K$1</f>
        <v>0</v>
      </c>
      <c r="D194" s="1" t="n">
        <v>0</v>
      </c>
      <c r="E194" s="1" t="n">
        <f aca="false">D194*$K$1</f>
        <v>0</v>
      </c>
      <c r="F194" s="2" t="n">
        <v>24.8</v>
      </c>
      <c r="G194" s="0" t="n">
        <f aca="false">B194*F194+5</f>
        <v>5</v>
      </c>
      <c r="H194" s="3" t="n">
        <v>0.89408</v>
      </c>
      <c r="I194" s="3" t="n">
        <v>0</v>
      </c>
      <c r="J194" s="4" t="n">
        <v>1.31958424630011</v>
      </c>
    </row>
    <row r="195" customFormat="false" ht="15" hidden="false" customHeight="false" outlineLevel="0" collapsed="false">
      <c r="A195" s="0" t="n">
        <f aca="false">A194+1</f>
        <v>193</v>
      </c>
      <c r="B195" s="1" t="n">
        <v>0</v>
      </c>
      <c r="C195" s="1" t="n">
        <f aca="false">B195*$K$1</f>
        <v>0</v>
      </c>
      <c r="D195" s="1" t="n">
        <v>0</v>
      </c>
      <c r="E195" s="1" t="n">
        <f aca="false">D195*$K$1</f>
        <v>0</v>
      </c>
      <c r="F195" s="2" t="n">
        <v>25.8</v>
      </c>
      <c r="G195" s="0" t="n">
        <f aca="false">B195*F195+5</f>
        <v>5</v>
      </c>
      <c r="H195" s="3" t="n">
        <v>0.89408</v>
      </c>
      <c r="I195" s="3" t="n">
        <v>0</v>
      </c>
      <c r="J195" s="4" t="n">
        <v>1.31958424630011</v>
      </c>
    </row>
    <row r="196" customFormat="false" ht="15" hidden="false" customHeight="false" outlineLevel="0" collapsed="false">
      <c r="A196" s="0" t="n">
        <f aca="false">A195+1</f>
        <v>194</v>
      </c>
      <c r="B196" s="1" t="n">
        <v>0</v>
      </c>
      <c r="C196" s="1" t="n">
        <f aca="false">B196*$K$1</f>
        <v>0</v>
      </c>
      <c r="D196" s="1" t="n">
        <v>0</v>
      </c>
      <c r="E196" s="1" t="n">
        <f aca="false">D196*$K$1</f>
        <v>0</v>
      </c>
      <c r="F196" s="2" t="n">
        <v>26.8</v>
      </c>
      <c r="G196" s="0" t="n">
        <f aca="false">B196*F196+5</f>
        <v>5</v>
      </c>
      <c r="H196" s="3" t="n">
        <v>0.89408</v>
      </c>
      <c r="I196" s="3" t="n">
        <v>0</v>
      </c>
      <c r="J196" s="4" t="n">
        <v>1.31958424630011</v>
      </c>
    </row>
    <row r="197" customFormat="false" ht="15" hidden="false" customHeight="false" outlineLevel="0" collapsed="false">
      <c r="A197" s="0" t="n">
        <f aca="false">A196+1</f>
        <v>195</v>
      </c>
      <c r="B197" s="1" t="n">
        <v>0</v>
      </c>
      <c r="C197" s="1" t="n">
        <f aca="false">B197*$K$1</f>
        <v>0</v>
      </c>
      <c r="D197" s="1" t="n">
        <v>0</v>
      </c>
      <c r="E197" s="1" t="n">
        <f aca="false">D197*$K$1</f>
        <v>0</v>
      </c>
      <c r="F197" s="2" t="n">
        <v>27.8</v>
      </c>
      <c r="G197" s="0" t="n">
        <f aca="false">B197*F197+5</f>
        <v>5</v>
      </c>
      <c r="H197" s="3" t="n">
        <v>0.89408</v>
      </c>
      <c r="I197" s="3" t="n">
        <v>0</v>
      </c>
      <c r="J197" s="4" t="n">
        <v>1.31958424630011</v>
      </c>
    </row>
    <row r="198" customFormat="false" ht="15" hidden="false" customHeight="false" outlineLevel="0" collapsed="false">
      <c r="A198" s="0" t="n">
        <f aca="false">A197+1</f>
        <v>196</v>
      </c>
      <c r="B198" s="1" t="n">
        <v>0</v>
      </c>
      <c r="C198" s="1" t="n">
        <f aca="false">B198*$K$1</f>
        <v>0</v>
      </c>
      <c r="D198" s="1" t="n">
        <v>0</v>
      </c>
      <c r="E198" s="1" t="n">
        <f aca="false">D198*$K$1</f>
        <v>0</v>
      </c>
      <c r="F198" s="2" t="n">
        <v>28.8</v>
      </c>
      <c r="G198" s="0" t="n">
        <f aca="false">B198*F198+5</f>
        <v>5</v>
      </c>
      <c r="H198" s="3" t="n">
        <v>0.89408</v>
      </c>
      <c r="I198" s="3" t="n">
        <v>0</v>
      </c>
      <c r="J198" s="4" t="n">
        <v>1.31958424630011</v>
      </c>
    </row>
    <row r="199" customFormat="false" ht="15" hidden="false" customHeight="false" outlineLevel="0" collapsed="false">
      <c r="A199" s="0" t="n">
        <f aca="false">A198+1</f>
        <v>197</v>
      </c>
      <c r="B199" s="1" t="n">
        <v>0</v>
      </c>
      <c r="C199" s="1" t="n">
        <f aca="false">B199*$K$1</f>
        <v>0</v>
      </c>
      <c r="D199" s="1" t="n">
        <v>0</v>
      </c>
      <c r="E199" s="1" t="n">
        <f aca="false">D199*$K$1</f>
        <v>0</v>
      </c>
      <c r="F199" s="2" t="n">
        <v>29.8</v>
      </c>
      <c r="G199" s="0" t="n">
        <f aca="false">B199*F199+5</f>
        <v>5</v>
      </c>
      <c r="H199" s="3" t="n">
        <v>0.89408</v>
      </c>
      <c r="I199" s="3" t="n">
        <v>0</v>
      </c>
      <c r="J199" s="4" t="n">
        <v>1.31958424630011</v>
      </c>
    </row>
    <row r="200" customFormat="false" ht="15" hidden="false" customHeight="false" outlineLevel="0" collapsed="false">
      <c r="A200" s="0" t="n">
        <f aca="false">A199+1</f>
        <v>198</v>
      </c>
      <c r="B200" s="1" t="n">
        <v>0</v>
      </c>
      <c r="C200" s="1" t="n">
        <f aca="false">B200*$K$1</f>
        <v>0</v>
      </c>
      <c r="D200" s="1" t="n">
        <v>0</v>
      </c>
      <c r="E200" s="1" t="n">
        <f aca="false">D200*$K$1</f>
        <v>0</v>
      </c>
      <c r="F200" s="2" t="n">
        <v>30.8</v>
      </c>
      <c r="G200" s="0" t="n">
        <f aca="false">B200*F200+5</f>
        <v>5</v>
      </c>
      <c r="H200" s="3" t="n">
        <v>0.89408</v>
      </c>
      <c r="I200" s="3" t="n">
        <v>0</v>
      </c>
      <c r="J200" s="4" t="n">
        <v>1.31958424630011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H25" activeCellId="0" sqref="AH25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6.57"/>
    <col collapsed="false" customWidth="true" hidden="false" outlineLevel="0" max="3" min="3" style="0" width="11.57"/>
    <col collapsed="false" customWidth="true" hidden="false" outlineLevel="0" max="4" min="4" style="1" width="12.71"/>
    <col collapsed="false" customWidth="true" hidden="false" outlineLevel="0" max="6" min="5" style="1" width="22.28"/>
    <col collapsed="false" customWidth="true" hidden="false" outlineLevel="0" max="7" min="7" style="2" width="11.28"/>
    <col collapsed="false" customWidth="true" hidden="false" outlineLevel="0" max="8" min="8" style="0" width="20"/>
    <col collapsed="false" customWidth="true" hidden="false" outlineLevel="0" max="10" min="9" style="3" width="17.57"/>
    <col collapsed="false" customWidth="true" hidden="false" outlineLevel="0" max="11" min="11" style="4" width="17.57"/>
  </cols>
  <sheetData>
    <row r="1" customFormat="false" ht="15.75" hidden="false" customHeight="false" outlineLevel="0" collapsed="false">
      <c r="A1" s="5" t="s">
        <v>0</v>
      </c>
      <c r="B1" s="5" t="s">
        <v>13</v>
      </c>
      <c r="C1" s="5" t="s">
        <v>14</v>
      </c>
      <c r="D1" s="6" t="s">
        <v>15</v>
      </c>
      <c r="E1" s="6" t="s">
        <v>3</v>
      </c>
      <c r="F1" s="6" t="s">
        <v>4</v>
      </c>
      <c r="G1" s="7" t="s">
        <v>5</v>
      </c>
      <c r="H1" s="5" t="s">
        <v>16</v>
      </c>
      <c r="I1" s="8" t="s">
        <v>7</v>
      </c>
      <c r="J1" s="8" t="s">
        <v>8</v>
      </c>
      <c r="K1" s="9" t="s">
        <v>17</v>
      </c>
      <c r="L1" s="0" t="n">
        <v>2.237</v>
      </c>
      <c r="M1" s="0" t="s">
        <v>10</v>
      </c>
      <c r="N1" s="0" t="n">
        <v>0.5</v>
      </c>
    </row>
    <row r="2" customFormat="false" ht="15" hidden="false" customHeight="false" outlineLevel="0" collapsed="false">
      <c r="A2" s="0" t="n">
        <v>0</v>
      </c>
      <c r="B2" s="0" t="n">
        <v>0</v>
      </c>
      <c r="C2" s="1" t="n">
        <v>0</v>
      </c>
      <c r="D2" s="1" t="n">
        <f aca="false">C2*$L$1</f>
        <v>0</v>
      </c>
      <c r="E2" s="1" t="n">
        <v>0</v>
      </c>
      <c r="F2" s="1" t="n">
        <f aca="false">E2*$L$1</f>
        <v>0</v>
      </c>
      <c r="G2" s="2" t="n">
        <v>1</v>
      </c>
      <c r="H2" s="0" t="n">
        <f aca="false">C2*G2+5</f>
        <v>5</v>
      </c>
      <c r="I2" s="3" t="n">
        <v>0</v>
      </c>
      <c r="J2" s="3" t="n">
        <v>0</v>
      </c>
      <c r="K2" s="4" t="n">
        <v>5</v>
      </c>
      <c r="M2" s="0" t="s">
        <v>11</v>
      </c>
      <c r="N2" s="0" t="n">
        <v>0.2</v>
      </c>
    </row>
    <row r="3" customFormat="false" ht="15" hidden="false" customHeight="false" outlineLevel="0" collapsed="false">
      <c r="A3" s="0" t="n">
        <f aca="false">A2+1</f>
        <v>1</v>
      </c>
      <c r="B3" s="0" t="n">
        <f aca="false">B2+C3*1</f>
        <v>0</v>
      </c>
      <c r="C3" s="1" t="n">
        <v>0</v>
      </c>
      <c r="D3" s="1" t="n">
        <f aca="false">C3*$L$1</f>
        <v>0</v>
      </c>
      <c r="E3" s="1" t="n">
        <v>0</v>
      </c>
      <c r="F3" s="1" t="n">
        <f aca="false">E3*$L$1</f>
        <v>0</v>
      </c>
      <c r="G3" s="2" t="n">
        <v>1</v>
      </c>
      <c r="H3" s="0" t="n">
        <f aca="false">C3*G3+5</f>
        <v>5</v>
      </c>
      <c r="I3" s="3" t="n">
        <v>0</v>
      </c>
      <c r="J3" s="3" t="n">
        <v>0</v>
      </c>
      <c r="K3" s="4" t="n">
        <v>5</v>
      </c>
      <c r="L3" s="0" t="n">
        <f aca="false">20/L1</f>
        <v>8.94054537326777</v>
      </c>
      <c r="M3" s="0" t="s">
        <v>12</v>
      </c>
      <c r="N3" s="0" t="n">
        <v>0.4</v>
      </c>
    </row>
    <row r="4" customFormat="false" ht="15" hidden="false" customHeight="false" outlineLevel="0" collapsed="false">
      <c r="A4" s="0" t="n">
        <f aca="false">A3+1</f>
        <v>2</v>
      </c>
      <c r="B4" s="0" t="n">
        <f aca="false">B3+C4*1</f>
        <v>0</v>
      </c>
      <c r="C4" s="1" t="n">
        <v>0</v>
      </c>
      <c r="D4" s="1" t="n">
        <f aca="false">C4*$L$1</f>
        <v>0</v>
      </c>
      <c r="E4" s="1" t="n">
        <v>0</v>
      </c>
      <c r="F4" s="1" t="n">
        <f aca="false">E4*$L$1</f>
        <v>0</v>
      </c>
      <c r="G4" s="2" t="n">
        <v>1</v>
      </c>
      <c r="H4" s="0" t="n">
        <f aca="false">C4*G4+5</f>
        <v>5</v>
      </c>
      <c r="I4" s="3" t="n">
        <v>0</v>
      </c>
      <c r="J4" s="3" t="n">
        <v>0</v>
      </c>
      <c r="K4" s="4" t="n">
        <v>5</v>
      </c>
    </row>
    <row r="5" customFormat="false" ht="15" hidden="false" customHeight="false" outlineLevel="0" collapsed="false">
      <c r="A5" s="0" t="n">
        <f aca="false">A4+1</f>
        <v>3</v>
      </c>
      <c r="B5" s="0" t="n">
        <f aca="false">B4+C5*1</f>
        <v>0</v>
      </c>
      <c r="C5" s="1" t="n">
        <v>0</v>
      </c>
      <c r="D5" s="1" t="n">
        <f aca="false">C5*$L$1</f>
        <v>0</v>
      </c>
      <c r="E5" s="1" t="n">
        <v>0</v>
      </c>
      <c r="F5" s="1" t="n">
        <f aca="false">E5*$L$1</f>
        <v>0</v>
      </c>
      <c r="G5" s="2" t="n">
        <v>1</v>
      </c>
      <c r="H5" s="0" t="n">
        <f aca="false">C5*G5+5</f>
        <v>5</v>
      </c>
      <c r="I5" s="3" t="n">
        <v>0</v>
      </c>
      <c r="J5" s="3" t="n">
        <v>0</v>
      </c>
      <c r="K5" s="4" t="n">
        <v>5</v>
      </c>
    </row>
    <row r="6" customFormat="false" ht="15" hidden="false" customHeight="false" outlineLevel="0" collapsed="false">
      <c r="A6" s="0" t="n">
        <f aca="false">A5+1</f>
        <v>4</v>
      </c>
      <c r="B6" s="0" t="n">
        <f aca="false">B5+C6*1</f>
        <v>0</v>
      </c>
      <c r="C6" s="1" t="n">
        <v>0</v>
      </c>
      <c r="D6" s="1" t="n">
        <f aca="false">C6*$L$1</f>
        <v>0</v>
      </c>
      <c r="E6" s="1" t="n">
        <v>0</v>
      </c>
      <c r="F6" s="1" t="n">
        <f aca="false">E6*$L$1</f>
        <v>0</v>
      </c>
      <c r="G6" s="2" t="n">
        <v>1</v>
      </c>
      <c r="H6" s="0" t="n">
        <f aca="false">C6*G6+5</f>
        <v>5</v>
      </c>
      <c r="I6" s="3" t="n">
        <v>0</v>
      </c>
      <c r="J6" s="3" t="n">
        <v>0</v>
      </c>
      <c r="K6" s="4" t="n">
        <v>5</v>
      </c>
    </row>
    <row r="7" customFormat="false" ht="15" hidden="false" customHeight="false" outlineLevel="0" collapsed="false">
      <c r="A7" s="0" t="n">
        <f aca="false">A6+1</f>
        <v>5</v>
      </c>
      <c r="B7" s="0" t="n">
        <f aca="false">B6+C7*1</f>
        <v>0</v>
      </c>
      <c r="C7" s="1" t="n">
        <v>0</v>
      </c>
      <c r="D7" s="1" t="n">
        <f aca="false">C7*$L$1</f>
        <v>0</v>
      </c>
      <c r="E7" s="1" t="n">
        <v>0</v>
      </c>
      <c r="F7" s="1" t="n">
        <f aca="false">E7*$L$1</f>
        <v>0</v>
      </c>
      <c r="G7" s="2" t="n">
        <v>1</v>
      </c>
      <c r="H7" s="0" t="n">
        <f aca="false">C7*G7+5</f>
        <v>5</v>
      </c>
      <c r="I7" s="3" t="n">
        <v>0</v>
      </c>
      <c r="J7" s="3" t="n">
        <v>0</v>
      </c>
      <c r="K7" s="4" t="n">
        <v>5</v>
      </c>
    </row>
    <row r="8" customFormat="false" ht="15" hidden="false" customHeight="false" outlineLevel="0" collapsed="false">
      <c r="A8" s="0" t="n">
        <f aca="false">A7+1</f>
        <v>6</v>
      </c>
      <c r="B8" s="0" t="n">
        <f aca="false">B7+C8*1</f>
        <v>0</v>
      </c>
      <c r="C8" s="1" t="n">
        <v>0</v>
      </c>
      <c r="D8" s="1" t="n">
        <f aca="false">C8*$L$1</f>
        <v>0</v>
      </c>
      <c r="E8" s="1" t="n">
        <v>0</v>
      </c>
      <c r="F8" s="1" t="n">
        <f aca="false">E8*$L$1</f>
        <v>0</v>
      </c>
      <c r="G8" s="2" t="n">
        <v>1</v>
      </c>
      <c r="H8" s="0" t="n">
        <f aca="false">C8*G8+5</f>
        <v>5</v>
      </c>
      <c r="I8" s="3" t="n">
        <v>0</v>
      </c>
      <c r="J8" s="3" t="n">
        <v>0</v>
      </c>
      <c r="K8" s="4" t="n">
        <v>5</v>
      </c>
    </row>
    <row r="9" customFormat="false" ht="15" hidden="false" customHeight="false" outlineLevel="0" collapsed="false">
      <c r="A9" s="0" t="n">
        <f aca="false">A8+1</f>
        <v>7</v>
      </c>
      <c r="B9" s="0" t="n">
        <f aca="false">B8+C9*1</f>
        <v>0</v>
      </c>
      <c r="C9" s="1" t="n">
        <v>0</v>
      </c>
      <c r="D9" s="1" t="n">
        <f aca="false">C9*$L$1</f>
        <v>0</v>
      </c>
      <c r="E9" s="1" t="n">
        <v>0</v>
      </c>
      <c r="F9" s="1" t="n">
        <f aca="false">E9*$L$1</f>
        <v>0</v>
      </c>
      <c r="G9" s="2" t="n">
        <v>1</v>
      </c>
      <c r="H9" s="0" t="n">
        <f aca="false">C9*G9+5</f>
        <v>5</v>
      </c>
      <c r="I9" s="3" t="n">
        <v>0</v>
      </c>
      <c r="J9" s="3" t="n">
        <v>0</v>
      </c>
      <c r="K9" s="4" t="n">
        <v>5</v>
      </c>
    </row>
    <row r="10" customFormat="false" ht="15" hidden="false" customHeight="false" outlineLevel="0" collapsed="false">
      <c r="A10" s="0" t="n">
        <f aca="false">A9+1</f>
        <v>8</v>
      </c>
      <c r="B10" s="0" t="n">
        <f aca="false">B9+C10*1</f>
        <v>0</v>
      </c>
      <c r="C10" s="1" t="n">
        <v>0</v>
      </c>
      <c r="D10" s="1" t="n">
        <f aca="false">C10*$L$1</f>
        <v>0</v>
      </c>
      <c r="E10" s="1" t="n">
        <v>0</v>
      </c>
      <c r="F10" s="1" t="n">
        <f aca="false">E10*$L$1</f>
        <v>0</v>
      </c>
      <c r="G10" s="2" t="n">
        <v>1</v>
      </c>
      <c r="H10" s="0" t="n">
        <f aca="false">C10*G10+5</f>
        <v>5</v>
      </c>
      <c r="I10" s="3" t="n">
        <v>0</v>
      </c>
      <c r="J10" s="3" t="n">
        <v>0</v>
      </c>
      <c r="K10" s="4" t="n">
        <v>5</v>
      </c>
    </row>
    <row r="11" customFormat="false" ht="15" hidden="false" customHeight="false" outlineLevel="0" collapsed="false">
      <c r="A11" s="0" t="n">
        <f aca="false">A10+1</f>
        <v>9</v>
      </c>
      <c r="B11" s="0" t="n">
        <f aca="false">B10+C11*1</f>
        <v>0</v>
      </c>
      <c r="C11" s="1" t="n">
        <v>0</v>
      </c>
      <c r="D11" s="1" t="n">
        <f aca="false">C11*$L$1</f>
        <v>0</v>
      </c>
      <c r="E11" s="1" t="n">
        <v>0</v>
      </c>
      <c r="F11" s="1" t="n">
        <f aca="false">E11*$L$1</f>
        <v>0</v>
      </c>
      <c r="G11" s="2" t="n">
        <v>1</v>
      </c>
      <c r="H11" s="0" t="n">
        <f aca="false">C11*G11+5</f>
        <v>5</v>
      </c>
      <c r="I11" s="3" t="n">
        <v>0</v>
      </c>
      <c r="J11" s="3" t="n">
        <v>0</v>
      </c>
      <c r="K11" s="4" t="n">
        <v>5</v>
      </c>
    </row>
    <row r="12" customFormat="false" ht="15" hidden="false" customHeight="false" outlineLevel="0" collapsed="false">
      <c r="A12" s="0" t="n">
        <f aca="false">A11+1</f>
        <v>10</v>
      </c>
      <c r="B12" s="0" t="n">
        <f aca="false">B11+C12*1</f>
        <v>0</v>
      </c>
      <c r="C12" s="1" t="n">
        <v>0</v>
      </c>
      <c r="D12" s="1" t="n">
        <f aca="false">C12*$L$1</f>
        <v>0</v>
      </c>
      <c r="E12" s="1" t="n">
        <v>0</v>
      </c>
      <c r="F12" s="1" t="n">
        <f aca="false">E12*$L$1</f>
        <v>0</v>
      </c>
      <c r="G12" s="2" t="n">
        <v>1</v>
      </c>
      <c r="H12" s="0" t="n">
        <f aca="false">C12*G12+5</f>
        <v>5</v>
      </c>
      <c r="I12" s="3" t="n">
        <v>0</v>
      </c>
      <c r="J12" s="3" t="n">
        <v>0</v>
      </c>
      <c r="K12" s="4" t="n">
        <v>5</v>
      </c>
    </row>
    <row r="13" customFormat="false" ht="15" hidden="false" customHeight="false" outlineLevel="0" collapsed="false">
      <c r="A13" s="0" t="n">
        <f aca="false">A12+1</f>
        <v>11</v>
      </c>
      <c r="B13" s="0" t="n">
        <f aca="false">B12+C13*1</f>
        <v>0.89408</v>
      </c>
      <c r="C13" s="1" t="n">
        <f aca="false">C12+I13*1</f>
        <v>0.89408</v>
      </c>
      <c r="D13" s="1" t="n">
        <f aca="false">C13*$L$1</f>
        <v>2.00005696</v>
      </c>
      <c r="E13" s="1" t="n">
        <v>0.1072896</v>
      </c>
      <c r="F13" s="1" t="n">
        <f aca="false">E13*$L$1</f>
        <v>0.2400068352</v>
      </c>
      <c r="G13" s="2" t="n">
        <v>1</v>
      </c>
      <c r="H13" s="0" t="n">
        <f aca="false">C13*G13+5</f>
        <v>5.89408</v>
      </c>
      <c r="I13" s="3" t="n">
        <v>0.89408</v>
      </c>
      <c r="J13" s="3" t="n">
        <v>0</v>
      </c>
      <c r="K13" s="4" t="n">
        <v>5.41723733333333</v>
      </c>
    </row>
    <row r="14" customFormat="false" ht="15" hidden="false" customHeight="false" outlineLevel="0" collapsed="false">
      <c r="A14" s="0" t="n">
        <f aca="false">A13+1</f>
        <v>12</v>
      </c>
      <c r="B14" s="0" t="n">
        <f aca="false">B13+C14*1</f>
        <v>2.68224</v>
      </c>
      <c r="C14" s="1" t="n">
        <f aca="false">C13+I14*1</f>
        <v>1.78816</v>
      </c>
      <c r="D14" s="1" t="n">
        <f aca="false">C14*$L$1</f>
        <v>4.00011392</v>
      </c>
      <c r="E14" s="1" t="n">
        <v>0.456783485155556</v>
      </c>
      <c r="F14" s="1" t="n">
        <f aca="false">E14*$L$1</f>
        <v>1.02182465629298</v>
      </c>
      <c r="G14" s="2" t="n">
        <v>1</v>
      </c>
      <c r="H14" s="0" t="n">
        <f aca="false">C14*G14+5</f>
        <v>6.78816</v>
      </c>
      <c r="I14" s="3" t="n">
        <v>0.89408</v>
      </c>
      <c r="J14" s="3" t="n">
        <v>0</v>
      </c>
      <c r="K14" s="4" t="n">
        <v>6.49998808177778</v>
      </c>
    </row>
    <row r="15" customFormat="false" ht="15" hidden="false" customHeight="false" outlineLevel="0" collapsed="false">
      <c r="A15" s="0" t="n">
        <f aca="false">A14+1</f>
        <v>13</v>
      </c>
      <c r="B15" s="0" t="n">
        <f aca="false">B14+C15*1</f>
        <v>5.36448</v>
      </c>
      <c r="C15" s="1" t="n">
        <f aca="false">C14+I15*1</f>
        <v>2.68224</v>
      </c>
      <c r="D15" s="1" t="n">
        <f aca="false">C15*$L$1</f>
        <v>6.00017088</v>
      </c>
      <c r="E15" s="1" t="n">
        <v>1.05622591946145</v>
      </c>
      <c r="F15" s="1" t="n">
        <f aca="false">E15*$L$1</f>
        <v>2.36277738183526</v>
      </c>
      <c r="G15" s="2" t="n">
        <v>1</v>
      </c>
      <c r="H15" s="0" t="n">
        <f aca="false">C15*G15+5</f>
        <v>7.68224</v>
      </c>
      <c r="I15" s="3" t="n">
        <v>0.89408</v>
      </c>
      <c r="J15" s="3" t="n">
        <v>0</v>
      </c>
      <c r="K15" s="4" t="n">
        <v>7.99842568313363</v>
      </c>
    </row>
    <row r="16" customFormat="false" ht="15" hidden="false" customHeight="false" outlineLevel="0" collapsed="false">
      <c r="A16" s="0" t="n">
        <f aca="false">A15+1</f>
        <v>14</v>
      </c>
      <c r="B16" s="0" t="n">
        <f aca="false">B15+C16*1</f>
        <v>8.9408</v>
      </c>
      <c r="C16" s="1" t="n">
        <f aca="false">C15+I16*1</f>
        <v>3.57632</v>
      </c>
      <c r="D16" s="1" t="n">
        <f aca="false">C16*$L$1</f>
        <v>8.00022784</v>
      </c>
      <c r="E16" s="1" t="n">
        <v>1.87059333638956</v>
      </c>
      <c r="F16" s="1" t="n">
        <f aca="false">E16*$L$1</f>
        <v>4.18451729350345</v>
      </c>
      <c r="G16" s="2" t="n">
        <v>1</v>
      </c>
      <c r="H16" s="0" t="n">
        <f aca="false">C16*G16+5</f>
        <v>8.57632</v>
      </c>
      <c r="I16" s="3" t="n">
        <v>0.89408</v>
      </c>
      <c r="J16" s="3" t="n">
        <v>0</v>
      </c>
      <c r="K16" s="4" t="n">
        <v>9.67823142782263</v>
      </c>
    </row>
    <row r="17" customFormat="false" ht="15" hidden="false" customHeight="false" outlineLevel="0" collapsed="false">
      <c r="A17" s="0" t="n">
        <f aca="false">A16+1</f>
        <v>15</v>
      </c>
      <c r="B17" s="0" t="n">
        <f aca="false">B16+C17*1</f>
        <v>13.4112</v>
      </c>
      <c r="C17" s="1" t="n">
        <f aca="false">C16+I17*1</f>
        <v>4.4704</v>
      </c>
      <c r="D17" s="1" t="n">
        <f aca="false">C17*$L$1</f>
        <v>10.0002848</v>
      </c>
      <c r="E17" s="1" t="n">
        <v>2.8418331217027</v>
      </c>
      <c r="F17" s="1" t="n">
        <f aca="false">E17*$L$1</f>
        <v>6.35718069324894</v>
      </c>
      <c r="G17" s="2" t="n">
        <v>1</v>
      </c>
      <c r="H17" s="0" t="n">
        <f aca="false">C17*G17+5</f>
        <v>9.4704</v>
      </c>
      <c r="I17" s="3" t="n">
        <v>0.89408</v>
      </c>
      <c r="J17" s="3" t="n">
        <v>0</v>
      </c>
      <c r="K17" s="4" t="n">
        <v>11.3531795905423</v>
      </c>
    </row>
    <row r="18" customFormat="false" ht="15" hidden="false" customHeight="false" outlineLevel="0" collapsed="false">
      <c r="A18" s="0" t="n">
        <f aca="false">A17+1</f>
        <v>16</v>
      </c>
      <c r="B18" s="0" t="n">
        <f aca="false">B17+C18*1</f>
        <v>18.77568</v>
      </c>
      <c r="C18" s="1" t="n">
        <f aca="false">C17+I18*1</f>
        <v>5.36448</v>
      </c>
      <c r="D18" s="1" t="n">
        <f aca="false">C18*$L$1</f>
        <v>12.00034176</v>
      </c>
      <c r="E18" s="1" t="n">
        <v>3.90579810223419</v>
      </c>
      <c r="F18" s="1" t="n">
        <f aca="false">E18*$L$1</f>
        <v>8.73727035469788</v>
      </c>
      <c r="G18" s="2" t="n">
        <v>1</v>
      </c>
      <c r="H18" s="0" t="n">
        <f aca="false">C18*G18+5</f>
        <v>10.36448</v>
      </c>
      <c r="I18" s="3" t="n">
        <v>0.89408</v>
      </c>
      <c r="J18" s="3" t="n">
        <v>0</v>
      </c>
      <c r="K18" s="4" t="n">
        <v>12.8992390828111</v>
      </c>
    </row>
    <row r="19" customFormat="false" ht="15" hidden="false" customHeight="false" outlineLevel="0" collapsed="false">
      <c r="A19" s="0" t="n">
        <f aca="false">A18+1</f>
        <v>17</v>
      </c>
      <c r="B19" s="0" t="n">
        <f aca="false">B18+C19*1</f>
        <v>25.03424</v>
      </c>
      <c r="C19" s="1" t="n">
        <f aca="false">C18+I19*1</f>
        <v>6.25856</v>
      </c>
      <c r="D19" s="1" t="n">
        <f aca="false">C19*$L$1</f>
        <v>14.00039872</v>
      </c>
      <c r="E19" s="1" t="n">
        <v>5.00457696340428</v>
      </c>
      <c r="F19" s="1" t="n">
        <f aca="false">E19*$L$1</f>
        <v>11.1952386671354</v>
      </c>
      <c r="G19" s="2" t="n">
        <v>1</v>
      </c>
      <c r="H19" s="0" t="n">
        <f aca="false">C19*G19+5</f>
        <v>11.25856</v>
      </c>
      <c r="I19" s="3" t="n">
        <v>0.89408</v>
      </c>
      <c r="J19" s="3" t="n">
        <v>0</v>
      </c>
      <c r="K19" s="4" t="n">
        <v>14.2540182678617</v>
      </c>
    </row>
    <row r="20" customFormat="false" ht="15" hidden="false" customHeight="false" outlineLevel="0" collapsed="false">
      <c r="A20" s="0" t="n">
        <f aca="false">A19+1</f>
        <v>18</v>
      </c>
      <c r="B20" s="0" t="n">
        <f aca="false">B19+C20*1</f>
        <v>32.18688</v>
      </c>
      <c r="C20" s="1" t="n">
        <f aca="false">C19+I20*1</f>
        <v>7.15264</v>
      </c>
      <c r="D20" s="1" t="n">
        <f aca="false">C20*$L$1</f>
        <v>16.00045568</v>
      </c>
      <c r="E20" s="1" t="n">
        <v>6.09375508868968</v>
      </c>
      <c r="F20" s="1" t="n">
        <f aca="false">E20*$L$1</f>
        <v>13.6317301333988</v>
      </c>
      <c r="G20" s="2" t="n">
        <v>1</v>
      </c>
      <c r="H20" s="0" t="n">
        <f aca="false">C20*G20+5</f>
        <v>12.15264</v>
      </c>
      <c r="I20" s="3" t="n">
        <v>0.89408</v>
      </c>
      <c r="J20" s="3" t="n">
        <v>0</v>
      </c>
      <c r="K20" s="4" t="n">
        <v>15.4064757603463</v>
      </c>
    </row>
    <row r="21" customFormat="false" ht="15" hidden="false" customHeight="false" outlineLevel="0" collapsed="false">
      <c r="A21" s="0" t="n">
        <f aca="false">A20+1</f>
        <v>19</v>
      </c>
      <c r="B21" s="0" t="n">
        <f aca="false">B20+C21*1</f>
        <v>40.2336</v>
      </c>
      <c r="C21" s="1" t="n">
        <f aca="false">C20+I21*1</f>
        <v>8.04672</v>
      </c>
      <c r="D21" s="1" t="n">
        <f aca="false">C21*$L$1</f>
        <v>18.00051264</v>
      </c>
      <c r="E21" s="1" t="n">
        <v>7.14510946683399</v>
      </c>
      <c r="F21" s="1" t="n">
        <f aca="false">E21*$L$1</f>
        <v>15.9836098773076</v>
      </c>
      <c r="G21" s="2" t="n">
        <v>1</v>
      </c>
      <c r="H21" s="0" t="n">
        <f aca="false">C21*G21+5</f>
        <v>13.04672</v>
      </c>
      <c r="I21" s="3" t="n">
        <v>0.89408</v>
      </c>
      <c r="J21" s="3" t="n">
        <v>0</v>
      </c>
      <c r="K21" s="4" t="n">
        <v>16.3817626907558</v>
      </c>
    </row>
    <row r="22" customFormat="false" ht="15" hidden="false" customHeight="false" outlineLevel="0" collapsed="false">
      <c r="A22" s="0" t="n">
        <f aca="false">A21+1</f>
        <v>20</v>
      </c>
      <c r="B22" s="0" t="n">
        <f aca="false">B21+C22*1</f>
        <v>49.1744</v>
      </c>
      <c r="C22" s="1" t="n">
        <f aca="false">C21+I22*1</f>
        <v>8.9408</v>
      </c>
      <c r="D22" s="1" t="n">
        <f aca="false">C22*$L$1</f>
        <v>20.0005696</v>
      </c>
      <c r="E22" s="1" t="n">
        <v>8.14580982916632</v>
      </c>
      <c r="F22" s="1" t="n">
        <f aca="false">E22*$L$1</f>
        <v>18.2221765878451</v>
      </c>
      <c r="G22" s="2" t="n">
        <v>1</v>
      </c>
      <c r="H22" s="0" t="n">
        <f aca="false">C22*G22+5</f>
        <v>13.9408</v>
      </c>
      <c r="I22" s="3" t="n">
        <v>0.89408</v>
      </c>
      <c r="J22" s="3" t="n">
        <v>0</v>
      </c>
      <c r="K22" s="4" t="n">
        <v>17.2252406805353</v>
      </c>
    </row>
    <row r="23" customFormat="false" ht="15" hidden="false" customHeight="false" outlineLevel="0" collapsed="false">
      <c r="A23" s="0" t="n">
        <f aca="false">A22+1</f>
        <v>21</v>
      </c>
      <c r="B23" s="0" t="n">
        <f aca="false">B22+C23*1</f>
        <v>58.1152</v>
      </c>
      <c r="C23" s="1" t="n">
        <f aca="false">C22+I23*1</f>
        <v>8.9408</v>
      </c>
      <c r="D23" s="1" t="n">
        <f aca="false">C23*$L$1</f>
        <v>20.0005696</v>
      </c>
      <c r="E23" s="1" t="n">
        <v>8.98811711282807</v>
      </c>
      <c r="F23" s="1" t="n">
        <f aca="false">E23*$L$1</f>
        <v>20.1064179813964</v>
      </c>
      <c r="G23" s="2" t="n">
        <v>1</v>
      </c>
      <c r="H23" s="0" t="n">
        <f aca="false">C23*G23+5</f>
        <v>13.9408</v>
      </c>
      <c r="I23" s="3" t="n">
        <v>0</v>
      </c>
      <c r="J23" s="3" t="n">
        <v>0</v>
      </c>
      <c r="K23" s="4" t="n">
        <v>17.5712813570837</v>
      </c>
    </row>
    <row r="24" customFormat="false" ht="15" hidden="false" customHeight="false" outlineLevel="0" collapsed="false">
      <c r="A24" s="0" t="n">
        <f aca="false">A23+1</f>
        <v>22</v>
      </c>
      <c r="B24" s="0" t="n">
        <f aca="false">B23+C24*1</f>
        <v>67.056</v>
      </c>
      <c r="C24" s="1" t="n">
        <f aca="false">C23+I24*1</f>
        <v>8.9408</v>
      </c>
      <c r="D24" s="1" t="n">
        <f aca="false">C24*$L$1</f>
        <v>20.0005696</v>
      </c>
      <c r="E24" s="1" t="n">
        <v>9.54503737456947</v>
      </c>
      <c r="F24" s="1" t="n">
        <f aca="false">E24*$L$1</f>
        <v>21.3522486069119</v>
      </c>
      <c r="G24" s="2" t="n">
        <v>1</v>
      </c>
      <c r="H24" s="0" t="n">
        <f aca="false">C24*G24+5</f>
        <v>13.9408</v>
      </c>
      <c r="I24" s="3" t="n">
        <v>0</v>
      </c>
      <c r="J24" s="3" t="n">
        <v>0</v>
      </c>
      <c r="K24" s="4" t="n">
        <v>17.2191013966261</v>
      </c>
    </row>
    <row r="25" customFormat="false" ht="15" hidden="false" customHeight="false" outlineLevel="0" collapsed="false">
      <c r="A25" s="0" t="n">
        <f aca="false">A24+1</f>
        <v>23</v>
      </c>
      <c r="B25" s="0" t="n">
        <f aca="false">B24+C25*1</f>
        <v>75.9968</v>
      </c>
      <c r="C25" s="1" t="n">
        <f aca="false">C24+I25*1</f>
        <v>8.9408</v>
      </c>
      <c r="D25" s="1" t="n">
        <f aca="false">C25*$L$1</f>
        <v>20.0005696</v>
      </c>
      <c r="E25" s="1" t="n">
        <v>9.82108263017475</v>
      </c>
      <c r="F25" s="1" t="n">
        <f aca="false">E25*$L$1</f>
        <v>21.9697618437009</v>
      </c>
      <c r="G25" s="2" t="n">
        <v>1</v>
      </c>
      <c r="H25" s="0" t="n">
        <f aca="false">C25*G25+5</f>
        <v>13.9408</v>
      </c>
      <c r="I25" s="3" t="n">
        <v>0</v>
      </c>
      <c r="J25" s="3" t="n">
        <v>0</v>
      </c>
      <c r="K25" s="4" t="n">
        <v>16.4556202917601</v>
      </c>
    </row>
    <row r="26" customFormat="false" ht="15" hidden="false" customHeight="false" outlineLevel="0" collapsed="false">
      <c r="A26" s="0" t="n">
        <f aca="false">A25+1</f>
        <v>24</v>
      </c>
      <c r="B26" s="0" t="n">
        <f aca="false">B25+C26*1</f>
        <v>84.9376</v>
      </c>
      <c r="C26" s="1" t="n">
        <f aca="false">C25+I26*1</f>
        <v>8.9408</v>
      </c>
      <c r="D26" s="1" t="n">
        <f aca="false">C26*$L$1</f>
        <v>20.0005696</v>
      </c>
      <c r="E26" s="1" t="n">
        <v>9.86446660054342</v>
      </c>
      <c r="F26" s="1" t="n">
        <f aca="false">E26*$L$1</f>
        <v>22.0668117854156</v>
      </c>
      <c r="G26" s="2" t="n">
        <v>1</v>
      </c>
      <c r="H26" s="0" t="n">
        <f aca="false">C26*G26+5</f>
        <v>13.9408</v>
      </c>
      <c r="I26" s="3" t="n">
        <v>0</v>
      </c>
      <c r="J26" s="3" t="n">
        <v>0</v>
      </c>
      <c r="K26" s="4" t="n">
        <v>15.5393116465356</v>
      </c>
    </row>
    <row r="27" customFormat="false" ht="15" hidden="false" customHeight="false" outlineLevel="0" collapsed="false">
      <c r="A27" s="0" t="n">
        <f aca="false">A26+1</f>
        <v>25</v>
      </c>
      <c r="B27" s="0" t="n">
        <f aca="false">B26+C27*1</f>
        <v>93.8784</v>
      </c>
      <c r="C27" s="1" t="n">
        <f aca="false">C26+I27*1</f>
        <v>8.9408</v>
      </c>
      <c r="D27" s="1" t="n">
        <f aca="false">C27*$L$1</f>
        <v>20.0005696</v>
      </c>
      <c r="E27" s="1" t="n">
        <v>9.74493580850752</v>
      </c>
      <c r="F27" s="1" t="n">
        <f aca="false">E27*$L$1</f>
        <v>21.7994214036313</v>
      </c>
      <c r="G27" s="2" t="n">
        <v>1</v>
      </c>
      <c r="H27" s="0" t="n">
        <f aca="false">C27*G27+5</f>
        <v>13.9408</v>
      </c>
      <c r="I27" s="3" t="n">
        <v>0</v>
      </c>
      <c r="J27" s="3" t="n">
        <v>0</v>
      </c>
      <c r="K27" s="4" t="n">
        <v>14.6679984674047</v>
      </c>
    </row>
    <row r="28" customFormat="false" ht="15" hidden="false" customHeight="false" outlineLevel="0" collapsed="false">
      <c r="A28" s="0" t="n">
        <f aca="false">A27+1</f>
        <v>26</v>
      </c>
      <c r="B28" s="0" t="n">
        <f aca="false">B27+C28*1</f>
        <v>102.8192</v>
      </c>
      <c r="C28" s="1" t="n">
        <f aca="false">C27+I28*1</f>
        <v>8.9408</v>
      </c>
      <c r="D28" s="1" t="n">
        <f aca="false">C28*$L$1</f>
        <v>20.0005696</v>
      </c>
      <c r="E28" s="1" t="n">
        <v>9.5354470986987</v>
      </c>
      <c r="F28" s="1" t="n">
        <f aca="false">E28*$L$1</f>
        <v>21.330795159789</v>
      </c>
      <c r="G28" s="2" t="n">
        <v>1</v>
      </c>
      <c r="H28" s="0" t="n">
        <f aca="false">C28*G28+5</f>
        <v>13.9408</v>
      </c>
      <c r="I28" s="3" t="n">
        <v>0</v>
      </c>
      <c r="J28" s="3" t="n">
        <v>0</v>
      </c>
      <c r="K28" s="4" t="n">
        <v>13.9670268588137</v>
      </c>
    </row>
    <row r="29" customFormat="false" ht="15" hidden="false" customHeight="false" outlineLevel="0" collapsed="false">
      <c r="A29" s="0" t="n">
        <f aca="false">A28+1</f>
        <v>27</v>
      </c>
      <c r="B29" s="0" t="n">
        <f aca="false">B28+C29*1</f>
        <v>111.76</v>
      </c>
      <c r="C29" s="1" t="n">
        <f aca="false">C28+I29*1</f>
        <v>8.9408</v>
      </c>
      <c r="D29" s="1" t="n">
        <f aca="false">C29*$L$1</f>
        <v>20.0005696</v>
      </c>
      <c r="E29" s="1" t="n">
        <v>9.29937099908953</v>
      </c>
      <c r="F29" s="1" t="n">
        <f aca="false">E29*$L$1</f>
        <v>20.8026929249633</v>
      </c>
      <c r="G29" s="2" t="n">
        <v>1</v>
      </c>
      <c r="H29" s="0" t="n">
        <f aca="false">C29*G29+5</f>
        <v>13.9408</v>
      </c>
      <c r="I29" s="3" t="n">
        <v>0</v>
      </c>
      <c r="J29" s="3" t="n">
        <v>0</v>
      </c>
      <c r="K29" s="4" t="n">
        <v>13.4930004994155</v>
      </c>
    </row>
    <row r="30" customFormat="false" ht="15" hidden="false" customHeight="false" outlineLevel="0" collapsed="false">
      <c r="A30" s="0" t="n">
        <f aca="false">A29+1</f>
        <v>28</v>
      </c>
      <c r="B30" s="0" t="n">
        <f aca="false">B29+C30*1</f>
        <v>120.7008</v>
      </c>
      <c r="C30" s="1" t="n">
        <f aca="false">C29+I30*1</f>
        <v>8.9408</v>
      </c>
      <c r="D30" s="1" t="n">
        <f aca="false">C30*$L$1</f>
        <v>20.0005696</v>
      </c>
      <c r="E30" s="1" t="n">
        <v>9.08345746136462</v>
      </c>
      <c r="F30" s="1" t="n">
        <f aca="false">E30*$L$1</f>
        <v>20.3196943410727</v>
      </c>
      <c r="G30" s="2" t="n">
        <v>1</v>
      </c>
      <c r="H30" s="0" t="n">
        <f aca="false">C30*G30+5</f>
        <v>13.9408</v>
      </c>
      <c r="I30" s="3" t="n">
        <v>0</v>
      </c>
      <c r="J30" s="3" t="n">
        <v>0</v>
      </c>
      <c r="K30" s="4" t="n">
        <v>13.2473434635218</v>
      </c>
    </row>
    <row r="31" customFormat="false" ht="15" hidden="false" customHeight="false" outlineLevel="0" collapsed="false">
      <c r="A31" s="0" t="n">
        <f aca="false">A30+1</f>
        <v>29</v>
      </c>
      <c r="B31" s="0" t="n">
        <f aca="false">B30+C31*1</f>
        <v>129.6416</v>
      </c>
      <c r="C31" s="1" t="n">
        <f aca="false">C30+I31*1</f>
        <v>8.9408</v>
      </c>
      <c r="D31" s="1" t="n">
        <f aca="false">C31*$L$1</f>
        <v>20.0005696</v>
      </c>
      <c r="E31" s="1" t="n">
        <v>8.91579540985211</v>
      </c>
      <c r="F31" s="1" t="n">
        <f aca="false">E31*$L$1</f>
        <v>19.9446343318392</v>
      </c>
      <c r="G31" s="2" t="n">
        <v>1</v>
      </c>
      <c r="H31" s="0" t="n">
        <f aca="false">C31*G31+5</f>
        <v>13.9408</v>
      </c>
      <c r="I31" s="3" t="n">
        <v>0</v>
      </c>
      <c r="J31" s="3" t="n">
        <v>0</v>
      </c>
      <c r="K31" s="4" t="n">
        <v>13.1942681106673</v>
      </c>
    </row>
    <row r="32" customFormat="false" ht="15" hidden="false" customHeight="false" outlineLevel="0" collapsed="false">
      <c r="A32" s="0" t="n">
        <f aca="false">A31+1</f>
        <v>30</v>
      </c>
      <c r="B32" s="0" t="n">
        <f aca="false">B31+C32*1</f>
        <v>138.5824</v>
      </c>
      <c r="C32" s="1" t="n">
        <f aca="false">C31+I32*1</f>
        <v>8.9408</v>
      </c>
      <c r="D32" s="1" t="n">
        <f aca="false">C32*$L$1</f>
        <v>20.0005696</v>
      </c>
      <c r="E32" s="1" t="n">
        <v>8.80744753783107</v>
      </c>
      <c r="F32" s="1" t="n">
        <f aca="false">E32*$L$1</f>
        <v>19.7022601421281</v>
      </c>
      <c r="G32" s="2" t="n">
        <v>1</v>
      </c>
      <c r="H32" s="0" t="n">
        <f aca="false">C32*G32+5</f>
        <v>13.9408</v>
      </c>
      <c r="I32" s="3" t="n">
        <v>0</v>
      </c>
      <c r="J32" s="3" t="n">
        <v>0</v>
      </c>
      <c r="K32" s="4" t="n">
        <v>13.2788045159268</v>
      </c>
    </row>
    <row r="33" customFormat="false" ht="15" hidden="false" customHeight="false" outlineLevel="0" collapsed="false">
      <c r="A33" s="0" t="n">
        <f aca="false">A32+1</f>
        <v>31</v>
      </c>
      <c r="B33" s="0" t="n">
        <f aca="false">B32+C33*1</f>
        <v>147.5232</v>
      </c>
      <c r="C33" s="1" t="n">
        <f aca="false">C32+I33*1</f>
        <v>8.9408</v>
      </c>
      <c r="D33" s="1" t="n">
        <f aca="false">C33*$L$1</f>
        <v>20.0005696</v>
      </c>
      <c r="E33" s="1" t="n">
        <v>8.75628531574104</v>
      </c>
      <c r="F33" s="1" t="n">
        <f aca="false">E33*$L$1</f>
        <v>19.5878102513127</v>
      </c>
      <c r="G33" s="2" t="n">
        <v>1</v>
      </c>
      <c r="H33" s="0" t="n">
        <f aca="false">C33*G33+5</f>
        <v>13.9408</v>
      </c>
      <c r="I33" s="3" t="n">
        <v>0</v>
      </c>
      <c r="J33" s="3" t="n">
        <v>0</v>
      </c>
      <c r="K33" s="4" t="n">
        <v>13.4419704112005</v>
      </c>
    </row>
    <row r="34" customFormat="false" ht="15" hidden="false" customHeight="false" outlineLevel="0" collapsed="false">
      <c r="A34" s="0" t="n">
        <f aca="false">A33+1</f>
        <v>32</v>
      </c>
      <c r="B34" s="0" t="n">
        <f aca="false">B33+C34*1</f>
        <v>156.464</v>
      </c>
      <c r="C34" s="1" t="n">
        <f aca="false">C33+I34*1</f>
        <v>8.9408</v>
      </c>
      <c r="D34" s="1" t="n">
        <f aca="false">C34*$L$1</f>
        <v>20.0005696</v>
      </c>
      <c r="E34" s="1" t="n">
        <v>8.75168162009214</v>
      </c>
      <c r="F34" s="1" t="n">
        <f aca="false">E34*$L$1</f>
        <v>19.5775117841461</v>
      </c>
      <c r="G34" s="2" t="n">
        <v>1</v>
      </c>
      <c r="H34" s="0" t="n">
        <f aca="false">C34*G34+5</f>
        <v>13.9408</v>
      </c>
      <c r="I34" s="3" t="n">
        <v>0</v>
      </c>
      <c r="J34" s="3" t="n">
        <v>0</v>
      </c>
      <c r="K34" s="4" t="n">
        <v>13.6315839584086</v>
      </c>
    </row>
    <row r="35" customFormat="false" ht="15" hidden="false" customHeight="false" outlineLevel="0" collapsed="false">
      <c r="A35" s="0" t="n">
        <f aca="false">A34+1</f>
        <v>33</v>
      </c>
      <c r="B35" s="0" t="n">
        <f aca="false">B34+C35*1</f>
        <v>165.4048</v>
      </c>
      <c r="C35" s="1" t="n">
        <f aca="false">C34+I35*1</f>
        <v>8.9408</v>
      </c>
      <c r="D35" s="1" t="n">
        <f aca="false">C35*$L$1</f>
        <v>20.0005696</v>
      </c>
      <c r="E35" s="1" t="n">
        <v>8.77902316697575</v>
      </c>
      <c r="F35" s="1" t="n">
        <f aca="false">E35*$L$1</f>
        <v>19.6386748245248</v>
      </c>
      <c r="G35" s="2" t="n">
        <v>1</v>
      </c>
      <c r="H35" s="0" t="n">
        <f aca="false">C35*G35+5</f>
        <v>13.9408</v>
      </c>
      <c r="I35" s="3" t="n">
        <v>0</v>
      </c>
      <c r="J35" s="3" t="n">
        <v>0</v>
      </c>
      <c r="K35" s="4" t="n">
        <v>13.8084165967401</v>
      </c>
    </row>
    <row r="36" customFormat="false" ht="15" hidden="false" customHeight="false" outlineLevel="0" collapsed="false">
      <c r="A36" s="0" t="n">
        <f aca="false">A35+1</f>
        <v>34</v>
      </c>
      <c r="B36" s="0" t="n">
        <f aca="false">B35+C36*1</f>
        <v>174.3456</v>
      </c>
      <c r="C36" s="1" t="n">
        <f aca="false">C35+I36*1</f>
        <v>8.9408</v>
      </c>
      <c r="D36" s="1" t="n">
        <f aca="false">C36*$L$1</f>
        <v>20.0005696</v>
      </c>
      <c r="E36" s="1" t="n">
        <v>8.82337617420031</v>
      </c>
      <c r="F36" s="1" t="n">
        <f aca="false">E36*$L$1</f>
        <v>19.7378925016861</v>
      </c>
      <c r="G36" s="2" t="n">
        <v>1</v>
      </c>
      <c r="H36" s="0" t="n">
        <f aca="false">C36*G36+5</f>
        <v>13.9408</v>
      </c>
      <c r="I36" s="3" t="n">
        <v>0</v>
      </c>
      <c r="J36" s="3" t="n">
        <v>0</v>
      </c>
      <c r="K36" s="4" t="n">
        <v>13.9482327792218</v>
      </c>
    </row>
    <row r="37" customFormat="false" ht="15" hidden="false" customHeight="false" outlineLevel="0" collapsed="false">
      <c r="A37" s="0" t="n">
        <f aca="false">A36+1</f>
        <v>35</v>
      </c>
      <c r="B37" s="0" t="n">
        <f aca="false">B36+C37*1</f>
        <v>183.2864</v>
      </c>
      <c r="C37" s="1" t="n">
        <f aca="false">C36+I37*1</f>
        <v>8.9408</v>
      </c>
      <c r="D37" s="1" t="n">
        <f aca="false">C37*$L$1</f>
        <v>20.0005696</v>
      </c>
      <c r="E37" s="1" t="n">
        <v>8.87199473412658</v>
      </c>
      <c r="F37" s="1" t="n">
        <f aca="false">E37*$L$1</f>
        <v>19.8466522202412</v>
      </c>
      <c r="G37" s="2" t="n">
        <v>1</v>
      </c>
      <c r="H37" s="0" t="n">
        <f aca="false">C37*G37+5</f>
        <v>13.9408</v>
      </c>
      <c r="I37" s="3" t="n">
        <v>0</v>
      </c>
      <c r="J37" s="3" t="n">
        <v>0</v>
      </c>
      <c r="K37" s="4" t="n">
        <v>14.040744840157</v>
      </c>
    </row>
    <row r="38" customFormat="false" ht="15" hidden="false" customHeight="false" outlineLevel="0" collapsed="false">
      <c r="A38" s="0" t="n">
        <f aca="false">A37+1</f>
        <v>36</v>
      </c>
      <c r="B38" s="0" t="n">
        <f aca="false">B37+C38*1</f>
        <v>193.12128</v>
      </c>
      <c r="C38" s="1" t="n">
        <f aca="false">C37+I38*1</f>
        <v>9.83488</v>
      </c>
      <c r="D38" s="1" t="n">
        <f aca="false">C38*$L$1</f>
        <v>22.00062656</v>
      </c>
      <c r="E38" s="1" t="n">
        <v>9.02293957617769</v>
      </c>
      <c r="F38" s="1" t="n">
        <f aca="false">E38*$L$1</f>
        <v>20.1843158319095</v>
      </c>
      <c r="G38" s="2" t="n">
        <v>1</v>
      </c>
      <c r="H38" s="0" t="n">
        <f aca="false">C38*G38+5</f>
        <v>14.83488</v>
      </c>
      <c r="I38" s="3" t="n">
        <v>0.89408</v>
      </c>
      <c r="J38" s="3" t="n">
        <v>0</v>
      </c>
      <c r="K38" s="4" t="n">
        <v>14.5039057982697</v>
      </c>
    </row>
    <row r="39" customFormat="false" ht="15" hidden="false" customHeight="false" outlineLevel="0" collapsed="false">
      <c r="A39" s="0" t="n">
        <f aca="false">A38+1</f>
        <v>37</v>
      </c>
      <c r="B39" s="0" t="n">
        <f aca="false">B38+C39*1</f>
        <v>203.85024</v>
      </c>
      <c r="C39" s="1" t="n">
        <f aca="false">C38+I39*1</f>
        <v>10.72896</v>
      </c>
      <c r="D39" s="1" t="n">
        <f aca="false">C39*$L$1</f>
        <v>24.00068352</v>
      </c>
      <c r="E39" s="1" t="n">
        <v>9.40573853406069</v>
      </c>
      <c r="F39" s="1" t="n">
        <f aca="false">E39*$L$1</f>
        <v>21.0406371006938</v>
      </c>
      <c r="G39" s="2" t="n">
        <v>1</v>
      </c>
      <c r="H39" s="0" t="n">
        <f aca="false">C39*G39+5</f>
        <v>15.72896</v>
      </c>
      <c r="I39" s="3" t="n">
        <v>0.89408</v>
      </c>
      <c r="J39" s="3" t="n">
        <v>0</v>
      </c>
      <c r="K39" s="4" t="n">
        <v>15.5939669653187</v>
      </c>
    </row>
    <row r="40" customFormat="false" ht="15" hidden="false" customHeight="false" outlineLevel="0" collapsed="false">
      <c r="A40" s="0" t="n">
        <f aca="false">A39+1</f>
        <v>38</v>
      </c>
      <c r="B40" s="0" t="n">
        <f aca="false">B39+C40*1</f>
        <v>215.47328</v>
      </c>
      <c r="C40" s="1" t="n">
        <f aca="false">C39+I40*1</f>
        <v>11.62304</v>
      </c>
      <c r="D40" s="1" t="n">
        <f aca="false">C40*$L$1</f>
        <v>26.00074048</v>
      </c>
      <c r="E40" s="1" t="n">
        <v>10.0261907114641</v>
      </c>
      <c r="F40" s="1" t="n">
        <f aca="false">E40*$L$1</f>
        <v>22.4285886215452</v>
      </c>
      <c r="G40" s="2" t="n">
        <v>1</v>
      </c>
      <c r="H40" s="0" t="n">
        <f aca="false">C40*G40+5</f>
        <v>16.62304</v>
      </c>
      <c r="I40" s="3" t="n">
        <v>0.89408</v>
      </c>
      <c r="J40" s="3" t="n">
        <v>0</v>
      </c>
      <c r="K40" s="4" t="n">
        <v>17.0726593913029</v>
      </c>
    </row>
    <row r="41" customFormat="false" ht="15" hidden="false" customHeight="false" outlineLevel="0" collapsed="false">
      <c r="A41" s="0" t="n">
        <f aca="false">A40+1</f>
        <v>39</v>
      </c>
      <c r="B41" s="0" t="n">
        <f aca="false">B40+C41*1</f>
        <v>227.9904</v>
      </c>
      <c r="C41" s="1" t="n">
        <f aca="false">C40+I41*1</f>
        <v>12.51712</v>
      </c>
      <c r="D41" s="1" t="n">
        <f aca="false">C41*$L$1</f>
        <v>28.00079744</v>
      </c>
      <c r="E41" s="1" t="n">
        <v>10.8499470341193</v>
      </c>
      <c r="F41" s="1" t="n">
        <f aca="false">E41*$L$1</f>
        <v>24.2713315153249</v>
      </c>
      <c r="G41" s="2" t="n">
        <v>1</v>
      </c>
      <c r="H41" s="0" t="n">
        <f aca="false">C41*G41+5</f>
        <v>17.51712</v>
      </c>
      <c r="I41" s="3" t="n">
        <v>0.89408</v>
      </c>
      <c r="J41" s="3" t="n">
        <v>0</v>
      </c>
      <c r="K41" s="4" t="n">
        <v>18.7177634796285</v>
      </c>
    </row>
    <row r="42" customFormat="false" ht="15" hidden="false" customHeight="false" outlineLevel="0" collapsed="false">
      <c r="A42" s="0" t="n">
        <f aca="false">A41+1</f>
        <v>40</v>
      </c>
      <c r="B42" s="0" t="n">
        <f aca="false">B41+C42*1</f>
        <v>241.4016</v>
      </c>
      <c r="C42" s="1" t="n">
        <f aca="false">C41+I42*1</f>
        <v>13.4112</v>
      </c>
      <c r="D42" s="1" t="n">
        <f aca="false">C42*$L$1</f>
        <v>30.0008544</v>
      </c>
      <c r="E42" s="1" t="n">
        <v>11.8212766111028</v>
      </c>
      <c r="F42" s="1" t="n">
        <f aca="false">E42*$L$1</f>
        <v>26.444195779037</v>
      </c>
      <c r="G42" s="2" t="n">
        <v>1</v>
      </c>
      <c r="H42" s="0" t="n">
        <f aca="false">C42*G42+5</f>
        <v>18.4112</v>
      </c>
      <c r="I42" s="3" t="n">
        <v>0.89408</v>
      </c>
      <c r="J42" s="3" t="n">
        <v>0</v>
      </c>
      <c r="K42" s="4" t="n">
        <v>20.3535689309927</v>
      </c>
    </row>
    <row r="43" customFormat="false" ht="15" hidden="false" customHeight="false" outlineLevel="0" collapsed="false">
      <c r="A43" s="0" t="n">
        <f aca="false">A42+1</f>
        <v>41</v>
      </c>
      <c r="B43" s="0" t="n">
        <f aca="false">B42+C43*1</f>
        <v>255.70688</v>
      </c>
      <c r="C43" s="1" t="n">
        <f aca="false">C42+I43*1</f>
        <v>14.30528</v>
      </c>
      <c r="D43" s="1" t="n">
        <f aca="false">C43*$L$1</f>
        <v>32.00091136</v>
      </c>
      <c r="E43" s="1" t="n">
        <v>12.8790844639348</v>
      </c>
      <c r="F43" s="1" t="n">
        <f aca="false">E43*$L$1</f>
        <v>28.8105119458221</v>
      </c>
      <c r="G43" s="2" t="n">
        <v>1</v>
      </c>
      <c r="H43" s="0" t="n">
        <f aca="false">C43*G43+5</f>
        <v>19.30528</v>
      </c>
      <c r="I43" s="3" t="n">
        <v>0.89408</v>
      </c>
      <c r="J43" s="3" t="n">
        <v>0</v>
      </c>
      <c r="K43" s="4" t="n">
        <v>21.8638068454984</v>
      </c>
    </row>
    <row r="44" customFormat="false" ht="15" hidden="false" customHeight="false" outlineLevel="0" collapsed="false">
      <c r="A44" s="0" t="n">
        <f aca="false">A43+1</f>
        <v>42</v>
      </c>
      <c r="B44" s="0" t="n">
        <f aca="false">B43+C44*1</f>
        <v>270.90624</v>
      </c>
      <c r="C44" s="1" t="n">
        <f aca="false">C43+I44*1</f>
        <v>15.19936</v>
      </c>
      <c r="D44" s="1" t="n">
        <f aca="false">C44*$L$1</f>
        <v>34.00096832</v>
      </c>
      <c r="E44" s="1" t="n">
        <v>13.9685099866575</v>
      </c>
      <c r="F44" s="1" t="n">
        <f aca="false">E44*$L$1</f>
        <v>31.2475568401528</v>
      </c>
      <c r="G44" s="2" t="n">
        <v>1</v>
      </c>
      <c r="H44" s="0" t="n">
        <f aca="false">C44*G44+5</f>
        <v>20.19936</v>
      </c>
      <c r="I44" s="3" t="n">
        <v>0.89408</v>
      </c>
      <c r="J44" s="3" t="n">
        <v>0</v>
      </c>
      <c r="K44" s="4" t="n">
        <v>23.1907536441669</v>
      </c>
    </row>
    <row r="45" customFormat="false" ht="15" hidden="false" customHeight="false" outlineLevel="0" collapsed="false">
      <c r="A45" s="0" t="n">
        <f aca="false">A44+1</f>
        <v>43</v>
      </c>
      <c r="B45" s="0" t="n">
        <f aca="false">B44+C45*1</f>
        <v>286.99968</v>
      </c>
      <c r="C45" s="1" t="n">
        <f aca="false">C44+I45*1</f>
        <v>16.09344</v>
      </c>
      <c r="D45" s="1" t="n">
        <f aca="false">C45*$L$1</f>
        <v>36.00102528</v>
      </c>
      <c r="E45" s="1" t="n">
        <v>15.0476974502557</v>
      </c>
      <c r="F45" s="1" t="n">
        <f aca="false">E45*$L$1</f>
        <v>33.661699196222</v>
      </c>
      <c r="G45" s="2" t="n">
        <v>1</v>
      </c>
      <c r="H45" s="0" t="n">
        <f aca="false">C45*G45+5</f>
        <v>21.09344</v>
      </c>
      <c r="I45" s="3" t="n">
        <v>0.89408</v>
      </c>
      <c r="J45" s="3" t="n">
        <v>0</v>
      </c>
      <c r="K45" s="4" t="n">
        <v>24.3252112055908</v>
      </c>
    </row>
    <row r="46" customFormat="false" ht="15" hidden="false" customHeight="false" outlineLevel="0" collapsed="false">
      <c r="A46" s="0" t="n">
        <f aca="false">A45+1</f>
        <v>44</v>
      </c>
      <c r="B46" s="0" t="n">
        <f aca="false">B45+C46*1</f>
        <v>303.9872</v>
      </c>
      <c r="C46" s="1" t="n">
        <f aca="false">C45+I46*1</f>
        <v>16.98752</v>
      </c>
      <c r="D46" s="1" t="n">
        <f aca="false">C46*$L$1</f>
        <v>38.00108224</v>
      </c>
      <c r="E46" s="1" t="n">
        <v>16.0902414049728</v>
      </c>
      <c r="F46" s="1" t="n">
        <f aca="false">E46*$L$1</f>
        <v>35.9938700229242</v>
      </c>
      <c r="G46" s="2" t="n">
        <v>1</v>
      </c>
      <c r="H46" s="0" t="n">
        <f aca="false">C46*G46+5</f>
        <v>21.98752</v>
      </c>
      <c r="I46" s="3" t="n">
        <v>0.89408</v>
      </c>
      <c r="J46" s="3" t="n">
        <v>0</v>
      </c>
      <c r="K46" s="4" t="n">
        <v>25.2919841239034</v>
      </c>
    </row>
    <row r="47" customFormat="false" ht="15" hidden="false" customHeight="false" outlineLevel="0" collapsed="false">
      <c r="A47" s="0" t="n">
        <f aca="false">A46+1</f>
        <v>45</v>
      </c>
      <c r="B47" s="0" t="n">
        <f aca="false">B46+C47*1</f>
        <v>321.8688</v>
      </c>
      <c r="C47" s="1" t="n">
        <f aca="false">C46+I47*1</f>
        <v>17.8816</v>
      </c>
      <c r="D47" s="1" t="n">
        <f aca="false">C47*$L$1</f>
        <v>40.0011392</v>
      </c>
      <c r="E47" s="1" t="n">
        <v>17.0843398650231</v>
      </c>
      <c r="F47" s="1" t="n">
        <f aca="false">E47*$L$1</f>
        <v>38.2176682780567</v>
      </c>
      <c r="G47" s="2" t="n">
        <v>1</v>
      </c>
      <c r="H47" s="0" t="n">
        <f aca="false">C47*G47+5</f>
        <v>22.8816</v>
      </c>
      <c r="I47" s="3" t="n">
        <v>0.89408</v>
      </c>
      <c r="J47" s="3" t="n">
        <v>0</v>
      </c>
      <c r="K47" s="4" t="n">
        <v>26.13467558522</v>
      </c>
    </row>
    <row r="48" customFormat="false" ht="15" hidden="false" customHeight="false" outlineLevel="0" collapsed="false">
      <c r="A48" s="0" t="n">
        <f aca="false">A47+1</f>
        <v>46</v>
      </c>
      <c r="B48" s="0" t="n">
        <f aca="false">B47+C48*1</f>
        <v>339.7504</v>
      </c>
      <c r="C48" s="1" t="n">
        <f aca="false">C47+I48*1</f>
        <v>17.8816</v>
      </c>
      <c r="D48" s="1" t="n">
        <f aca="false">C48*$L$1</f>
        <v>40.0011392</v>
      </c>
      <c r="E48" s="1" t="n">
        <v>17.9225876190754</v>
      </c>
      <c r="F48" s="1" t="n">
        <f aca="false">E48*$L$1</f>
        <v>40.0928285038717</v>
      </c>
      <c r="G48" s="2" t="n">
        <v>1</v>
      </c>
      <c r="H48" s="0" t="n">
        <f aca="false">C48*G48+5</f>
        <v>22.8816</v>
      </c>
      <c r="I48" s="3" t="n">
        <v>0</v>
      </c>
      <c r="J48" s="3" t="n">
        <v>0</v>
      </c>
      <c r="K48" s="4" t="n">
        <v>26.4852354082493</v>
      </c>
    </row>
    <row r="49" customFormat="false" ht="15" hidden="false" customHeight="false" outlineLevel="0" collapsed="false">
      <c r="A49" s="0" t="n">
        <f aca="false">A48+1</f>
        <v>47</v>
      </c>
      <c r="B49" s="0" t="n">
        <f aca="false">B48+C49*1</f>
        <v>357.632</v>
      </c>
      <c r="C49" s="1" t="n">
        <f aca="false">C48+I49*1</f>
        <v>17.8816</v>
      </c>
      <c r="D49" s="1" t="n">
        <f aca="false">C49*$L$1</f>
        <v>40.0011392</v>
      </c>
      <c r="E49" s="1" t="n">
        <v>18.4778054390778</v>
      </c>
      <c r="F49" s="1" t="n">
        <f aca="false">E49*$L$1</f>
        <v>41.334850767217</v>
      </c>
      <c r="G49" s="2" t="n">
        <v>1</v>
      </c>
      <c r="H49" s="0" t="n">
        <f aca="false">C49*G49+5</f>
        <v>22.8816</v>
      </c>
      <c r="I49" s="3" t="n">
        <v>0</v>
      </c>
      <c r="J49" s="3" t="n">
        <v>0</v>
      </c>
      <c r="K49" s="4" t="n">
        <v>26.1404034950679</v>
      </c>
    </row>
    <row r="50" customFormat="false" ht="15" hidden="false" customHeight="false" outlineLevel="0" collapsed="false">
      <c r="A50" s="0" t="n">
        <f aca="false">A49+1</f>
        <v>48</v>
      </c>
      <c r="B50" s="0" t="n">
        <f aca="false">B49+C50*1</f>
        <v>375.5136</v>
      </c>
      <c r="C50" s="1" t="n">
        <f aca="false">C49+I50*1</f>
        <v>17.8816</v>
      </c>
      <c r="D50" s="1" t="n">
        <f aca="false">C50*$L$1</f>
        <v>40.0011392</v>
      </c>
      <c r="E50" s="1" t="n">
        <v>18.7540019295745</v>
      </c>
      <c r="F50" s="1" t="n">
        <f aca="false">E50*$L$1</f>
        <v>41.9527023164582</v>
      </c>
      <c r="G50" s="2" t="n">
        <v>1</v>
      </c>
      <c r="H50" s="0" t="n">
        <f aca="false">C50*G50+5</f>
        <v>22.8816</v>
      </c>
      <c r="I50" s="3" t="n">
        <v>0</v>
      </c>
      <c r="J50" s="3" t="n">
        <v>0</v>
      </c>
      <c r="K50" s="4" t="n">
        <v>25.3849842104936</v>
      </c>
    </row>
    <row r="51" customFormat="false" ht="15" hidden="false" customHeight="false" outlineLevel="0" collapsed="false">
      <c r="A51" s="0" t="n">
        <f aca="false">A50+1</f>
        <v>49</v>
      </c>
      <c r="B51" s="0" t="n">
        <f aca="false">B50+C51*1</f>
        <v>393.3952</v>
      </c>
      <c r="C51" s="1" t="n">
        <f aca="false">C50+I51*1</f>
        <v>17.8816</v>
      </c>
      <c r="D51" s="1" t="n">
        <f aca="false">C51*$L$1</f>
        <v>40.0011392</v>
      </c>
      <c r="E51" s="1" t="n">
        <v>18.7987551780914</v>
      </c>
      <c r="F51" s="1" t="n">
        <f aca="false">E51*$L$1</f>
        <v>42.0528153333905</v>
      </c>
      <c r="G51" s="2" t="n">
        <v>1</v>
      </c>
      <c r="H51" s="0" t="n">
        <f aca="false">C51*G51+5</f>
        <v>22.8816</v>
      </c>
      <c r="I51" s="3" t="n">
        <v>0</v>
      </c>
      <c r="J51" s="3" t="n">
        <v>0</v>
      </c>
      <c r="K51" s="4" t="n">
        <v>24.4759187147884</v>
      </c>
    </row>
    <row r="52" customFormat="false" ht="15" hidden="false" customHeight="false" outlineLevel="0" collapsed="false">
      <c r="A52" s="0" t="n">
        <f aca="false">A51+1</f>
        <v>50</v>
      </c>
      <c r="B52" s="0" t="n">
        <f aca="false">B51+C52*1</f>
        <v>411.2768</v>
      </c>
      <c r="C52" s="1" t="n">
        <f aca="false">C51+I52*1</f>
        <v>17.8816</v>
      </c>
      <c r="D52" s="1" t="n">
        <f aca="false">C52*$L$1</f>
        <v>40.0011392</v>
      </c>
      <c r="E52" s="1" t="n">
        <v>18.6811897222222</v>
      </c>
      <c r="F52" s="1" t="n">
        <f aca="false">E52*$L$1</f>
        <v>41.7898214086111</v>
      </c>
      <c r="G52" s="2" t="n">
        <v>1</v>
      </c>
      <c r="H52" s="0" t="n">
        <f aca="false">C52*G52+5</f>
        <v>22.8816</v>
      </c>
      <c r="I52" s="3" t="n">
        <v>0</v>
      </c>
      <c r="J52" s="3" t="n">
        <v>0</v>
      </c>
      <c r="K52" s="4" t="n">
        <v>23.6101346515542</v>
      </c>
    </row>
    <row r="53" customFormat="false" ht="15" hidden="false" customHeight="false" outlineLevel="0" collapsed="false">
      <c r="A53" s="0" t="n">
        <f aca="false">A52+1</f>
        <v>51</v>
      </c>
      <c r="B53" s="0" t="n">
        <f aca="false">B52+C53*1</f>
        <v>429.1584</v>
      </c>
      <c r="C53" s="1" t="n">
        <f aca="false">C52+I53*1</f>
        <v>17.8816</v>
      </c>
      <c r="D53" s="1" t="n">
        <f aca="false">C53*$L$1</f>
        <v>40.0011392</v>
      </c>
      <c r="E53" s="1" t="n">
        <v>18.4737496391577</v>
      </c>
      <c r="F53" s="1" t="n">
        <f aca="false">E53*$L$1</f>
        <v>41.3257779427958</v>
      </c>
      <c r="G53" s="2" t="n">
        <v>1</v>
      </c>
      <c r="H53" s="0" t="n">
        <f aca="false">C53*G53+5</f>
        <v>22.8816</v>
      </c>
      <c r="I53" s="3" t="n">
        <v>0</v>
      </c>
      <c r="J53" s="3" t="n">
        <v>0</v>
      </c>
      <c r="K53" s="4" t="n">
        <v>22.9126538021232</v>
      </c>
    </row>
    <row r="54" customFormat="false" ht="15" hidden="false" customHeight="false" outlineLevel="0" collapsed="false">
      <c r="A54" s="0" t="n">
        <f aca="false">A53+1</f>
        <v>52</v>
      </c>
      <c r="B54" s="0" t="n">
        <f aca="false">B53+C54*1</f>
        <v>447.04</v>
      </c>
      <c r="C54" s="1" t="n">
        <f aca="false">C53+I54*1</f>
        <v>17.8816</v>
      </c>
      <c r="D54" s="1" t="n">
        <f aca="false">C54*$L$1</f>
        <v>40.0011392</v>
      </c>
      <c r="E54" s="1" t="n">
        <v>18.2394483882082</v>
      </c>
      <c r="F54" s="1" t="n">
        <f aca="false">E54*$L$1</f>
        <v>40.8016460444217</v>
      </c>
      <c r="G54" s="2" t="n">
        <v>1</v>
      </c>
      <c r="H54" s="0" t="n">
        <f aca="false">C54*G54+5</f>
        <v>22.8816</v>
      </c>
      <c r="I54" s="3" t="n">
        <v>0</v>
      </c>
      <c r="J54" s="3" t="n">
        <v>0</v>
      </c>
      <c r="K54" s="4" t="n">
        <v>22.4401904255407</v>
      </c>
    </row>
    <row r="55" customFormat="false" ht="15" hidden="false" customHeight="false" outlineLevel="0" collapsed="false">
      <c r="A55" s="0" t="n">
        <f aca="false">A54+1</f>
        <v>53</v>
      </c>
      <c r="B55" s="0" t="n">
        <f aca="false">B54+C55*1</f>
        <v>464.9216</v>
      </c>
      <c r="C55" s="1" t="n">
        <f aca="false">C54+I55*1</f>
        <v>17.8816</v>
      </c>
      <c r="D55" s="1" t="n">
        <f aca="false">C55*$L$1</f>
        <v>40.0011392</v>
      </c>
      <c r="E55" s="1" t="n">
        <v>18.0248406535579</v>
      </c>
      <c r="F55" s="1" t="n">
        <f aca="false">E55*$L$1</f>
        <v>40.321568542009</v>
      </c>
      <c r="G55" s="2" t="n">
        <v>1</v>
      </c>
      <c r="H55" s="0" t="n">
        <f aca="false">C55*G55+5</f>
        <v>22.8816</v>
      </c>
      <c r="I55" s="3" t="n">
        <v>0</v>
      </c>
      <c r="J55" s="3" t="n">
        <v>0</v>
      </c>
      <c r="K55" s="4" t="n">
        <v>22.1945528673486</v>
      </c>
    </row>
    <row r="56" customFormat="false" ht="15" hidden="false" customHeight="false" outlineLevel="0" collapsed="false">
      <c r="A56" s="0" t="n">
        <f aca="false">A55+1</f>
        <v>54</v>
      </c>
      <c r="B56" s="0" t="n">
        <f aca="false">B55+C56*1</f>
        <v>482.8032</v>
      </c>
      <c r="C56" s="1" t="n">
        <f aca="false">C55+I56*1</f>
        <v>17.8816</v>
      </c>
      <c r="D56" s="1" t="n">
        <f aca="false">C56*$L$1</f>
        <v>40.0011392</v>
      </c>
      <c r="E56" s="1" t="n">
        <v>17.8579599511398</v>
      </c>
      <c r="F56" s="1" t="n">
        <f aca="false">E56*$L$1</f>
        <v>39.9482564106997</v>
      </c>
      <c r="G56" s="2" t="n">
        <v>1</v>
      </c>
      <c r="H56" s="0" t="n">
        <f aca="false">C56*G56+5</f>
        <v>22.8816</v>
      </c>
      <c r="I56" s="3" t="n">
        <v>0</v>
      </c>
      <c r="J56" s="3" t="n">
        <v>0</v>
      </c>
      <c r="K56" s="4" t="n">
        <v>22.1404593670225</v>
      </c>
    </row>
    <row r="57" customFormat="false" ht="15" hidden="false" customHeight="false" outlineLevel="0" collapsed="false">
      <c r="A57" s="0" t="n">
        <f aca="false">A56+1</f>
        <v>55</v>
      </c>
      <c r="B57" s="0" t="n">
        <f aca="false">B56+C57*1</f>
        <v>500.6848</v>
      </c>
      <c r="C57" s="1" t="n">
        <f aca="false">C56+I57*1</f>
        <v>17.8816</v>
      </c>
      <c r="D57" s="1" t="n">
        <f aca="false">C57*$L$1</f>
        <v>40.0011392</v>
      </c>
      <c r="E57" s="1" t="n">
        <v>17.7499162171136</v>
      </c>
      <c r="F57" s="1" t="n">
        <f aca="false">E57*$L$1</f>
        <v>39.7065625776831</v>
      </c>
      <c r="G57" s="2" t="n">
        <v>1</v>
      </c>
      <c r="H57" s="0" t="n">
        <f aca="false">C57*G57+5</f>
        <v>22.8816</v>
      </c>
      <c r="I57" s="3" t="n">
        <v>0</v>
      </c>
      <c r="J57" s="3" t="n">
        <v>0</v>
      </c>
      <c r="K57" s="4" t="n">
        <v>22.2234459939763</v>
      </c>
    </row>
    <row r="58" customFormat="false" ht="15" hidden="false" customHeight="false" outlineLevel="0" collapsed="false">
      <c r="A58" s="0" t="n">
        <f aca="false">A57+1</f>
        <v>56</v>
      </c>
      <c r="B58" s="0" t="n">
        <f aca="false">B57+C58*1</f>
        <v>518.5664</v>
      </c>
      <c r="C58" s="1" t="n">
        <f aca="false">C57+I58*1</f>
        <v>17.8816</v>
      </c>
      <c r="D58" s="1" t="n">
        <f aca="false">C58*$L$1</f>
        <v>40.0011392</v>
      </c>
      <c r="E58" s="1" t="n">
        <v>17.6986893631106</v>
      </c>
      <c r="F58" s="1" t="n">
        <f aca="false">E58*$L$1</f>
        <v>39.5919681052784</v>
      </c>
      <c r="G58" s="2" t="n">
        <v>1</v>
      </c>
      <c r="H58" s="0" t="n">
        <f aca="false">C58*G58+5</f>
        <v>22.8816</v>
      </c>
      <c r="I58" s="3" t="n">
        <v>0</v>
      </c>
      <c r="J58" s="3" t="n">
        <v>0</v>
      </c>
      <c r="K58" s="4" t="n">
        <v>22.3849551422549</v>
      </c>
    </row>
    <row r="59" customFormat="false" ht="15" hidden="false" customHeight="false" outlineLevel="0" collapsed="false">
      <c r="A59" s="0" t="n">
        <f aca="false">A58+1</f>
        <v>57</v>
      </c>
      <c r="B59" s="0" t="n">
        <f aca="false">B58+C59*1</f>
        <v>536.448</v>
      </c>
      <c r="C59" s="1" t="n">
        <f aca="false">C58+I59*1</f>
        <v>17.8816</v>
      </c>
      <c r="D59" s="1" t="n">
        <f aca="false">C59*$L$1</f>
        <v>40.0011392</v>
      </c>
      <c r="E59" s="1" t="n">
        <v>17.6937842763184</v>
      </c>
      <c r="F59" s="1" t="n">
        <f aca="false">E59*$L$1</f>
        <v>39.5809954261243</v>
      </c>
      <c r="G59" s="2" t="n">
        <v>1</v>
      </c>
      <c r="H59" s="0" t="n">
        <f aca="false">C59*G59+5</f>
        <v>22.8816</v>
      </c>
      <c r="I59" s="3" t="n">
        <v>0</v>
      </c>
      <c r="J59" s="3" t="n">
        <v>0</v>
      </c>
      <c r="K59" s="4" t="n">
        <v>22.5731068018584</v>
      </c>
    </row>
    <row r="60" customFormat="false" ht="15" hidden="false" customHeight="false" outlineLevel="0" collapsed="false">
      <c r="A60" s="0" t="n">
        <f aca="false">A59+1</f>
        <v>58</v>
      </c>
      <c r="B60" s="0" t="n">
        <f aca="false">B59+C60*1</f>
        <v>554.3296</v>
      </c>
      <c r="C60" s="1" t="n">
        <f aca="false">C59+I60*1</f>
        <v>17.8816</v>
      </c>
      <c r="D60" s="1" t="n">
        <f aca="false">C60*$L$1</f>
        <v>40.0011392</v>
      </c>
      <c r="E60" s="1" t="n">
        <v>17.7207142412473</v>
      </c>
      <c r="F60" s="1" t="n">
        <f aca="false">E60*$L$1</f>
        <v>39.6412377576702</v>
      </c>
      <c r="G60" s="2" t="n">
        <v>1</v>
      </c>
      <c r="H60" s="0" t="n">
        <f aca="false">C60*G60+5</f>
        <v>22.8816</v>
      </c>
      <c r="I60" s="3" t="n">
        <v>0</v>
      </c>
      <c r="J60" s="3" t="n">
        <v>0</v>
      </c>
      <c r="K60" s="4" t="n">
        <v>22.7488433531515</v>
      </c>
    </row>
    <row r="61" customFormat="false" ht="15" hidden="false" customHeight="false" outlineLevel="0" collapsed="false">
      <c r="A61" s="0" t="n">
        <f aca="false">A60+1</f>
        <v>59</v>
      </c>
      <c r="B61" s="0" t="n">
        <f aca="false">B60+C61*1</f>
        <v>572.2112</v>
      </c>
      <c r="C61" s="1" t="n">
        <f aca="false">C60+I61*1</f>
        <v>17.8816</v>
      </c>
      <c r="D61" s="1" t="n">
        <f aca="false">C61*$L$1</f>
        <v>40.0011392</v>
      </c>
      <c r="E61" s="1" t="n">
        <v>17.7646480331501</v>
      </c>
      <c r="F61" s="1" t="n">
        <f aca="false">E61*$L$1</f>
        <v>39.7395176501568</v>
      </c>
      <c r="G61" s="2" t="n">
        <v>1</v>
      </c>
      <c r="H61" s="0" t="n">
        <f aca="false">C61*G61+5</f>
        <v>22.8816</v>
      </c>
      <c r="I61" s="3" t="n">
        <v>0</v>
      </c>
      <c r="J61" s="3" t="n">
        <v>0</v>
      </c>
      <c r="K61" s="4" t="n">
        <v>22.887984964489</v>
      </c>
    </row>
    <row r="62" customFormat="false" ht="15" hidden="false" customHeight="false" outlineLevel="0" collapsed="false">
      <c r="A62" s="0" t="n">
        <f aca="false">A61+1</f>
        <v>60</v>
      </c>
      <c r="B62" s="0" t="n">
        <f aca="false">B61+C62*1</f>
        <v>590.0928</v>
      </c>
      <c r="C62" s="1" t="n">
        <f aca="false">C61+I62*1</f>
        <v>17.8816</v>
      </c>
      <c r="D62" s="1" t="n">
        <f aca="false">C62*$L$1</f>
        <v>40.0011392</v>
      </c>
      <c r="E62" s="1" t="n">
        <v>17.8129097087897</v>
      </c>
      <c r="F62" s="1" t="n">
        <f aca="false">E62*$L$1</f>
        <v>39.8474790185626</v>
      </c>
      <c r="G62" s="2" t="n">
        <v>1</v>
      </c>
      <c r="H62" s="0" t="n">
        <f aca="false">C62*G62+5</f>
        <v>22.8816</v>
      </c>
      <c r="I62" s="3" t="n">
        <v>0</v>
      </c>
      <c r="J62" s="3" t="n">
        <v>0</v>
      </c>
      <c r="K62" s="4" t="n">
        <v>22.9802134946009</v>
      </c>
    </row>
    <row r="63" customFormat="false" ht="15" hidden="false" customHeight="false" outlineLevel="0" collapsed="false">
      <c r="A63" s="0" t="n">
        <f aca="false">A62+1</f>
        <v>61</v>
      </c>
      <c r="B63" s="0" t="n">
        <f aca="false">B62+C63*1</f>
        <v>607.08032</v>
      </c>
      <c r="C63" s="1" t="n">
        <f aca="false">C57-I63*1</f>
        <v>16.98752</v>
      </c>
      <c r="D63" s="1" t="n">
        <f aca="false">C63*$L$1</f>
        <v>38.00108224</v>
      </c>
      <c r="E63" s="1" t="n">
        <v>17.7490176609153</v>
      </c>
      <c r="F63" s="1" t="n">
        <f aca="false">E63*$L$1</f>
        <v>39.7045525074675</v>
      </c>
      <c r="G63" s="2" t="n">
        <v>1</v>
      </c>
      <c r="H63" s="0" t="n">
        <f aca="false">C63*G63+5</f>
        <v>21.98752</v>
      </c>
      <c r="I63" s="3" t="n">
        <v>0.89408</v>
      </c>
      <c r="J63" s="3" t="n">
        <v>0</v>
      </c>
      <c r="K63" s="4" t="n">
        <v>22.6089239560957</v>
      </c>
    </row>
    <row r="64" customFormat="false" ht="15" hidden="false" customHeight="false" outlineLevel="0" collapsed="false">
      <c r="A64" s="0" t="n">
        <f aca="false">A63+1</f>
        <v>62</v>
      </c>
      <c r="B64" s="0" t="n">
        <f aca="false">B63+C64*1</f>
        <v>623.17376</v>
      </c>
      <c r="C64" s="1" t="n">
        <f aca="false">C63-I64*1</f>
        <v>16.09344</v>
      </c>
      <c r="D64" s="1" t="n">
        <f aca="false">C64*$L$1</f>
        <v>36.00102528</v>
      </c>
      <c r="E64" s="1" t="n">
        <v>17.4326791002727</v>
      </c>
      <c r="F64" s="1" t="n">
        <f aca="false">E64*$L$1</f>
        <v>38.99690314731</v>
      </c>
      <c r="G64" s="2" t="n">
        <v>1</v>
      </c>
      <c r="H64" s="0" t="n">
        <f aca="false">C64*G64+5</f>
        <v>21.09344</v>
      </c>
      <c r="I64" s="3" t="n">
        <v>0.89408</v>
      </c>
      <c r="J64" s="3" t="n">
        <v>0</v>
      </c>
      <c r="K64" s="4" t="n">
        <v>21.5337101355747</v>
      </c>
    </row>
    <row r="65" customFormat="false" ht="15" hidden="false" customHeight="false" outlineLevel="0" collapsed="false">
      <c r="A65" s="0" t="n">
        <f aca="false">A64+1</f>
        <v>63</v>
      </c>
      <c r="B65" s="0" t="n">
        <f aca="false">B64+C65*1</f>
        <v>638.37312</v>
      </c>
      <c r="C65" s="1" t="n">
        <f aca="false">C64-I65*1</f>
        <v>15.19936</v>
      </c>
      <c r="D65" s="1" t="n">
        <f aca="false">C65*$L$1</f>
        <v>34.00096832</v>
      </c>
      <c r="E65" s="1" t="n">
        <v>16.8541930986071</v>
      </c>
      <c r="F65" s="1" t="n">
        <f aca="false">E65*$L$1</f>
        <v>37.7028299615841</v>
      </c>
      <c r="G65" s="2" t="n">
        <v>1</v>
      </c>
      <c r="H65" s="0" t="n">
        <f aca="false">C65*G65+5</f>
        <v>20.19936</v>
      </c>
      <c r="I65" s="3" t="n">
        <v>0.89408</v>
      </c>
      <c r="J65" s="3" t="n">
        <v>0</v>
      </c>
      <c r="K65" s="4" t="n">
        <v>20.0158530376085</v>
      </c>
    </row>
    <row r="66" customFormat="false" ht="15" hidden="false" customHeight="false" outlineLevel="0" collapsed="false">
      <c r="A66" s="0" t="n">
        <f aca="false">A65+1</f>
        <v>64</v>
      </c>
      <c r="B66" s="0" t="n">
        <f aca="false">B65+C66*1</f>
        <v>652.6784</v>
      </c>
      <c r="C66" s="1" t="n">
        <f aca="false">C65-I66*1</f>
        <v>14.30528</v>
      </c>
      <c r="D66" s="1" t="n">
        <f aca="false">C66*$L$1</f>
        <v>32.00091136</v>
      </c>
      <c r="E66" s="1" t="n">
        <v>16.049234488737</v>
      </c>
      <c r="F66" s="1" t="n">
        <f aca="false">E66*$L$1</f>
        <v>35.9021375513047</v>
      </c>
      <c r="G66" s="2" t="n">
        <v>1</v>
      </c>
      <c r="H66" s="0" t="n">
        <f aca="false">C66*G66+5</f>
        <v>19.30528</v>
      </c>
      <c r="I66" s="3" t="n">
        <v>0.89408</v>
      </c>
      <c r="J66" s="3" t="n">
        <v>0</v>
      </c>
      <c r="K66" s="4" t="n">
        <v>18.3016853827876</v>
      </c>
    </row>
    <row r="67" customFormat="false" ht="15" hidden="false" customHeight="false" outlineLevel="0" collapsed="false">
      <c r="A67" s="0" t="n">
        <f aca="false">A66+1</f>
        <v>65</v>
      </c>
      <c r="B67" s="0" t="n">
        <f aca="false">B66+C67*1</f>
        <v>666.0896</v>
      </c>
      <c r="C67" s="1" t="n">
        <f aca="false">C66-I67*1</f>
        <v>13.4112</v>
      </c>
      <c r="D67" s="1" t="n">
        <f aca="false">C67*$L$1</f>
        <v>30.0008544</v>
      </c>
      <c r="E67" s="1" t="n">
        <v>15.0781502626896</v>
      </c>
      <c r="F67" s="1" t="n">
        <f aca="false">E67*$L$1</f>
        <v>33.7298221376366</v>
      </c>
      <c r="G67" s="2" t="n">
        <v>1</v>
      </c>
      <c r="H67" s="0" t="n">
        <f aca="false">C67*G67+5</f>
        <v>18.4112</v>
      </c>
      <c r="I67" s="3" t="n">
        <v>0.89408</v>
      </c>
      <c r="J67" s="3" t="n">
        <v>0</v>
      </c>
      <c r="K67" s="4" t="n">
        <v>16.5878890218813</v>
      </c>
    </row>
    <row r="68" customFormat="false" ht="15" hidden="false" customHeight="false" outlineLevel="0" collapsed="false">
      <c r="A68" s="0" t="n">
        <f aca="false">A67+1</f>
        <v>66</v>
      </c>
      <c r="B68" s="0" t="n">
        <f aca="false">B67+C68*1</f>
        <v>678.60672</v>
      </c>
      <c r="C68" s="1" t="n">
        <f aca="false">C67-I68*1</f>
        <v>12.51712</v>
      </c>
      <c r="D68" s="1" t="n">
        <f aca="false">C68*$L$1</f>
        <v>28.00079744</v>
      </c>
      <c r="E68" s="1" t="n">
        <v>14.0081140813681</v>
      </c>
      <c r="F68" s="1" t="n">
        <f aca="false">E68*$L$1</f>
        <v>31.3361512000204</v>
      </c>
      <c r="G68" s="2" t="n">
        <v>1</v>
      </c>
      <c r="H68" s="0" t="n">
        <f aca="false">C68*G68+5</f>
        <v>17.51712</v>
      </c>
      <c r="I68" s="3" t="n">
        <v>0.89408</v>
      </c>
      <c r="J68" s="3" t="n">
        <v>0</v>
      </c>
      <c r="K68" s="4" t="n">
        <v>15.0062247649179</v>
      </c>
    </row>
    <row r="69" customFormat="false" ht="15" hidden="false" customHeight="false" outlineLevel="0" collapsed="false">
      <c r="A69" s="0" t="n">
        <f aca="false">A68+1</f>
        <v>67</v>
      </c>
      <c r="B69" s="0" t="n">
        <f aca="false">B68+C69*1</f>
        <v>690.22976</v>
      </c>
      <c r="C69" s="1" t="n">
        <f aca="false">C68-I69*1</f>
        <v>11.62304</v>
      </c>
      <c r="D69" s="1" t="n">
        <f aca="false">C69*$L$1</f>
        <v>26.00074048</v>
      </c>
      <c r="E69" s="1" t="n">
        <v>12.9000674951957</v>
      </c>
      <c r="F69" s="1" t="n">
        <f aca="false">E69*$L$1</f>
        <v>28.8574509867528</v>
      </c>
      <c r="G69" s="2" t="n">
        <v>1</v>
      </c>
      <c r="H69" s="0" t="n">
        <f aca="false">C69*G69+5</f>
        <v>16.62304</v>
      </c>
      <c r="I69" s="3" t="n">
        <v>0.89408</v>
      </c>
      <c r="J69" s="3" t="n">
        <v>0</v>
      </c>
      <c r="K69" s="4" t="n">
        <v>13.6237430474063</v>
      </c>
    </row>
    <row r="70" customFormat="false" ht="15" hidden="false" customHeight="false" outlineLevel="0" collapsed="false">
      <c r="A70" s="0" t="n">
        <f aca="false">A69+1</f>
        <v>68</v>
      </c>
      <c r="B70" s="0" t="n">
        <f aca="false">B69+C70*1</f>
        <v>700.95872</v>
      </c>
      <c r="C70" s="1" t="n">
        <f aca="false">C69-I70*1</f>
        <v>10.72896</v>
      </c>
      <c r="D70" s="1" t="n">
        <f aca="false">C70*$L$1</f>
        <v>24.00068352</v>
      </c>
      <c r="E70" s="1" t="n">
        <v>11.8009703373251</v>
      </c>
      <c r="F70" s="1" t="n">
        <f aca="false">E70*$L$1</f>
        <v>26.3987706445962</v>
      </c>
      <c r="G70" s="2" t="n">
        <v>1</v>
      </c>
      <c r="H70" s="0" t="n">
        <f aca="false">C70*G70+5</f>
        <v>15.72896</v>
      </c>
      <c r="I70" s="3" t="n">
        <v>0.89408</v>
      </c>
      <c r="J70" s="3" t="n">
        <v>0</v>
      </c>
      <c r="K70" s="4" t="n">
        <v>12.4533363037758</v>
      </c>
    </row>
    <row r="71" customFormat="false" ht="15" hidden="false" customHeight="false" outlineLevel="0" collapsed="false">
      <c r="A71" s="0" t="n">
        <f aca="false">A70+1</f>
        <v>69</v>
      </c>
      <c r="B71" s="0" t="n">
        <f aca="false">B70+C71*1</f>
        <v>710.7936</v>
      </c>
      <c r="C71" s="1" t="n">
        <f aca="false">C70-I71*1</f>
        <v>9.83488</v>
      </c>
      <c r="D71" s="1" t="n">
        <f aca="false">C71*$L$1</f>
        <v>22.00062656</v>
      </c>
      <c r="E71" s="1" t="n">
        <v>10.7408562679115</v>
      </c>
      <c r="F71" s="1" t="n">
        <f aca="false">E71*$L$1</f>
        <v>24.027295471318</v>
      </c>
      <c r="G71" s="2" t="n">
        <v>1</v>
      </c>
      <c r="H71" s="0" t="n">
        <f aca="false">C71*G71+5</f>
        <v>14.83488</v>
      </c>
      <c r="I71" s="3" t="n">
        <v>0.89408</v>
      </c>
      <c r="J71" s="3" t="n">
        <v>0</v>
      </c>
      <c r="K71" s="4" t="n">
        <v>11.4695248231707</v>
      </c>
    </row>
    <row r="72" customFormat="false" ht="15" hidden="false" customHeight="false" outlineLevel="0" collapsed="false">
      <c r="A72" s="0" t="n">
        <f aca="false">A71+1</f>
        <v>70</v>
      </c>
      <c r="B72" s="0" t="n">
        <f aca="false">B71+C72*1</f>
        <v>719.7344</v>
      </c>
      <c r="C72" s="1" t="n">
        <f aca="false">C71-I72*1</f>
        <v>8.9408</v>
      </c>
      <c r="D72" s="1" t="n">
        <f aca="false">C72*$L$1</f>
        <v>20.0005696</v>
      </c>
      <c r="E72" s="1" t="n">
        <v>9.73358256761836</v>
      </c>
      <c r="F72" s="1" t="n">
        <f aca="false">E72*$L$1</f>
        <v>21.7740242037623</v>
      </c>
      <c r="G72" s="2" t="n">
        <v>1</v>
      </c>
      <c r="H72" s="0" t="n">
        <f aca="false">C72*G72+5</f>
        <v>13.9408</v>
      </c>
      <c r="I72" s="3" t="n">
        <v>0.89408</v>
      </c>
      <c r="J72" s="3" t="n">
        <v>0</v>
      </c>
      <c r="K72" s="4" t="n">
        <v>10.6252104326194</v>
      </c>
    </row>
    <row r="73" customFormat="false" ht="15" hidden="false" customHeight="false" outlineLevel="0" collapsed="false">
      <c r="A73" s="0" t="n">
        <f aca="false">A72+1</f>
        <v>71</v>
      </c>
      <c r="B73" s="0" t="n">
        <f aca="false">B72+C73*1</f>
        <v>728.6752</v>
      </c>
      <c r="C73" s="1" t="n">
        <f aca="false">C72+I73*1</f>
        <v>8.9408</v>
      </c>
      <c r="D73" s="1" t="n">
        <f aca="false">C73*$L$1</f>
        <v>20.0005696</v>
      </c>
      <c r="E73" s="1" t="n">
        <v>8.88722486560948</v>
      </c>
      <c r="F73" s="1" t="n">
        <f aca="false">E73*$L$1</f>
        <v>19.8807220243684</v>
      </c>
      <c r="G73" s="2" t="n">
        <v>1</v>
      </c>
      <c r="H73" s="0" t="n">
        <f aca="false">C73*G73+5</f>
        <v>13.9408</v>
      </c>
      <c r="I73" s="3" t="n">
        <v>0</v>
      </c>
      <c r="J73" s="3" t="n">
        <v>0</v>
      </c>
      <c r="K73" s="4" t="n">
        <v>10.2836206914818</v>
      </c>
    </row>
    <row r="74" customFormat="false" ht="15" hidden="false" customHeight="false" outlineLevel="0" collapsed="false">
      <c r="A74" s="0" t="n">
        <f aca="false">A73+1</f>
        <v>72</v>
      </c>
      <c r="B74" s="0" t="n">
        <f aca="false">B73+C74*1</f>
        <v>737.616</v>
      </c>
      <c r="C74" s="1" t="n">
        <f aca="false">C73+I74*1</f>
        <v>8.9408</v>
      </c>
      <c r="D74" s="1" t="n">
        <f aca="false">C74*$L$1</f>
        <v>20.0005696</v>
      </c>
      <c r="E74" s="1" t="n">
        <v>8.32859676961837</v>
      </c>
      <c r="F74" s="1" t="n">
        <f aca="false">E74*$L$1</f>
        <v>18.6310709736363</v>
      </c>
      <c r="G74" s="2" t="n">
        <v>1</v>
      </c>
      <c r="H74" s="0" t="n">
        <f aca="false">C74*G74+5</f>
        <v>13.9408</v>
      </c>
      <c r="I74" s="3" t="n">
        <v>0</v>
      </c>
      <c r="J74" s="3" t="n">
        <v>0</v>
      </c>
      <c r="K74" s="4" t="n">
        <v>10.6430791715031</v>
      </c>
    </row>
    <row r="75" customFormat="false" ht="15" hidden="false" customHeight="false" outlineLevel="0" collapsed="false">
      <c r="A75" s="0" t="n">
        <f aca="false">A74+1</f>
        <v>73</v>
      </c>
      <c r="B75" s="0" t="n">
        <f aca="false">B74+C75*1</f>
        <v>746.5568</v>
      </c>
      <c r="C75" s="1" t="n">
        <f aca="false">C74+I75*1</f>
        <v>8.9408</v>
      </c>
      <c r="D75" s="1" t="n">
        <f aca="false">C75*$L$1</f>
        <v>20.0005696</v>
      </c>
      <c r="E75" s="1" t="n">
        <v>8.05268850323771</v>
      </c>
      <c r="F75" s="1" t="n">
        <f aca="false">E75*$L$1</f>
        <v>18.0138641817428</v>
      </c>
      <c r="G75" s="2" t="n">
        <v>1</v>
      </c>
      <c r="H75" s="0" t="n">
        <f aca="false">C75*G75+5</f>
        <v>13.9408</v>
      </c>
      <c r="I75" s="3" t="n">
        <v>0</v>
      </c>
      <c r="J75" s="3" t="n">
        <v>0</v>
      </c>
      <c r="K75" s="4" t="n">
        <v>11.4145628727423</v>
      </c>
    </row>
    <row r="76" customFormat="false" ht="15" hidden="false" customHeight="false" outlineLevel="0" collapsed="false">
      <c r="A76" s="0" t="n">
        <f aca="false">A75+1</f>
        <v>74</v>
      </c>
      <c r="B76" s="0" t="n">
        <f aca="false">B75+C76*1</f>
        <v>755.4976</v>
      </c>
      <c r="C76" s="1" t="n">
        <f aca="false">C75+I76*1</f>
        <v>8.9408</v>
      </c>
      <c r="D76" s="1" t="n">
        <f aca="false">C76*$L$1</f>
        <v>20.0005696</v>
      </c>
      <c r="E76" s="1" t="n">
        <v>8.01065592373813</v>
      </c>
      <c r="F76" s="1" t="n">
        <f aca="false">E76*$L$1</f>
        <v>17.9198373014022</v>
      </c>
      <c r="G76" s="2" t="n">
        <v>1</v>
      </c>
      <c r="H76" s="0" t="n">
        <f aca="false">C76*G76+5</f>
        <v>13.9408</v>
      </c>
      <c r="I76" s="3" t="n">
        <v>0</v>
      </c>
      <c r="J76" s="3" t="n">
        <v>0</v>
      </c>
      <c r="K76" s="4" t="n">
        <v>12.3380718778693</v>
      </c>
    </row>
    <row r="77" customFormat="false" ht="15" hidden="false" customHeight="false" outlineLevel="0" collapsed="false">
      <c r="A77" s="0" t="n">
        <f aca="false">A76+1</f>
        <v>75</v>
      </c>
      <c r="B77" s="0" t="n">
        <f aca="false">B76+C77*1</f>
        <v>764.4384</v>
      </c>
      <c r="C77" s="1" t="n">
        <f aca="false">C76+I77*1</f>
        <v>8.9408</v>
      </c>
      <c r="D77" s="1" t="n">
        <f aca="false">C77*$L$1</f>
        <v>20.0005696</v>
      </c>
      <c r="E77" s="1" t="n">
        <v>8.13213460183652</v>
      </c>
      <c r="F77" s="1" t="n">
        <f aca="false">E77*$L$1</f>
        <v>18.1915851043083</v>
      </c>
      <c r="G77" s="2" t="n">
        <v>1</v>
      </c>
      <c r="H77" s="0" t="n">
        <f aca="false">C77*G77+5</f>
        <v>13.9408</v>
      </c>
      <c r="I77" s="3" t="n">
        <v>0</v>
      </c>
      <c r="J77" s="3" t="n">
        <v>0</v>
      </c>
      <c r="K77" s="4" t="n">
        <v>13.2148892822884</v>
      </c>
    </row>
    <row r="78" customFormat="false" ht="15" hidden="false" customHeight="false" outlineLevel="0" collapsed="false">
      <c r="A78" s="0" t="n">
        <f aca="false">A77+1</f>
        <v>76</v>
      </c>
      <c r="B78" s="0" t="n">
        <f aca="false">B77+C78*1</f>
        <v>773.3792</v>
      </c>
      <c r="C78" s="1" t="n">
        <f aca="false">C77+I78*1</f>
        <v>8.9408</v>
      </c>
      <c r="D78" s="1" t="n">
        <f aca="false">C78*$L$1</f>
        <v>20.0005696</v>
      </c>
      <c r="E78" s="1" t="n">
        <v>8.34365758881766</v>
      </c>
      <c r="F78" s="1" t="n">
        <f aca="false">E78*$L$1</f>
        <v>18.6647620261851</v>
      </c>
      <c r="G78" s="2" t="n">
        <v>1</v>
      </c>
      <c r="H78" s="0" t="n">
        <f aca="false">C78*G78+5</f>
        <v>13.9408</v>
      </c>
      <c r="I78" s="3" t="n">
        <v>0</v>
      </c>
      <c r="J78" s="3" t="n">
        <v>0</v>
      </c>
      <c r="K78" s="4" t="n">
        <v>13.9193427603664</v>
      </c>
    </row>
    <row r="79" customFormat="false" ht="15" hidden="false" customHeight="false" outlineLevel="0" collapsed="false">
      <c r="A79" s="0" t="n">
        <f aca="false">A78+1</f>
        <v>77</v>
      </c>
      <c r="B79" s="0" t="n">
        <f aca="false">B78+C79*1</f>
        <v>782.32</v>
      </c>
      <c r="C79" s="1" t="n">
        <f aca="false">C78+I79*1</f>
        <v>8.9408</v>
      </c>
      <c r="D79" s="1" t="n">
        <f aca="false">C79*$L$1</f>
        <v>20.0005696</v>
      </c>
      <c r="E79" s="1" t="n">
        <v>8.58149857424679</v>
      </c>
      <c r="F79" s="1" t="n">
        <f aca="false">E79*$L$1</f>
        <v>19.1968123105901</v>
      </c>
      <c r="G79" s="2" t="n">
        <v>1</v>
      </c>
      <c r="H79" s="0" t="n">
        <f aca="false">C79*G79+5</f>
        <v>13.9408</v>
      </c>
      <c r="I79" s="3" t="n">
        <v>0</v>
      </c>
      <c r="J79" s="3" t="n">
        <v>0</v>
      </c>
      <c r="K79" s="4" t="n">
        <v>14.3949353673393</v>
      </c>
    </row>
    <row r="80" customFormat="false" ht="15" hidden="false" customHeight="false" outlineLevel="0" collapsed="false">
      <c r="A80" s="0" t="n">
        <f aca="false">A79+1</f>
        <v>78</v>
      </c>
      <c r="B80" s="0" t="n">
        <f aca="false">B79+C80*1</f>
        <v>791.2608</v>
      </c>
      <c r="C80" s="1" t="n">
        <f aca="false">C79+I80*1</f>
        <v>8.9408</v>
      </c>
      <c r="D80" s="1" t="n">
        <f aca="false">C80*$L$1</f>
        <v>20.0005696</v>
      </c>
      <c r="E80" s="1" t="n">
        <v>8.79871249520225</v>
      </c>
      <c r="F80" s="1" t="n">
        <f aca="false">E80*$L$1</f>
        <v>19.6827198517674</v>
      </c>
      <c r="G80" s="2" t="n">
        <v>1</v>
      </c>
      <c r="H80" s="0" t="n">
        <f aca="false">C80*G80+5</f>
        <v>13.9408</v>
      </c>
      <c r="I80" s="3" t="n">
        <v>0</v>
      </c>
      <c r="J80" s="3" t="n">
        <v>0</v>
      </c>
      <c r="K80" s="4" t="n">
        <v>14.6406227666007</v>
      </c>
    </row>
    <row r="81" customFormat="false" ht="15" hidden="false" customHeight="false" outlineLevel="0" collapsed="false">
      <c r="A81" s="0" t="n">
        <f aca="false">A80+1</f>
        <v>79</v>
      </c>
      <c r="B81" s="0" t="n">
        <f aca="false">B80+C81*1</f>
        <v>800.2016</v>
      </c>
      <c r="C81" s="1" t="n">
        <f aca="false">C80+I81*1</f>
        <v>8.9408</v>
      </c>
      <c r="D81" s="1" t="n">
        <f aca="false">C81*$L$1</f>
        <v>20.0005696</v>
      </c>
      <c r="E81" s="1" t="n">
        <v>8.96715439277453</v>
      </c>
      <c r="F81" s="1" t="n">
        <f aca="false">E81*$L$1</f>
        <v>20.0595243766366</v>
      </c>
      <c r="G81" s="2" t="n">
        <v>1</v>
      </c>
      <c r="H81" s="0" t="n">
        <f aca="false">C81*G81+5</f>
        <v>13.9408</v>
      </c>
      <c r="I81" s="3" t="n">
        <v>0</v>
      </c>
      <c r="J81" s="3" t="n">
        <v>0</v>
      </c>
      <c r="K81" s="4" t="n">
        <v>14.6926942139681</v>
      </c>
    </row>
    <row r="82" customFormat="false" ht="15" hidden="false" customHeight="false" outlineLevel="0" collapsed="false">
      <c r="A82" s="0" t="n">
        <f aca="false">A81+1</f>
        <v>80</v>
      </c>
      <c r="B82" s="0" t="n">
        <f aca="false">B81+C82*1</f>
        <v>809.1424</v>
      </c>
      <c r="C82" s="1" t="n">
        <f aca="false">C81+I82*1</f>
        <v>8.9408</v>
      </c>
      <c r="D82" s="1" t="n">
        <f aca="false">C82*$L$1</f>
        <v>20.0005696</v>
      </c>
      <c r="E82" s="1" t="n">
        <v>9.0758077667099</v>
      </c>
      <c r="F82" s="1" t="n">
        <f aca="false">E82*$L$1</f>
        <v>20.30258197413</v>
      </c>
      <c r="G82" s="2" t="n">
        <v>1</v>
      </c>
      <c r="H82" s="0" t="n">
        <f aca="false">C82*G82+5</f>
        <v>13.9408</v>
      </c>
      <c r="I82" s="3" t="n">
        <v>0</v>
      </c>
      <c r="J82" s="3" t="n">
        <v>0</v>
      </c>
      <c r="K82" s="4" t="n">
        <v>14.6066222304897</v>
      </c>
    </row>
    <row r="83" customFormat="false" ht="15" hidden="false" customHeight="false" outlineLevel="0" collapsed="false">
      <c r="A83" s="0" t="n">
        <f aca="false">A82+1</f>
        <v>81</v>
      </c>
      <c r="B83" s="0" t="n">
        <f aca="false">B82+C83*1</f>
        <v>818.0832</v>
      </c>
      <c r="C83" s="1" t="n">
        <f aca="false">C82+I83*1</f>
        <v>8.9408</v>
      </c>
      <c r="D83" s="1" t="n">
        <f aca="false">C83*$L$1</f>
        <v>20.0005696</v>
      </c>
      <c r="E83" s="1" t="n">
        <v>9.12690842286347</v>
      </c>
      <c r="F83" s="1" t="n">
        <f aca="false">E83*$L$1</f>
        <v>20.4168941419456</v>
      </c>
      <c r="G83" s="2" t="n">
        <v>1</v>
      </c>
      <c r="H83" s="0" t="n">
        <f aca="false">C83*G83+5</f>
        <v>13.9408</v>
      </c>
      <c r="I83" s="3" t="n">
        <v>0</v>
      </c>
      <c r="J83" s="3" t="n">
        <v>0</v>
      </c>
      <c r="K83" s="4" t="n">
        <v>14.4418114755907</v>
      </c>
    </row>
    <row r="84" customFormat="false" ht="15" hidden="false" customHeight="false" outlineLevel="0" collapsed="false">
      <c r="A84" s="0" t="n">
        <f aca="false">A83+1</f>
        <v>82</v>
      </c>
      <c r="B84" s="0" t="n">
        <f aca="false">B83+C84*1</f>
        <v>827.024</v>
      </c>
      <c r="C84" s="1" t="n">
        <f aca="false">C83+I84*1</f>
        <v>8.9408</v>
      </c>
      <c r="D84" s="1" t="n">
        <f aca="false">C84*$L$1</f>
        <v>20.0005696</v>
      </c>
      <c r="E84" s="1" t="n">
        <v>9.13121444082036</v>
      </c>
      <c r="F84" s="1" t="n">
        <f aca="false">E84*$L$1</f>
        <v>20.4265267041151</v>
      </c>
      <c r="G84" s="2" t="n">
        <v>1</v>
      </c>
      <c r="H84" s="0" t="n">
        <f aca="false">C84*G84+5</f>
        <v>13.9408</v>
      </c>
      <c r="I84" s="3" t="n">
        <v>0</v>
      </c>
      <c r="J84" s="3" t="n">
        <v>0</v>
      </c>
      <c r="K84" s="4" t="n">
        <v>14.2507444655678</v>
      </c>
    </row>
    <row r="85" customFormat="false" ht="15" hidden="false" customHeight="false" outlineLevel="0" collapsed="false">
      <c r="A85" s="0" t="n">
        <f aca="false">A84+1</f>
        <v>83</v>
      </c>
      <c r="B85" s="0" t="n">
        <f aca="false">B84+C85*1</f>
        <v>835.9648</v>
      </c>
      <c r="C85" s="1" t="n">
        <f aca="false">C84+I85*1</f>
        <v>8.9408</v>
      </c>
      <c r="D85" s="1" t="n">
        <f aca="false">C85*$L$1</f>
        <v>20.0005696</v>
      </c>
      <c r="E85" s="1" t="n">
        <v>9.10346486193236</v>
      </c>
      <c r="F85" s="1" t="n">
        <f aca="false">E85*$L$1</f>
        <v>20.3644508961427</v>
      </c>
      <c r="G85" s="2" t="n">
        <v>1</v>
      </c>
      <c r="H85" s="0" t="n">
        <f aca="false">C85*G85+5</f>
        <v>13.9408</v>
      </c>
      <c r="I85" s="3" t="n">
        <v>0</v>
      </c>
      <c r="J85" s="3" t="n">
        <v>0</v>
      </c>
      <c r="K85" s="4" t="n">
        <v>14.0728204888344</v>
      </c>
    </row>
    <row r="86" customFormat="false" ht="15" hidden="false" customHeight="false" outlineLevel="0" collapsed="false">
      <c r="A86" s="0" t="n">
        <f aca="false">A85+1</f>
        <v>84</v>
      </c>
      <c r="B86" s="0" t="n">
        <f aca="false">B85+C86*1</f>
        <v>844.9056</v>
      </c>
      <c r="C86" s="1" t="n">
        <f aca="false">C85+I86*1</f>
        <v>8.9408</v>
      </c>
      <c r="D86" s="1" t="n">
        <f aca="false">C86*$L$1</f>
        <v>20.0005696</v>
      </c>
      <c r="E86" s="1" t="n">
        <v>9.05869550860675</v>
      </c>
      <c r="F86" s="1" t="n">
        <f aca="false">E86*$L$1</f>
        <v>20.2643018527533</v>
      </c>
      <c r="G86" s="2" t="n">
        <v>1</v>
      </c>
      <c r="H86" s="0" t="n">
        <f aca="false">C86*G86+5</f>
        <v>13.9408</v>
      </c>
      <c r="I86" s="3" t="n">
        <v>0</v>
      </c>
      <c r="J86" s="3" t="n">
        <v>0</v>
      </c>
      <c r="K86" s="4" t="n">
        <v>13.9323312560024</v>
      </c>
    </row>
    <row r="87" customFormat="false" ht="15" hidden="false" customHeight="false" outlineLevel="0" collapsed="false">
      <c r="A87" s="0" t="n">
        <f aca="false">A86+1</f>
        <v>85</v>
      </c>
      <c r="B87" s="0" t="n">
        <f aca="false">B86+C87*1</f>
        <v>853.8464</v>
      </c>
      <c r="C87" s="1" t="n">
        <f aca="false">C86+I87*1</f>
        <v>8.9408</v>
      </c>
      <c r="D87" s="1" t="n">
        <f aca="false">C87*$L$1</f>
        <v>20.0005696</v>
      </c>
      <c r="E87" s="1" t="n">
        <v>9.00972201574868</v>
      </c>
      <c r="F87" s="1" t="n">
        <f aca="false">E87*$L$1</f>
        <v>20.1547481492298</v>
      </c>
      <c r="G87" s="2" t="n">
        <v>1</v>
      </c>
      <c r="H87" s="0" t="n">
        <f aca="false">C87*G87+5</f>
        <v>13.9408</v>
      </c>
      <c r="I87" s="3" t="n">
        <v>0</v>
      </c>
      <c r="J87" s="3" t="n">
        <v>0</v>
      </c>
      <c r="K87" s="4" t="n">
        <v>13.8395347769874</v>
      </c>
    </row>
    <row r="88" customFormat="false" ht="15" hidden="false" customHeight="false" outlineLevel="0" collapsed="false">
      <c r="A88" s="0" t="n">
        <f aca="false">A87+1</f>
        <v>86</v>
      </c>
      <c r="B88" s="0" t="n">
        <f aca="false">B87+C88*1</f>
        <v>864.2772</v>
      </c>
      <c r="C88" s="1" t="n">
        <f aca="false">C82+I88*1</f>
        <v>10.4308</v>
      </c>
      <c r="D88" s="1" t="n">
        <f aca="false">C88*$L$1</f>
        <v>23.3336996</v>
      </c>
      <c r="E88" s="1" t="n">
        <v>9.14461010600155</v>
      </c>
      <c r="F88" s="1" t="n">
        <f aca="false">E88*$L$1</f>
        <v>20.4564928071255</v>
      </c>
      <c r="G88" s="2" t="n">
        <v>1</v>
      </c>
      <c r="H88" s="0" t="n">
        <f aca="false">C88*G88+5</f>
        <v>15.4308</v>
      </c>
      <c r="I88" s="3" t="n">
        <v>1.49</v>
      </c>
      <c r="J88" s="3" t="n">
        <v>0</v>
      </c>
      <c r="K88" s="4" t="n">
        <v>14.4889662971545</v>
      </c>
    </row>
    <row r="89" customFormat="false" ht="15" hidden="false" customHeight="false" outlineLevel="0" collapsed="false">
      <c r="A89" s="0" t="n">
        <f aca="false">A88+1</f>
        <v>87</v>
      </c>
      <c r="B89" s="0" t="n">
        <f aca="false">B88+C89*1</f>
        <v>876.198</v>
      </c>
      <c r="C89" s="1" t="n">
        <f aca="false">C88+I89*1</f>
        <v>11.9208</v>
      </c>
      <c r="D89" s="1" t="n">
        <f aca="false">C89*$L$1</f>
        <v>26.6668296</v>
      </c>
      <c r="E89" s="1" t="n">
        <v>9.69359320899211</v>
      </c>
      <c r="F89" s="1" t="n">
        <f aca="false">E89*$L$1</f>
        <v>21.6845680085154</v>
      </c>
      <c r="G89" s="2" t="n">
        <v>1</v>
      </c>
      <c r="H89" s="0" t="n">
        <f aca="false">C89*G89+5</f>
        <v>16.9208</v>
      </c>
      <c r="I89" s="3" t="n">
        <v>1.49</v>
      </c>
      <c r="J89" s="3" t="n">
        <v>0</v>
      </c>
      <c r="K89" s="4" t="n">
        <v>16.2863025339732</v>
      </c>
    </row>
    <row r="90" customFormat="false" ht="15" hidden="false" customHeight="false" outlineLevel="0" collapsed="false">
      <c r="A90" s="0" t="n">
        <f aca="false">A89+1</f>
        <v>88</v>
      </c>
      <c r="B90" s="0" t="n">
        <f aca="false">B89+C90*1</f>
        <v>889.6088</v>
      </c>
      <c r="C90" s="1" t="n">
        <f aca="false">C89+I90*1</f>
        <v>13.4108</v>
      </c>
      <c r="D90" s="1" t="n">
        <f aca="false">C90*$L$1</f>
        <v>29.9999596</v>
      </c>
      <c r="E90" s="1" t="n">
        <v>10.6715111546164</v>
      </c>
      <c r="F90" s="1" t="n">
        <f aca="false">E90*$L$1</f>
        <v>23.8721704528769</v>
      </c>
      <c r="G90" s="2" t="n">
        <v>1</v>
      </c>
      <c r="H90" s="0" t="n">
        <f aca="false">C90*G90+5</f>
        <v>18.4108</v>
      </c>
      <c r="I90" s="3" t="n">
        <v>1.49</v>
      </c>
      <c r="J90" s="3" t="n">
        <v>0</v>
      </c>
      <c r="K90" s="4" t="n">
        <v>18.8035430352285</v>
      </c>
    </row>
    <row r="91" customFormat="false" ht="15" hidden="false" customHeight="false" outlineLevel="0" collapsed="false">
      <c r="A91" s="0" t="n">
        <f aca="false">A90+1</f>
        <v>89</v>
      </c>
      <c r="B91" s="0" t="n">
        <f aca="false">B90+C91*1</f>
        <v>904.5096</v>
      </c>
      <c r="C91" s="1" t="n">
        <f aca="false">C90+I91*1</f>
        <v>14.9008</v>
      </c>
      <c r="D91" s="1" t="n">
        <f aca="false">C91*$L$1</f>
        <v>33.3330896</v>
      </c>
      <c r="E91" s="1" t="n">
        <v>12.0192990764076</v>
      </c>
      <c r="F91" s="1" t="n">
        <f aca="false">E91*$L$1</f>
        <v>26.8871720339238</v>
      </c>
      <c r="G91" s="2" t="n">
        <v>1</v>
      </c>
      <c r="H91" s="0" t="n">
        <f aca="false">C91*G91+5</f>
        <v>19.9008</v>
      </c>
      <c r="I91" s="3" t="n">
        <v>1.49</v>
      </c>
      <c r="J91" s="3" t="n">
        <v>0</v>
      </c>
      <c r="K91" s="4" t="n">
        <v>21.638007789513</v>
      </c>
    </row>
    <row r="92" customFormat="false" ht="15" hidden="false" customHeight="false" outlineLevel="0" collapsed="false">
      <c r="A92" s="0" t="n">
        <f aca="false">A91+1</f>
        <v>90</v>
      </c>
      <c r="B92" s="0" t="n">
        <f aca="false">B91+C92*1</f>
        <v>920.9004</v>
      </c>
      <c r="C92" s="1" t="n">
        <f aca="false">C91+I92*1</f>
        <v>16.3908</v>
      </c>
      <c r="D92" s="1" t="n">
        <f aca="false">C92*$L$1</f>
        <v>36.6662196</v>
      </c>
      <c r="E92" s="1" t="n">
        <v>13.6378624188083</v>
      </c>
      <c r="F92" s="1" t="n">
        <f aca="false">E92*$L$1</f>
        <v>30.5078982308742</v>
      </c>
      <c r="G92" s="2" t="n">
        <v>1</v>
      </c>
      <c r="H92" s="0" t="n">
        <f aca="false">C92*G92+5</f>
        <v>21.3908</v>
      </c>
      <c r="I92" s="3" t="n">
        <v>1.49</v>
      </c>
      <c r="J92" s="3" t="n">
        <v>0</v>
      </c>
      <c r="K92" s="4" t="n">
        <v>24.4687738471386</v>
      </c>
    </row>
    <row r="93" customFormat="false" ht="15" hidden="false" customHeight="false" outlineLevel="0" collapsed="false">
      <c r="A93" s="0" t="n">
        <f aca="false">A92+1</f>
        <v>91</v>
      </c>
      <c r="B93" s="0" t="n">
        <f aca="false">B92+C93*1</f>
        <v>938.7812</v>
      </c>
      <c r="C93" s="1" t="n">
        <f aca="false">C92+I93*1</f>
        <v>17.8808</v>
      </c>
      <c r="D93" s="1" t="n">
        <f aca="false">C93*$L$1</f>
        <v>39.9993496</v>
      </c>
      <c r="E93" s="1" t="n">
        <v>15.4172210520224</v>
      </c>
      <c r="F93" s="1" t="n">
        <f aca="false">E93*$L$1</f>
        <v>34.4883234933741</v>
      </c>
      <c r="G93" s="2" t="n">
        <v>1</v>
      </c>
      <c r="H93" s="0" t="n">
        <f aca="false">C93*G93+5</f>
        <v>22.8808</v>
      </c>
      <c r="I93" s="3" t="n">
        <v>1.49</v>
      </c>
      <c r="J93" s="3" t="n">
        <v>0</v>
      </c>
      <c r="K93" s="4" t="n">
        <v>27.0813465947986</v>
      </c>
    </row>
    <row r="94" customFormat="false" ht="15" hidden="false" customHeight="false" outlineLevel="0" collapsed="false">
      <c r="A94" s="0" t="n">
        <f aca="false">A93+1</f>
        <v>92</v>
      </c>
      <c r="B94" s="0" t="n">
        <f aca="false">B93+C94*1</f>
        <v>956.662</v>
      </c>
      <c r="C94" s="1" t="n">
        <f aca="false">C93-I94*1</f>
        <v>17.8808</v>
      </c>
      <c r="D94" s="1" t="n">
        <f aca="false">C94*$L$1</f>
        <v>39.9993496</v>
      </c>
      <c r="E94" s="1" t="n">
        <v>17.0789936733801</v>
      </c>
      <c r="F94" s="1" t="n">
        <f aca="false">E94*$L$1</f>
        <v>38.2057088473513</v>
      </c>
      <c r="G94" s="2" t="n">
        <v>1</v>
      </c>
      <c r="H94" s="0" t="n">
        <f aca="false">C94*G94+5</f>
        <v>22.8808</v>
      </c>
      <c r="I94" s="3" t="n">
        <v>0</v>
      </c>
      <c r="J94" s="3" t="n">
        <v>0</v>
      </c>
      <c r="K94" s="4" t="n">
        <v>28.6717385219782</v>
      </c>
    </row>
    <row r="95" customFormat="false" ht="15" hidden="false" customHeight="false" outlineLevel="0" collapsed="false">
      <c r="A95" s="0" t="n">
        <f aca="false">A94+1</f>
        <v>93</v>
      </c>
      <c r="B95" s="0" t="n">
        <f aca="false">B94+C95*1</f>
        <v>974.5428</v>
      </c>
      <c r="C95" s="1" t="n">
        <f aca="false">C94-I95*1</f>
        <v>17.8808</v>
      </c>
      <c r="D95" s="1" t="n">
        <f aca="false">C95*$L$1</f>
        <v>39.9993496</v>
      </c>
      <c r="E95" s="1" t="n">
        <v>18.3217523414884</v>
      </c>
      <c r="F95" s="1" t="n">
        <f aca="false">E95*$L$1</f>
        <v>40.9857599879095</v>
      </c>
      <c r="G95" s="2" t="n">
        <v>1</v>
      </c>
      <c r="H95" s="0" t="n">
        <f aca="false">C95*G95+5</f>
        <v>22.8808</v>
      </c>
      <c r="I95" s="3" t="n">
        <v>0</v>
      </c>
      <c r="J95" s="3" t="n">
        <v>0</v>
      </c>
      <c r="K95" s="4" t="n">
        <v>28.805956869192</v>
      </c>
    </row>
    <row r="96" customFormat="false" ht="15" hidden="false" customHeight="false" outlineLevel="0" collapsed="false">
      <c r="A96" s="0" t="n">
        <f aca="false">A95+1</f>
        <v>94</v>
      </c>
      <c r="B96" s="0" t="n">
        <f aca="false">B95+C96*1</f>
        <v>992.4236</v>
      </c>
      <c r="C96" s="1" t="n">
        <f aca="false">C95-I96*1</f>
        <v>17.8808</v>
      </c>
      <c r="D96" s="1" t="n">
        <f aca="false">C96*$L$1</f>
        <v>39.9993496</v>
      </c>
      <c r="E96" s="1" t="n">
        <v>19.0837324854389</v>
      </c>
      <c r="F96" s="1" t="n">
        <f aca="false">E96*$L$1</f>
        <v>42.6903095699268</v>
      </c>
      <c r="G96" s="2" t="n">
        <v>1</v>
      </c>
      <c r="H96" s="0" t="n">
        <f aca="false">C96*G96+5</f>
        <v>22.8808</v>
      </c>
      <c r="I96" s="3" t="n">
        <v>0</v>
      </c>
      <c r="J96" s="3" t="n">
        <v>0</v>
      </c>
      <c r="K96" s="4" t="n">
        <v>27.9426210829479</v>
      </c>
    </row>
    <row r="97" customFormat="false" ht="15" hidden="false" customHeight="false" outlineLevel="0" collapsed="false">
      <c r="A97" s="0" t="n">
        <f aca="false">A96+1</f>
        <v>95</v>
      </c>
      <c r="B97" s="0" t="n">
        <f aca="false">B96+C97*1</f>
        <v>1010.3044</v>
      </c>
      <c r="C97" s="1" t="n">
        <f aca="false">C96-I97*1</f>
        <v>17.8808</v>
      </c>
      <c r="D97" s="1" t="n">
        <f aca="false">C97*$L$1</f>
        <v>39.9993496</v>
      </c>
      <c r="E97" s="1" t="n">
        <v>19.400890039816</v>
      </c>
      <c r="F97" s="1" t="n">
        <f aca="false">E97*$L$1</f>
        <v>43.3997910190684</v>
      </c>
      <c r="G97" s="2" t="n">
        <v>1</v>
      </c>
      <c r="H97" s="0" t="n">
        <f aca="false">C97*G97+5</f>
        <v>22.8808</v>
      </c>
      <c r="I97" s="3" t="n">
        <v>0</v>
      </c>
      <c r="J97" s="3" t="n">
        <v>0</v>
      </c>
      <c r="K97" s="4" t="n">
        <v>26.5496034839775</v>
      </c>
    </row>
    <row r="98" customFormat="false" ht="15" hidden="false" customHeight="false" outlineLevel="0" collapsed="false">
      <c r="A98" s="0" t="n">
        <f aca="false">A97+1</f>
        <v>96</v>
      </c>
      <c r="B98" s="0" t="n">
        <f aca="false">B97+C98*1</f>
        <v>1028.1852</v>
      </c>
      <c r="C98" s="1" t="n">
        <f aca="false">C97-I98*1</f>
        <v>17.8808</v>
      </c>
      <c r="D98" s="1" t="n">
        <f aca="false">C98*$L$1</f>
        <v>39.9993496</v>
      </c>
      <c r="E98" s="1" t="n">
        <v>19.3688904831881</v>
      </c>
      <c r="F98" s="1" t="n">
        <f aca="false">E98*$L$1</f>
        <v>43.3282080108918</v>
      </c>
      <c r="G98" s="2" t="n">
        <v>1</v>
      </c>
      <c r="H98" s="0" t="n">
        <f aca="false">C98*G98+5</f>
        <v>22.8808</v>
      </c>
      <c r="I98" s="3" t="n">
        <v>0</v>
      </c>
      <c r="J98" s="3" t="n">
        <v>0</v>
      </c>
      <c r="K98" s="4" t="n">
        <v>25.0257024171121</v>
      </c>
    </row>
    <row r="99" customFormat="false" ht="15" hidden="false" customHeight="false" outlineLevel="0" collapsed="false">
      <c r="A99" s="0" t="n">
        <f aca="false">A98+1</f>
        <v>97</v>
      </c>
      <c r="B99" s="0" t="n">
        <f aca="false">B98+C99*1</f>
        <v>1046.066</v>
      </c>
      <c r="C99" s="1" t="n">
        <f aca="false">C98-I99*1</f>
        <v>17.8808</v>
      </c>
      <c r="D99" s="1" t="n">
        <f aca="false">C99*$L$1</f>
        <v>39.9993496</v>
      </c>
      <c r="E99" s="1" t="n">
        <v>19.1080264448286</v>
      </c>
      <c r="F99" s="1" t="n">
        <f aca="false">E99*$L$1</f>
        <v>42.7446551570816</v>
      </c>
      <c r="G99" s="2" t="n">
        <v>1</v>
      </c>
      <c r="H99" s="0" t="n">
        <f aca="false">C99*G99+5</f>
        <v>22.8808</v>
      </c>
      <c r="I99" s="3" t="n">
        <v>0</v>
      </c>
      <c r="J99" s="3" t="n">
        <v>0</v>
      </c>
      <c r="K99" s="4" t="n">
        <v>23.6592590909664</v>
      </c>
    </row>
    <row r="100" customFormat="false" ht="15" hidden="false" customHeight="false" outlineLevel="0" collapsed="false">
      <c r="A100" s="0" t="n">
        <f aca="false">A99+1</f>
        <v>98</v>
      </c>
      <c r="B100" s="0" t="n">
        <f aca="false">B99+C100*1</f>
        <v>1063.9468</v>
      </c>
      <c r="C100" s="1" t="n">
        <f aca="false">C99-I100*1</f>
        <v>17.8808</v>
      </c>
      <c r="D100" s="1" t="n">
        <f aca="false">C100*$L$1</f>
        <v>39.9993496</v>
      </c>
      <c r="E100" s="1" t="n">
        <v>18.7357424702178</v>
      </c>
      <c r="F100" s="1" t="n">
        <f aca="false">E100*$L$1</f>
        <v>41.9118559058772</v>
      </c>
      <c r="G100" s="2" t="n">
        <v>1</v>
      </c>
      <c r="H100" s="0" t="n">
        <f aca="false">C100*G100+5</f>
        <v>22.8808</v>
      </c>
      <c r="I100" s="3" t="n">
        <v>0</v>
      </c>
      <c r="J100" s="3" t="n">
        <v>0</v>
      </c>
      <c r="K100" s="4" t="n">
        <v>22.6181929901852</v>
      </c>
    </row>
    <row r="101" customFormat="false" ht="15" hidden="false" customHeight="false" outlineLevel="0" collapsed="false">
      <c r="A101" s="0" t="n">
        <f aca="false">A100+1</f>
        <v>99</v>
      </c>
      <c r="B101" s="0" t="n">
        <f aca="false">B100+C101*1</f>
        <v>1081.8276</v>
      </c>
      <c r="C101" s="1" t="n">
        <f aca="false">C100-I101*1</f>
        <v>17.8808</v>
      </c>
      <c r="D101" s="1" t="n">
        <f aca="false">C101*$L$1</f>
        <v>39.9993496</v>
      </c>
      <c r="E101" s="1" t="n">
        <v>18.3486787333592</v>
      </c>
      <c r="F101" s="1" t="n">
        <f aca="false">E101*$L$1</f>
        <v>41.0459943265245</v>
      </c>
      <c r="G101" s="2" t="n">
        <v>1</v>
      </c>
      <c r="H101" s="0" t="n">
        <f aca="false">C101*G101+5</f>
        <v>22.8808</v>
      </c>
      <c r="I101" s="3" t="n">
        <v>0</v>
      </c>
      <c r="J101" s="3" t="n">
        <v>0</v>
      </c>
      <c r="K101" s="4" t="n">
        <v>21.9626979046629</v>
      </c>
    </row>
    <row r="102" customFormat="false" ht="15" hidden="false" customHeight="false" outlineLevel="0" collapsed="false">
      <c r="A102" s="0" t="n">
        <f aca="false">A101+1</f>
        <v>100</v>
      </c>
      <c r="B102" s="0" t="n">
        <f aca="false">B101+C102*1</f>
        <v>1099.7084</v>
      </c>
      <c r="C102" s="1" t="n">
        <f aca="false">C101-I102*1</f>
        <v>17.8808</v>
      </c>
      <c r="D102" s="1" t="n">
        <f aca="false">C102*$L$1</f>
        <v>39.9993496</v>
      </c>
      <c r="E102" s="1" t="n">
        <v>18.0139835259553</v>
      </c>
      <c r="F102" s="1" t="n">
        <f aca="false">E102*$L$1</f>
        <v>40.297281147562</v>
      </c>
      <c r="G102" s="2" t="n">
        <v>1</v>
      </c>
      <c r="H102" s="0" t="n">
        <f aca="false">C102*G102+5</f>
        <v>22.8808</v>
      </c>
      <c r="I102" s="3" t="n">
        <v>0</v>
      </c>
      <c r="J102" s="3" t="n">
        <v>0</v>
      </c>
      <c r="K102" s="4" t="n">
        <v>21.6710829577937</v>
      </c>
    </row>
    <row r="103" customFormat="false" ht="15" hidden="false" customHeight="false" outlineLevel="0" collapsed="false">
      <c r="A103" s="0" t="n">
        <f aca="false">A102+1</f>
        <v>101</v>
      </c>
      <c r="B103" s="0" t="n">
        <f aca="false">B102+C103*1</f>
        <v>1117.5892</v>
      </c>
      <c r="C103" s="1" t="n">
        <f aca="false">C102-I103*1</f>
        <v>17.8808</v>
      </c>
      <c r="D103" s="1" t="n">
        <f aca="false">C103*$L$1</f>
        <v>39.9993496</v>
      </c>
      <c r="E103" s="1" t="n">
        <v>17.7682356107726</v>
      </c>
      <c r="F103" s="1" t="n">
        <f aca="false">E103*$L$1</f>
        <v>39.7475430612983</v>
      </c>
      <c r="G103" s="2" t="n">
        <v>1</v>
      </c>
      <c r="H103" s="0" t="n">
        <f aca="false">C103*G103+5</f>
        <v>22.8808</v>
      </c>
      <c r="I103" s="3" t="n">
        <v>0</v>
      </c>
      <c r="J103" s="3" t="n">
        <v>0</v>
      </c>
      <c r="K103" s="4" t="n">
        <v>21.6702661708603</v>
      </c>
    </row>
    <row r="104" customFormat="false" ht="15" hidden="false" customHeight="false" outlineLevel="0" collapsed="false">
      <c r="A104" s="0" t="n">
        <f aca="false">A103+1</f>
        <v>102</v>
      </c>
      <c r="B104" s="0" t="n">
        <f aca="false">B103+C104*1</f>
        <v>1135.47</v>
      </c>
      <c r="C104" s="1" t="n">
        <f aca="false">C103-I104*1</f>
        <v>17.8808</v>
      </c>
      <c r="D104" s="1" t="n">
        <f aca="false">C104*$L$1</f>
        <v>39.9993496</v>
      </c>
      <c r="E104" s="1" t="n">
        <v>17.6216402564636</v>
      </c>
      <c r="F104" s="1" t="n">
        <f aca="false">E104*$L$1</f>
        <v>39.4196092537091</v>
      </c>
      <c r="G104" s="2" t="n">
        <v>1</v>
      </c>
      <c r="H104" s="0" t="n">
        <f aca="false">C104*G104+5</f>
        <v>22.8808</v>
      </c>
      <c r="I104" s="3" t="n">
        <v>0</v>
      </c>
      <c r="J104" s="3" t="n">
        <v>0</v>
      </c>
      <c r="K104" s="4" t="n">
        <v>21.8644801848393</v>
      </c>
    </row>
    <row r="105" customFormat="false" ht="15" hidden="false" customHeight="false" outlineLevel="0" collapsed="false">
      <c r="A105" s="0" t="n">
        <f aca="false">A104+1</f>
        <v>103</v>
      </c>
      <c r="B105" s="0" t="n">
        <f aca="false">B104+C105*1</f>
        <v>1153.3508</v>
      </c>
      <c r="C105" s="1" t="n">
        <f aca="false">C104-I105*1</f>
        <v>17.8808</v>
      </c>
      <c r="D105" s="1" t="n">
        <f aca="false">C105*$L$1</f>
        <v>39.9993496</v>
      </c>
      <c r="E105" s="1" t="n">
        <v>17.5650847155135</v>
      </c>
      <c r="F105" s="1" t="n">
        <f aca="false">E105*$L$1</f>
        <v>39.2930945086037</v>
      </c>
      <c r="G105" s="2" t="n">
        <v>1</v>
      </c>
      <c r="H105" s="0" t="n">
        <f aca="false">C105*G105+5</f>
        <v>22.8808</v>
      </c>
      <c r="I105" s="3" t="n">
        <v>0</v>
      </c>
      <c r="J105" s="3" t="n">
        <v>0</v>
      </c>
      <c r="K105" s="4" t="n">
        <v>22.158161298692</v>
      </c>
    </row>
    <row r="106" customFormat="false" ht="15" hidden="false" customHeight="false" outlineLevel="0" collapsed="false">
      <c r="A106" s="0" t="n">
        <f aca="false">A105+1</f>
        <v>104</v>
      </c>
      <c r="B106" s="0" t="n">
        <f aca="false">B105+C106*1</f>
        <v>1171.2316</v>
      </c>
      <c r="C106" s="1" t="n">
        <f aca="false">C105-I106*1</f>
        <v>17.8808</v>
      </c>
      <c r="D106" s="1" t="n">
        <f aca="false">C106*$L$1</f>
        <v>39.9993496</v>
      </c>
      <c r="E106" s="1" t="n">
        <v>17.5779750165051</v>
      </c>
      <c r="F106" s="1" t="n">
        <f aca="false">E106*$L$1</f>
        <v>39.3219301119219</v>
      </c>
      <c r="G106" s="2" t="n">
        <v>1</v>
      </c>
      <c r="H106" s="0" t="n">
        <f aca="false">C106*G106+5</f>
        <v>22.8808</v>
      </c>
      <c r="I106" s="3" t="n">
        <v>0</v>
      </c>
      <c r="J106" s="3" t="n">
        <v>0</v>
      </c>
      <c r="K106" s="4" t="n">
        <v>22.4712574451646</v>
      </c>
    </row>
    <row r="107" customFormat="false" ht="15" hidden="false" customHeight="false" outlineLevel="0" collapsed="false">
      <c r="A107" s="0" t="n">
        <f aca="false">A106+1</f>
        <v>105</v>
      </c>
      <c r="B107" s="0" t="n">
        <f aca="false">B106+C107*1</f>
        <v>1187.6224</v>
      </c>
      <c r="C107" s="1" t="n">
        <f aca="false">C101-I107*1</f>
        <v>16.3908</v>
      </c>
      <c r="D107" s="1" t="n">
        <f aca="false">C107*$L$1</f>
        <v>36.6662196</v>
      </c>
      <c r="E107" s="1" t="n">
        <v>17.4565355578032</v>
      </c>
      <c r="F107" s="1" t="n">
        <f aca="false">E107*$L$1</f>
        <v>39.0502700428058</v>
      </c>
      <c r="G107" s="2" t="n">
        <v>1</v>
      </c>
      <c r="H107" s="0" t="n">
        <f aca="false">C107*G107+5</f>
        <v>21.3908</v>
      </c>
      <c r="I107" s="3" t="n">
        <v>1.49</v>
      </c>
      <c r="J107" s="3" t="n">
        <v>0</v>
      </c>
      <c r="K107" s="4" t="n">
        <v>22.0516589534896</v>
      </c>
    </row>
    <row r="108" customFormat="false" ht="15" hidden="false" customHeight="false" outlineLevel="0" collapsed="false">
      <c r="A108" s="0" t="n">
        <f aca="false">A107+1</f>
        <v>106</v>
      </c>
      <c r="B108" s="0" t="n">
        <f aca="false">B107+C108*1</f>
        <v>1202.5232</v>
      </c>
      <c r="C108" s="1" t="n">
        <f aca="false">C107-I108*1</f>
        <v>14.9008</v>
      </c>
      <c r="D108" s="1" t="n">
        <f aca="false">C108*$L$1</f>
        <v>33.3330896</v>
      </c>
      <c r="E108" s="1" t="n">
        <v>16.9520346797377</v>
      </c>
      <c r="F108" s="1" t="n">
        <f aca="false">E108*$L$1</f>
        <v>37.9217015785732</v>
      </c>
      <c r="G108" s="2" t="n">
        <v>1</v>
      </c>
      <c r="H108" s="0" t="n">
        <f aca="false">C108*G108+5</f>
        <v>19.9008</v>
      </c>
      <c r="I108" s="3" t="n">
        <v>1.49</v>
      </c>
      <c r="J108" s="3" t="n">
        <v>0</v>
      </c>
      <c r="K108" s="4" t="n">
        <v>20.4535676349965</v>
      </c>
    </row>
    <row r="109" customFormat="false" ht="15" hidden="false" customHeight="false" outlineLevel="0" collapsed="false">
      <c r="A109" s="0" t="n">
        <f aca="false">A108+1</f>
        <v>107</v>
      </c>
      <c r="B109" s="0" t="n">
        <f aca="false">B108+C109*1</f>
        <v>1215.934</v>
      </c>
      <c r="C109" s="1" t="n">
        <f aca="false">C108-I109*1</f>
        <v>13.4108</v>
      </c>
      <c r="D109" s="1" t="n">
        <f aca="false">C109*$L$1</f>
        <v>29.9999596</v>
      </c>
      <c r="E109" s="1" t="n">
        <v>16.0322416672098</v>
      </c>
      <c r="F109" s="1" t="n">
        <f aca="false">E109*$L$1</f>
        <v>35.8641246095483</v>
      </c>
      <c r="G109" s="2" t="n">
        <v>1</v>
      </c>
      <c r="H109" s="0" t="n">
        <f aca="false">C109*G109+5</f>
        <v>18.4108</v>
      </c>
      <c r="I109" s="3" t="n">
        <v>1.49</v>
      </c>
      <c r="J109" s="3" t="n">
        <v>0</v>
      </c>
      <c r="K109" s="4" t="n">
        <v>18.0830149273716</v>
      </c>
    </row>
    <row r="110" customFormat="false" ht="15" hidden="false" customHeight="false" outlineLevel="0" collapsed="false">
      <c r="A110" s="0" t="n">
        <f aca="false">A109+1</f>
        <v>108</v>
      </c>
      <c r="B110" s="0" t="n">
        <f aca="false">B109+C110*1</f>
        <v>1227.8548</v>
      </c>
      <c r="C110" s="1" t="n">
        <f aca="false">C109-I110*1</f>
        <v>11.9208</v>
      </c>
      <c r="D110" s="1" t="n">
        <f aca="false">C110*$L$1</f>
        <v>26.6668296</v>
      </c>
      <c r="E110" s="1" t="n">
        <v>14.7423706688</v>
      </c>
      <c r="F110" s="1" t="n">
        <f aca="false">E110*$L$1</f>
        <v>32.9786831861056</v>
      </c>
      <c r="G110" s="2" t="n">
        <v>1</v>
      </c>
      <c r="H110" s="0" t="n">
        <f aca="false">C110*G110+5</f>
        <v>16.9208</v>
      </c>
      <c r="I110" s="3" t="n">
        <v>1.49</v>
      </c>
      <c r="J110" s="3" t="n">
        <v>0</v>
      </c>
      <c r="K110" s="4" t="n">
        <v>15.3364125776795</v>
      </c>
    </row>
    <row r="111" customFormat="false" ht="15" hidden="false" customHeight="false" outlineLevel="0" collapsed="false">
      <c r="A111" s="0" t="n">
        <f aca="false">A110+1</f>
        <v>109</v>
      </c>
      <c r="B111" s="0" t="n">
        <f aca="false">B110+C111*1</f>
        <v>1238.2856</v>
      </c>
      <c r="C111" s="1" t="n">
        <f aca="false">C110-I111*1</f>
        <v>10.4308</v>
      </c>
      <c r="D111" s="1" t="n">
        <f aca="false">C111*$L$1</f>
        <v>23.3336996</v>
      </c>
      <c r="E111" s="1" t="n">
        <v>13.1722666475966</v>
      </c>
      <c r="F111" s="1" t="n">
        <f aca="false">E111*$L$1</f>
        <v>29.4663604906736</v>
      </c>
      <c r="G111" s="2" t="n">
        <v>1</v>
      </c>
      <c r="H111" s="0" t="n">
        <f aca="false">C111*G111+5</f>
        <v>15.4308</v>
      </c>
      <c r="I111" s="3" t="n">
        <v>1.49</v>
      </c>
      <c r="J111" s="3" t="n">
        <v>0</v>
      </c>
      <c r="K111" s="4" t="n">
        <v>12.5399467570326</v>
      </c>
    </row>
    <row r="112" customFormat="false" ht="15" hidden="false" customHeight="false" outlineLevel="0" collapsed="false">
      <c r="A112" s="0" t="n">
        <f aca="false">A111+1</f>
        <v>110</v>
      </c>
      <c r="B112" s="0" t="n">
        <f aca="false">B111+C112*1</f>
        <v>1247.2264</v>
      </c>
      <c r="C112" s="1" t="n">
        <f aca="false">C111-I112*1</f>
        <v>8.9408</v>
      </c>
      <c r="D112" s="1" t="n">
        <f aca="false">C112*$L$1</f>
        <v>20.0005696</v>
      </c>
      <c r="E112" s="1" t="n">
        <v>11.4272320740834</v>
      </c>
      <c r="F112" s="1" t="n">
        <f aca="false">E112*$L$1</f>
        <v>25.5627181497246</v>
      </c>
      <c r="G112" s="2" t="n">
        <v>1</v>
      </c>
      <c r="H112" s="0" t="n">
        <f aca="false">C112*G112+5</f>
        <v>13.9408</v>
      </c>
      <c r="I112" s="3" t="n">
        <v>1.49</v>
      </c>
      <c r="J112" s="3" t="n">
        <v>0</v>
      </c>
      <c r="K112" s="4" t="n">
        <v>9.92025716432977</v>
      </c>
    </row>
    <row r="113" customFormat="false" ht="15" hidden="false" customHeight="false" outlineLevel="0" collapsed="false">
      <c r="A113" s="0" t="n">
        <f aca="false">A112+1</f>
        <v>111</v>
      </c>
      <c r="B113" s="0" t="n">
        <f aca="false">B112+C113*1</f>
        <v>1256.1672</v>
      </c>
      <c r="C113" s="1" t="n">
        <f aca="false">C112-I113*1</f>
        <v>8.9408</v>
      </c>
      <c r="D113" s="1" t="n">
        <f aca="false">C113*$L$1</f>
        <v>20.0005696</v>
      </c>
      <c r="E113" s="1" t="n">
        <v>9.78478738622737</v>
      </c>
      <c r="F113" s="1" t="n">
        <f aca="false">E113*$L$1</f>
        <v>21.8885693829906</v>
      </c>
      <c r="G113" s="2" t="n">
        <v>1</v>
      </c>
      <c r="H113" s="0" t="n">
        <f aca="false">C113*G113+5</f>
        <v>13.9408</v>
      </c>
      <c r="I113" s="3" t="n">
        <v>0</v>
      </c>
      <c r="J113" s="3" t="n">
        <v>0</v>
      </c>
      <c r="K113" s="4" t="n">
        <v>8.29613476464851</v>
      </c>
    </row>
    <row r="114" customFormat="false" ht="15" hidden="false" customHeight="false" outlineLevel="0" collapsed="false">
      <c r="A114" s="0" t="n">
        <f aca="false">A113+1</f>
        <v>112</v>
      </c>
      <c r="B114" s="0" t="n">
        <f aca="false">B113+C114*1</f>
        <v>1265.108</v>
      </c>
      <c r="C114" s="1" t="n">
        <f aca="false">C113-I114*1</f>
        <v>8.9408</v>
      </c>
      <c r="D114" s="1" t="n">
        <f aca="false">C114*$L$1</f>
        <v>20.0005696</v>
      </c>
      <c r="E114" s="1" t="n">
        <v>8.54819626484908</v>
      </c>
      <c r="F114" s="1" t="n">
        <f aca="false">E114*$L$1</f>
        <v>19.1223150444674</v>
      </c>
      <c r="G114" s="2" t="n">
        <v>1</v>
      </c>
      <c r="H114" s="0" t="n">
        <f aca="false">C114*G114+5</f>
        <v>13.9408</v>
      </c>
      <c r="I114" s="3" t="n">
        <v>0</v>
      </c>
      <c r="J114" s="3" t="n">
        <v>0</v>
      </c>
      <c r="K114" s="4" t="n">
        <v>8.11577575863862</v>
      </c>
    </row>
    <row r="115" customFormat="false" ht="15" hidden="false" customHeight="false" outlineLevel="0" collapsed="false">
      <c r="A115" s="0" t="n">
        <f aca="false">A114+1</f>
        <v>113</v>
      </c>
      <c r="B115" s="0" t="n">
        <f aca="false">B114+C115*1</f>
        <v>1274.0488</v>
      </c>
      <c r="C115" s="1" t="n">
        <f aca="false">C114-I115*1</f>
        <v>8.9408</v>
      </c>
      <c r="D115" s="1" t="n">
        <f aca="false">C115*$L$1</f>
        <v>20.0005696</v>
      </c>
      <c r="E115" s="1" t="n">
        <v>7.7825709942207</v>
      </c>
      <c r="F115" s="1" t="n">
        <f aca="false">E115*$L$1</f>
        <v>17.4096113140717</v>
      </c>
      <c r="G115" s="2" t="n">
        <v>1</v>
      </c>
      <c r="H115" s="0" t="n">
        <f aca="false">C115*G115+5</f>
        <v>13.9408</v>
      </c>
      <c r="I115" s="3" t="n">
        <v>0</v>
      </c>
      <c r="J115" s="3" t="n">
        <v>0</v>
      </c>
      <c r="K115" s="4" t="n">
        <v>8.93207682277648</v>
      </c>
    </row>
    <row r="116" customFormat="false" ht="15" hidden="false" customHeight="false" outlineLevel="0" collapsed="false">
      <c r="A116" s="0" t="n">
        <f aca="false">A115+1</f>
        <v>114</v>
      </c>
      <c r="B116" s="0" t="n">
        <f aca="false">B115+C116*1</f>
        <v>1282.9896</v>
      </c>
      <c r="C116" s="1" t="n">
        <f aca="false">C115-I116*1</f>
        <v>8.9408</v>
      </c>
      <c r="D116" s="1" t="n">
        <f aca="false">C116*$L$1</f>
        <v>20.0005696</v>
      </c>
      <c r="E116" s="1" t="n">
        <v>7.45577810176941</v>
      </c>
      <c r="F116" s="1" t="n">
        <f aca="false">E116*$L$1</f>
        <v>16.6785756136582</v>
      </c>
      <c r="G116" s="2" t="n">
        <v>1</v>
      </c>
      <c r="H116" s="0" t="n">
        <f aca="false">C116*G116+5</f>
        <v>13.9408</v>
      </c>
      <c r="I116" s="3" t="n">
        <v>0</v>
      </c>
      <c r="J116" s="3" t="n">
        <v>0</v>
      </c>
      <c r="K116" s="4" t="n">
        <v>10.2850278427209</v>
      </c>
    </row>
    <row r="117" customFormat="false" ht="15" hidden="false" customHeight="false" outlineLevel="0" collapsed="false">
      <c r="A117" s="0" t="n">
        <f aca="false">A116+1</f>
        <v>115</v>
      </c>
      <c r="B117" s="0" t="n">
        <f aca="false">B116+C117*1</f>
        <v>1291.9304</v>
      </c>
      <c r="C117" s="1" t="n">
        <f aca="false">C116-I117*1</f>
        <v>8.9408</v>
      </c>
      <c r="D117" s="1" t="n">
        <f aca="false">C117*$L$1</f>
        <v>20.0005696</v>
      </c>
      <c r="E117" s="1" t="n">
        <v>7.47567776636627</v>
      </c>
      <c r="F117" s="1" t="n">
        <f aca="false">E117*$L$1</f>
        <v>16.7230911633613</v>
      </c>
      <c r="G117" s="2" t="n">
        <v>1</v>
      </c>
      <c r="H117" s="0" t="n">
        <f aca="false">C117*G117+5</f>
        <v>13.9408</v>
      </c>
      <c r="I117" s="3" t="n">
        <v>0</v>
      </c>
      <c r="J117" s="3" t="n">
        <v>0</v>
      </c>
      <c r="K117" s="4" t="n">
        <v>11.7799788022814</v>
      </c>
    </row>
    <row r="118" customFormat="false" ht="15" hidden="false" customHeight="false" outlineLevel="0" collapsed="false">
      <c r="A118" s="0" t="n">
        <f aca="false">A117+1</f>
        <v>116</v>
      </c>
      <c r="B118" s="0" t="n">
        <f aca="false">B117+C118*1</f>
        <v>1300.8712</v>
      </c>
      <c r="C118" s="1" t="n">
        <f aca="false">C117-I118*1</f>
        <v>8.9408</v>
      </c>
      <c r="D118" s="1" t="n">
        <f aca="false">C118*$L$1</f>
        <v>20.0005696</v>
      </c>
      <c r="E118" s="1" t="n">
        <v>7.72473685204962</v>
      </c>
      <c r="F118" s="1" t="n">
        <f aca="false">E118*$L$1</f>
        <v>17.280236338035</v>
      </c>
      <c r="G118" s="2" t="n">
        <v>1</v>
      </c>
      <c r="H118" s="0" t="n">
        <f aca="false">C118*G118+5</f>
        <v>13.9408</v>
      </c>
      <c r="I118" s="3" t="n">
        <v>0</v>
      </c>
      <c r="J118" s="3" t="n">
        <v>0</v>
      </c>
      <c r="K118" s="4" t="n">
        <v>13.1295802780999</v>
      </c>
    </row>
    <row r="119" customFormat="false" ht="15" hidden="false" customHeight="false" outlineLevel="0" collapsed="false">
      <c r="A119" s="0" t="n">
        <f aca="false">A118+1</f>
        <v>117</v>
      </c>
      <c r="B119" s="0" t="n">
        <f aca="false">B118+C119*1</f>
        <v>1309.812</v>
      </c>
      <c r="C119" s="1" t="n">
        <f aca="false">C118-I119*1</f>
        <v>8.9408</v>
      </c>
      <c r="D119" s="1" t="n">
        <f aca="false">C119*$L$1</f>
        <v>20.0005696</v>
      </c>
      <c r="E119" s="1" t="n">
        <v>8.08731283461341</v>
      </c>
      <c r="F119" s="1" t="n">
        <f aca="false">E119*$L$1</f>
        <v>18.0913188110302</v>
      </c>
      <c r="G119" s="2" t="n">
        <v>1</v>
      </c>
      <c r="H119" s="0" t="n">
        <f aca="false">C119*G119+5</f>
        <v>13.9408</v>
      </c>
      <c r="I119" s="3" t="n">
        <v>0</v>
      </c>
      <c r="J119" s="3" t="n">
        <v>0</v>
      </c>
      <c r="K119" s="4" t="n">
        <v>14.1646294180387</v>
      </c>
    </row>
    <row r="120" customFormat="false" ht="15" hidden="false" customHeight="false" outlineLevel="0" collapsed="false">
      <c r="A120" s="0" t="n">
        <f aca="false">A119+1</f>
        <v>118</v>
      </c>
      <c r="B120" s="0" t="n">
        <f aca="false">B119+C120*1</f>
        <v>1318.7528</v>
      </c>
      <c r="C120" s="1" t="n">
        <f aca="false">C119-I120*1</f>
        <v>8.9408</v>
      </c>
      <c r="D120" s="1" t="n">
        <f aca="false">C120*$L$1</f>
        <v>20.0005696</v>
      </c>
      <c r="E120" s="1" t="n">
        <v>8.46763591709173</v>
      </c>
      <c r="F120" s="1" t="n">
        <f aca="false">E120*$L$1</f>
        <v>18.9421015465342</v>
      </c>
      <c r="G120" s="2" t="n">
        <v>1</v>
      </c>
      <c r="H120" s="0" t="n">
        <f aca="false">C120*G120+5</f>
        <v>13.9408</v>
      </c>
      <c r="I120" s="3" t="n">
        <v>0</v>
      </c>
      <c r="J120" s="3" t="n">
        <v>0</v>
      </c>
      <c r="K120" s="4" t="n">
        <v>14.8223306863488</v>
      </c>
    </row>
    <row r="121" customFormat="false" ht="15" hidden="false" customHeight="false" outlineLevel="0" collapsed="false">
      <c r="A121" s="0" t="n">
        <f aca="false">A120+1</f>
        <v>119</v>
      </c>
      <c r="B121" s="0" t="n">
        <f aca="false">B120+C121*1</f>
        <v>1327.6936</v>
      </c>
      <c r="C121" s="1" t="n">
        <f aca="false">C120-I121*1</f>
        <v>8.9408</v>
      </c>
      <c r="D121" s="1" t="n">
        <f aca="false">C121*$L$1</f>
        <v>20.0005696</v>
      </c>
      <c r="E121" s="1" t="n">
        <v>8.798663742154</v>
      </c>
      <c r="F121" s="1" t="n">
        <f aca="false">E121*$L$1</f>
        <v>19.6826107911985</v>
      </c>
      <c r="G121" s="2" t="n">
        <v>1</v>
      </c>
      <c r="H121" s="0" t="n">
        <f aca="false">C121*G121+5</f>
        <v>13.9408</v>
      </c>
      <c r="I121" s="3" t="n">
        <v>0</v>
      </c>
      <c r="J121" s="3" t="n">
        <v>0</v>
      </c>
      <c r="K121" s="4" t="n">
        <v>15.1213081993058</v>
      </c>
    </row>
    <row r="122" customFormat="false" ht="15" hidden="false" customHeight="false" outlineLevel="0" collapsed="false">
      <c r="A122" s="0" t="n">
        <f aca="false">A121+1</f>
        <v>120</v>
      </c>
      <c r="B122" s="0" t="n">
        <f aca="false">B121+C122*1</f>
        <v>1336.6344</v>
      </c>
      <c r="C122" s="1" t="n">
        <f aca="false">C121-I122*1</f>
        <v>8.9408</v>
      </c>
      <c r="D122" s="1" t="n">
        <f aca="false">C122*$L$1</f>
        <v>20.0005696</v>
      </c>
      <c r="E122" s="1" t="n">
        <v>9.04339409128029</v>
      </c>
      <c r="F122" s="1" t="n">
        <f aca="false">E122*$L$1</f>
        <v>20.230072582194</v>
      </c>
      <c r="G122" s="2" t="n">
        <v>1</v>
      </c>
      <c r="H122" s="0" t="n">
        <f aca="false">C122*G122+5</f>
        <v>13.9408</v>
      </c>
      <c r="I122" s="3" t="n">
        <v>0</v>
      </c>
      <c r="J122" s="3" t="n">
        <v>0</v>
      </c>
      <c r="K122" s="4" t="n">
        <v>15.1317589199239</v>
      </c>
    </row>
    <row r="123" customFormat="false" ht="15" hidden="false" customHeight="false" outlineLevel="0" collapsed="false">
      <c r="A123" s="0" t="n">
        <f aca="false">A122+1</f>
        <v>121</v>
      </c>
      <c r="B123" s="0" t="n">
        <f aca="false">B122+C123*1</f>
        <v>1345.5752</v>
      </c>
      <c r="C123" s="1" t="n">
        <f aca="false">C122-I123*1</f>
        <v>8.9408</v>
      </c>
      <c r="D123" s="1" t="n">
        <f aca="false">C123*$L$1</f>
        <v>20.0005696</v>
      </c>
      <c r="E123" s="1" t="n">
        <v>9.1909115603643</v>
      </c>
      <c r="F123" s="1" t="n">
        <f aca="false">E123*$L$1</f>
        <v>20.5600691605349</v>
      </c>
      <c r="G123" s="2" t="n">
        <v>1</v>
      </c>
      <c r="H123" s="0" t="n">
        <f aca="false">C123*G123+5</f>
        <v>13.9408</v>
      </c>
      <c r="I123" s="3" t="n">
        <v>0</v>
      </c>
      <c r="J123" s="3" t="n">
        <v>0</v>
      </c>
      <c r="K123" s="4" t="n">
        <v>14.9471511677816</v>
      </c>
    </row>
    <row r="124" customFormat="false" ht="15" hidden="false" customHeight="false" outlineLevel="0" collapsed="false">
      <c r="A124" s="0" t="n">
        <f aca="false">A123+1</f>
        <v>122</v>
      </c>
      <c r="B124" s="0" t="n">
        <f aca="false">B123+C124*1</f>
        <v>1354.516</v>
      </c>
      <c r="C124" s="1" t="n">
        <f aca="false">C123-I124*1</f>
        <v>8.9408</v>
      </c>
      <c r="D124" s="1" t="n">
        <f aca="false">C124*$L$1</f>
        <v>20.0005696</v>
      </c>
      <c r="E124" s="1" t="n">
        <v>9.24954087526513</v>
      </c>
      <c r="F124" s="1" t="n">
        <f aca="false">E124*$L$1</f>
        <v>20.6912229379681</v>
      </c>
      <c r="G124" s="2" t="n">
        <v>1</v>
      </c>
      <c r="H124" s="0" t="n">
        <f aca="false">C124*G124+5</f>
        <v>13.9408</v>
      </c>
      <c r="I124" s="3" t="n">
        <v>0</v>
      </c>
      <c r="J124" s="3" t="n">
        <v>0</v>
      </c>
      <c r="K124" s="4" t="n">
        <v>14.6615122286848</v>
      </c>
    </row>
    <row r="125" customFormat="false" ht="15" hidden="false" customHeight="false" outlineLevel="0" collapsed="false">
      <c r="A125" s="0" t="n">
        <f aca="false">A124+1</f>
        <v>123</v>
      </c>
      <c r="B125" s="0" t="n">
        <f aca="false">B124+C125*1</f>
        <v>1363.4568</v>
      </c>
      <c r="C125" s="1" t="n">
        <f aca="false">C124-I125*1</f>
        <v>8.9408</v>
      </c>
      <c r="D125" s="1" t="n">
        <f aca="false">C125*$L$1</f>
        <v>20.0005696</v>
      </c>
      <c r="E125" s="1" t="n">
        <v>9.23916256860934</v>
      </c>
      <c r="F125" s="1" t="n">
        <f aca="false">E125*$L$1</f>
        <v>20.6680066659791</v>
      </c>
      <c r="G125" s="2" t="n">
        <v>1</v>
      </c>
      <c r="H125" s="0" t="n">
        <f aca="false">C125*G125+5</f>
        <v>13.9408</v>
      </c>
      <c r="I125" s="3" t="n">
        <v>0</v>
      </c>
      <c r="J125" s="3" t="n">
        <v>0</v>
      </c>
      <c r="K125" s="4" t="n">
        <v>14.3541160744885</v>
      </c>
    </row>
    <row r="126" customFormat="false" ht="15" hidden="false" customHeight="false" outlineLevel="0" collapsed="false">
      <c r="A126" s="0" t="n">
        <f aca="false">A125+1</f>
        <v>124</v>
      </c>
      <c r="B126" s="0" t="n">
        <f aca="false">B125+C126*1</f>
        <v>1374.3976</v>
      </c>
      <c r="C126" s="1" t="n">
        <f aca="false">C120+I126*1</f>
        <v>10.9408</v>
      </c>
      <c r="D126" s="1" t="n">
        <f aca="false">C126*$L$1</f>
        <v>24.4745696</v>
      </c>
      <c r="E126" s="1" t="n">
        <v>9.42420357471001</v>
      </c>
      <c r="F126" s="1" t="n">
        <f aca="false">E126*$L$1</f>
        <v>21.0819433966263</v>
      </c>
      <c r="G126" s="2" t="n">
        <v>1</v>
      </c>
      <c r="H126" s="0" t="n">
        <f aca="false">C126*G126+5</f>
        <v>15.9408</v>
      </c>
      <c r="I126" s="3" t="n">
        <v>2</v>
      </c>
      <c r="J126" s="3" t="n">
        <v>0</v>
      </c>
      <c r="K126" s="4" t="n">
        <v>15.0149277102696</v>
      </c>
    </row>
    <row r="127" customFormat="false" ht="15" hidden="false" customHeight="false" outlineLevel="0" collapsed="false">
      <c r="A127" s="0" t="n">
        <f aca="false">A126+1</f>
        <v>125</v>
      </c>
      <c r="B127" s="0" t="n">
        <f aca="false">B126+C127*1</f>
        <v>1387.3384</v>
      </c>
      <c r="C127" s="1" t="n">
        <f aca="false">C126+I127*1</f>
        <v>12.9408</v>
      </c>
      <c r="D127" s="1" t="n">
        <f aca="false">C127*$L$1</f>
        <v>28.9485696</v>
      </c>
      <c r="E127" s="1" t="n">
        <v>10.1300034605566</v>
      </c>
      <c r="F127" s="1" t="n">
        <f aca="false">E127*$L$1</f>
        <v>22.6608177412651</v>
      </c>
      <c r="G127" s="2" t="n">
        <v>1</v>
      </c>
      <c r="H127" s="0" t="n">
        <f aca="false">C127*G127+5</f>
        <v>17.9408</v>
      </c>
      <c r="I127" s="3" t="n">
        <v>2</v>
      </c>
      <c r="J127" s="3" t="n">
        <v>0</v>
      </c>
      <c r="K127" s="4" t="n">
        <v>17.2316698061097</v>
      </c>
    </row>
    <row r="128" customFormat="false" ht="15" hidden="false" customHeight="false" outlineLevel="0" collapsed="false">
      <c r="A128" s="0" t="n">
        <f aca="false">A127+1</f>
        <v>126</v>
      </c>
      <c r="B128" s="0" t="n">
        <f aca="false">B127+C128*1</f>
        <v>1402.2792</v>
      </c>
      <c r="C128" s="1" t="n">
        <f aca="false">C127+I128*1</f>
        <v>14.9408</v>
      </c>
      <c r="D128" s="1" t="n">
        <f aca="false">C128*$L$1</f>
        <v>33.4225696</v>
      </c>
      <c r="E128" s="1" t="n">
        <v>11.3930499383945</v>
      </c>
      <c r="F128" s="1" t="n">
        <f aca="false">E128*$L$1</f>
        <v>25.4862527121885</v>
      </c>
      <c r="G128" s="2" t="n">
        <v>1</v>
      </c>
      <c r="H128" s="0" t="n">
        <f aca="false">C128*G128+5</f>
        <v>19.9408</v>
      </c>
      <c r="I128" s="3" t="n">
        <v>2</v>
      </c>
      <c r="J128" s="3" t="n">
        <v>0</v>
      </c>
      <c r="K128" s="4" t="n">
        <v>20.4563596775388</v>
      </c>
    </row>
    <row r="129" customFormat="false" ht="15" hidden="false" customHeight="false" outlineLevel="0" collapsed="false">
      <c r="A129" s="0" t="n">
        <f aca="false">A128+1</f>
        <v>127</v>
      </c>
      <c r="B129" s="0" t="n">
        <f aca="false">B128+C129*1</f>
        <v>1419.22</v>
      </c>
      <c r="C129" s="1" t="n">
        <f aca="false">C128+I129*1</f>
        <v>16.9408</v>
      </c>
      <c r="D129" s="1" t="n">
        <f aca="false">C129*$L$1</f>
        <v>37.8965696</v>
      </c>
      <c r="E129" s="1" t="n">
        <v>13.1481430987859</v>
      </c>
      <c r="F129" s="1" t="n">
        <f aca="false">E129*$L$1</f>
        <v>29.4123961119841</v>
      </c>
      <c r="G129" s="2" t="n">
        <v>1</v>
      </c>
      <c r="H129" s="0" t="n">
        <f aca="false">C129*G129+5</f>
        <v>21.9408</v>
      </c>
      <c r="I129" s="3" t="n">
        <v>2</v>
      </c>
      <c r="J129" s="3" t="n">
        <v>0</v>
      </c>
      <c r="K129" s="4" t="n">
        <v>24.1595595543592</v>
      </c>
    </row>
    <row r="130" customFormat="false" ht="15" hidden="false" customHeight="false" outlineLevel="0" collapsed="false">
      <c r="A130" s="0" t="n">
        <f aca="false">A129+1</f>
        <v>128</v>
      </c>
      <c r="B130" s="0" t="n">
        <f aca="false">B129+C130*1</f>
        <v>1438.1608</v>
      </c>
      <c r="C130" s="1" t="n">
        <f aca="false">C129+I130*1</f>
        <v>18.9408</v>
      </c>
      <c r="D130" s="1" t="n">
        <f aca="false">C130*$L$1</f>
        <v>42.3705696</v>
      </c>
      <c r="E130" s="1" t="n">
        <v>15.2724196695014</v>
      </c>
      <c r="F130" s="1" t="n">
        <f aca="false">E130*$L$1</f>
        <v>34.1644028006746</v>
      </c>
      <c r="G130" s="2" t="n">
        <v>1</v>
      </c>
      <c r="H130" s="0" t="n">
        <f aca="false">C130*G130+5</f>
        <v>23.9408</v>
      </c>
      <c r="I130" s="3" t="n">
        <v>2</v>
      </c>
      <c r="J130" s="3" t="n">
        <v>0</v>
      </c>
      <c r="K130" s="4" t="n">
        <v>27.9094415346115</v>
      </c>
    </row>
    <row r="131" customFormat="false" ht="15" hidden="false" customHeight="false" outlineLevel="0" collapsed="false">
      <c r="A131" s="0" t="n">
        <f aca="false">A130+1</f>
        <v>129</v>
      </c>
      <c r="B131" s="0" t="n">
        <f aca="false">B130+C131*1</f>
        <v>1457.1016</v>
      </c>
      <c r="C131" s="1" t="n">
        <f aca="false">C130+I131*1</f>
        <v>18.9408</v>
      </c>
      <c r="D131" s="1" t="n">
        <f aca="false">C131*$L$1</f>
        <v>42.3705696</v>
      </c>
      <c r="E131" s="1" t="n">
        <v>17.3841364465145</v>
      </c>
      <c r="F131" s="1" t="n">
        <f aca="false">E131*$L$1</f>
        <v>38.8883132308529</v>
      </c>
      <c r="G131" s="2" t="n">
        <v>1</v>
      </c>
      <c r="H131" s="0" t="n">
        <f aca="false">C131*G131+5</f>
        <v>23.9408</v>
      </c>
      <c r="I131" s="3" t="n">
        <v>0</v>
      </c>
      <c r="J131" s="3" t="n">
        <v>0</v>
      </c>
      <c r="K131" s="4" t="n">
        <v>30.4757409971407</v>
      </c>
    </row>
    <row r="132" customFormat="false" ht="15" hidden="false" customHeight="false" outlineLevel="0" collapsed="false">
      <c r="A132" s="0" t="n">
        <f aca="false">A131+1</f>
        <v>130</v>
      </c>
      <c r="B132" s="0" t="n">
        <f aca="false">B131+C132*1</f>
        <v>1476.0424</v>
      </c>
      <c r="C132" s="1" t="n">
        <f aca="false">C131+I132*1</f>
        <v>18.9408</v>
      </c>
      <c r="D132" s="1" t="n">
        <f aca="false">C132*$L$1</f>
        <v>42.3705696</v>
      </c>
      <c r="E132" s="1" t="n">
        <v>19.0499058270023</v>
      </c>
      <c r="F132" s="1" t="n">
        <f aca="false">E132*$L$1</f>
        <v>42.6146393350041</v>
      </c>
      <c r="G132" s="2" t="n">
        <v>1</v>
      </c>
      <c r="H132" s="0" t="n">
        <f aca="false">C132*G132+5</f>
        <v>23.9408</v>
      </c>
      <c r="I132" s="3" t="n">
        <v>0</v>
      </c>
      <c r="J132" s="3" t="n">
        <v>0</v>
      </c>
      <c r="K132" s="4" t="n">
        <v>31.1443325298205</v>
      </c>
    </row>
    <row r="133" customFormat="false" ht="15" hidden="false" customHeight="false" outlineLevel="0" collapsed="false">
      <c r="A133" s="0" t="n">
        <f aca="false">A132+1</f>
        <v>131</v>
      </c>
      <c r="B133" s="0" t="n">
        <f aca="false">B132+C133*1</f>
        <v>1494.9832</v>
      </c>
      <c r="C133" s="1" t="n">
        <f aca="false">C132+I133*1</f>
        <v>18.9408</v>
      </c>
      <c r="D133" s="1" t="n">
        <f aca="false">C133*$L$1</f>
        <v>42.3705696</v>
      </c>
      <c r="E133" s="1" t="n">
        <v>20.1487875676249</v>
      </c>
      <c r="F133" s="1" t="n">
        <f aca="false">E133*$L$1</f>
        <v>45.0728377887769</v>
      </c>
      <c r="G133" s="2" t="n">
        <v>1</v>
      </c>
      <c r="H133" s="0" t="n">
        <f aca="false">C133*G133+5</f>
        <v>23.9408</v>
      </c>
      <c r="I133" s="3" t="n">
        <v>0</v>
      </c>
      <c r="J133" s="3" t="n">
        <v>0</v>
      </c>
      <c r="K133" s="4" t="n">
        <v>30.4334690878143</v>
      </c>
    </row>
    <row r="134" customFormat="false" ht="15" hidden="false" customHeight="false" outlineLevel="0" collapsed="false">
      <c r="A134" s="0" t="n">
        <f aca="false">A133+1</f>
        <v>132</v>
      </c>
      <c r="B134" s="0" t="n">
        <f aca="false">B133+C134*1</f>
        <v>1513.924</v>
      </c>
      <c r="C134" s="1" t="n">
        <f aca="false">C133+I134*1</f>
        <v>18.9408</v>
      </c>
      <c r="D134" s="1" t="n">
        <f aca="false">C134*$L$1</f>
        <v>42.3705696</v>
      </c>
      <c r="E134" s="1" t="n">
        <v>20.6909307522376</v>
      </c>
      <c r="F134" s="1" t="n">
        <f aca="false">E134*$L$1</f>
        <v>46.2856120927555</v>
      </c>
      <c r="G134" s="2" t="n">
        <v>1</v>
      </c>
      <c r="H134" s="0" t="n">
        <f aca="false">C134*G134+5</f>
        <v>23.9408</v>
      </c>
      <c r="I134" s="3" t="n">
        <v>0</v>
      </c>
      <c r="J134" s="3" t="n">
        <v>0</v>
      </c>
      <c r="K134" s="4" t="n">
        <v>28.9124342965547</v>
      </c>
    </row>
    <row r="135" customFormat="false" ht="15" hidden="false" customHeight="false" outlineLevel="0" collapsed="false">
      <c r="A135" s="0" t="n">
        <f aca="false">A134+1</f>
        <v>133</v>
      </c>
      <c r="B135" s="0" t="n">
        <f aca="false">B134+C135*1</f>
        <v>1532.8648</v>
      </c>
      <c r="C135" s="1" t="n">
        <f aca="false">C134+I135*1</f>
        <v>18.9408</v>
      </c>
      <c r="D135" s="1" t="n">
        <f aca="false">C135*$L$1</f>
        <v>42.3705696</v>
      </c>
      <c r="E135" s="1" t="n">
        <v>20.7727105700536</v>
      </c>
      <c r="F135" s="1" t="n">
        <f aca="false">E135*$L$1</f>
        <v>46.4685535452099</v>
      </c>
      <c r="G135" s="2" t="n">
        <v>1</v>
      </c>
      <c r="H135" s="0" t="n">
        <f aca="false">C135*G135+5</f>
        <v>23.9408</v>
      </c>
      <c r="I135" s="3" t="n">
        <v>0</v>
      </c>
      <c r="J135" s="3" t="n">
        <v>0</v>
      </c>
      <c r="K135" s="4" t="n">
        <v>27.0931222607449</v>
      </c>
    </row>
    <row r="136" customFormat="false" ht="15" hidden="false" customHeight="false" outlineLevel="0" collapsed="false">
      <c r="A136" s="0" t="n">
        <f aca="false">A135+1</f>
        <v>134</v>
      </c>
      <c r="B136" s="0" t="n">
        <f aca="false">B135+C136*1</f>
        <v>1551.8056</v>
      </c>
      <c r="C136" s="1" t="n">
        <f aca="false">C135+I136*1</f>
        <v>18.9408</v>
      </c>
      <c r="D136" s="1" t="n">
        <f aca="false">C136*$L$1</f>
        <v>42.3705696</v>
      </c>
      <c r="E136" s="1" t="n">
        <v>20.5327871651235</v>
      </c>
      <c r="F136" s="1" t="n">
        <f aca="false">E136*$L$1</f>
        <v>45.9318448883813</v>
      </c>
      <c r="G136" s="2" t="n">
        <v>1</v>
      </c>
      <c r="H136" s="0" t="n">
        <f aca="false">C136*G136+5</f>
        <v>23.9408</v>
      </c>
      <c r="I136" s="3" t="n">
        <v>0</v>
      </c>
      <c r="J136" s="3" t="n">
        <v>0</v>
      </c>
      <c r="K136" s="4" t="n">
        <v>25.3666052792378</v>
      </c>
    </row>
    <row r="137" customFormat="false" ht="15" hidden="false" customHeight="false" outlineLevel="0" collapsed="false">
      <c r="A137" s="0" t="n">
        <f aca="false">A136+1</f>
        <v>135</v>
      </c>
      <c r="B137" s="0" t="n">
        <f aca="false">B136+C137*1</f>
        <v>1570.7464</v>
      </c>
      <c r="C137" s="1" t="n">
        <f aca="false">C136+I137*1</f>
        <v>18.9408</v>
      </c>
      <c r="D137" s="1" t="n">
        <f aca="false">C137*$L$1</f>
        <v>42.3705696</v>
      </c>
      <c r="E137" s="1" t="n">
        <v>20.115852121386</v>
      </c>
      <c r="F137" s="1" t="n">
        <f aca="false">E137*$L$1</f>
        <v>44.9991611955405</v>
      </c>
      <c r="G137" s="2" t="n">
        <v>1</v>
      </c>
      <c r="H137" s="0" t="n">
        <f aca="false">C137*G137+5</f>
        <v>23.9408</v>
      </c>
      <c r="I137" s="3" t="n">
        <v>0</v>
      </c>
      <c r="J137" s="3" t="n">
        <v>0</v>
      </c>
      <c r="K137" s="4" t="n">
        <v>23.9800590040393</v>
      </c>
    </row>
    <row r="138" customFormat="false" ht="15" hidden="false" customHeight="false" outlineLevel="0" collapsed="false">
      <c r="A138" s="0" t="n">
        <f aca="false">A137+1</f>
        <v>136</v>
      </c>
      <c r="B138" s="0" t="n">
        <f aca="false">B137+C138*1</f>
        <v>1589.6872</v>
      </c>
      <c r="C138" s="1" t="n">
        <f aca="false">C137+I138*1</f>
        <v>18.9408</v>
      </c>
      <c r="D138" s="1" t="n">
        <f aca="false">C138*$L$1</f>
        <v>42.3705696</v>
      </c>
      <c r="E138" s="1" t="n">
        <v>19.6473601596536</v>
      </c>
      <c r="F138" s="1" t="n">
        <f aca="false">E138*$L$1</f>
        <v>43.9511446771451</v>
      </c>
      <c r="G138" s="2" t="n">
        <v>1</v>
      </c>
      <c r="H138" s="0" t="n">
        <f aca="false">C138*G138+5</f>
        <v>23.9408</v>
      </c>
      <c r="I138" s="3" t="n">
        <v>0</v>
      </c>
      <c r="J138" s="3" t="n">
        <v>0</v>
      </c>
      <c r="K138" s="4" t="n">
        <v>23.0444485407231</v>
      </c>
    </row>
    <row r="139" customFormat="false" ht="15" hidden="false" customHeight="false" outlineLevel="0" collapsed="false">
      <c r="A139" s="0" t="n">
        <f aca="false">A138+1</f>
        <v>137</v>
      </c>
      <c r="B139" s="0" t="n">
        <f aca="false">B138+C139*1</f>
        <v>1608.628</v>
      </c>
      <c r="C139" s="1" t="n">
        <f aca="false">C138+I139*1</f>
        <v>18.9408</v>
      </c>
      <c r="D139" s="1" t="n">
        <f aca="false">C139*$L$1</f>
        <v>42.3705696</v>
      </c>
      <c r="E139" s="1" t="n">
        <v>19.2196887569483</v>
      </c>
      <c r="F139" s="1" t="n">
        <f aca="false">E139*$L$1</f>
        <v>42.9944437492934</v>
      </c>
      <c r="G139" s="2" t="n">
        <v>1</v>
      </c>
      <c r="H139" s="0" t="n">
        <f aca="false">C139*G139+5</f>
        <v>23.9408</v>
      </c>
      <c r="I139" s="3" t="n">
        <v>0</v>
      </c>
      <c r="J139" s="3" t="n">
        <v>0</v>
      </c>
      <c r="K139" s="4" t="n">
        <v>22.5615946072021</v>
      </c>
    </row>
    <row r="140" customFormat="false" ht="15" hidden="false" customHeight="false" outlineLevel="0" collapsed="false">
      <c r="A140" s="0" t="n">
        <f aca="false">A139+1</f>
        <v>138</v>
      </c>
      <c r="B140" s="0" t="n">
        <f aca="false">B139+C140*1</f>
        <v>1627.5688</v>
      </c>
      <c r="C140" s="1" t="n">
        <f aca="false">C139+I140*1</f>
        <v>18.9408</v>
      </c>
      <c r="D140" s="1" t="n">
        <f aca="false">C140*$L$1</f>
        <v>42.3705696</v>
      </c>
      <c r="E140" s="1" t="n">
        <v>18.8881837768172</v>
      </c>
      <c r="F140" s="1" t="n">
        <f aca="false">E140*$L$1</f>
        <v>42.2528671087401</v>
      </c>
      <c r="G140" s="2" t="n">
        <v>1</v>
      </c>
      <c r="H140" s="0" t="n">
        <f aca="false">C140*G140+5</f>
        <v>23.9408</v>
      </c>
      <c r="I140" s="3" t="n">
        <v>0</v>
      </c>
      <c r="J140" s="3" t="n">
        <v>0</v>
      </c>
      <c r="K140" s="4" t="n">
        <v>22.4598739940657</v>
      </c>
    </row>
    <row r="141" customFormat="false" ht="15" hidden="false" customHeight="false" outlineLevel="0" collapsed="false">
      <c r="A141" s="0" t="n">
        <f aca="false">A140+1</f>
        <v>139</v>
      </c>
      <c r="B141" s="0" t="n">
        <f aca="false">B140+C141*1</f>
        <v>1646.5096</v>
      </c>
      <c r="C141" s="1" t="n">
        <f aca="false">C140+I141*1</f>
        <v>18.9408</v>
      </c>
      <c r="D141" s="1" t="n">
        <f aca="false">C141*$L$1</f>
        <v>42.3705696</v>
      </c>
      <c r="E141" s="1" t="n">
        <v>18.6744671380415</v>
      </c>
      <c r="F141" s="1" t="n">
        <f aca="false">E141*$L$1</f>
        <v>41.7747829877988</v>
      </c>
      <c r="G141" s="2" t="n">
        <v>1</v>
      </c>
      <c r="H141" s="0" t="n">
        <f aca="false">C141*G141+5</f>
        <v>23.9408</v>
      </c>
      <c r="I141" s="3" t="n">
        <v>0</v>
      </c>
      <c r="J141" s="3" t="n">
        <v>0</v>
      </c>
      <c r="K141" s="4" t="n">
        <v>22.6299631183051</v>
      </c>
    </row>
    <row r="142" customFormat="false" ht="15" hidden="false" customHeight="false" outlineLevel="0" collapsed="false">
      <c r="A142" s="0" t="n">
        <f aca="false">A141+1</f>
        <v>140</v>
      </c>
      <c r="B142" s="0" t="n">
        <f aca="false">B141+C142*1</f>
        <v>1665.4504</v>
      </c>
      <c r="C142" s="1" t="n">
        <f aca="false">C141+I142*1</f>
        <v>18.9408</v>
      </c>
      <c r="D142" s="1" t="n">
        <f aca="false">C142*$L$1</f>
        <v>42.3705696</v>
      </c>
      <c r="E142" s="1" t="n">
        <v>18.5740794957105</v>
      </c>
      <c r="F142" s="1" t="n">
        <f aca="false">E142*$L$1</f>
        <v>41.5502158319044</v>
      </c>
      <c r="G142" s="2" t="n">
        <v>1</v>
      </c>
      <c r="H142" s="0" t="n">
        <f aca="false">C142*G142+5</f>
        <v>23.9408</v>
      </c>
      <c r="I142" s="3" t="n">
        <v>0</v>
      </c>
      <c r="J142" s="3" t="n">
        <v>0</v>
      </c>
      <c r="K142" s="4" t="n">
        <v>22.9548597185392</v>
      </c>
    </row>
    <row r="143" customFormat="false" ht="15" hidden="false" customHeight="false" outlineLevel="0" collapsed="false">
      <c r="A143" s="0" t="n">
        <f aca="false">A142+1</f>
        <v>141</v>
      </c>
      <c r="B143" s="0" t="n">
        <f aca="false">B142+C143*1</f>
        <v>1684.3912</v>
      </c>
      <c r="C143" s="1" t="n">
        <f aca="false">C142+I143*1</f>
        <v>18.9408</v>
      </c>
      <c r="D143" s="1" t="n">
        <f aca="false">C143*$L$1</f>
        <v>42.3705696</v>
      </c>
      <c r="E143" s="1" t="n">
        <v>18.5657987214517</v>
      </c>
      <c r="F143" s="1" t="n">
        <f aca="false">E143*$L$1</f>
        <v>41.5316917398875</v>
      </c>
      <c r="G143" s="2" t="n">
        <v>1</v>
      </c>
      <c r="H143" s="0" t="n">
        <f aca="false">C143*G143+5</f>
        <v>23.9408</v>
      </c>
      <c r="I143" s="3" t="n">
        <v>0</v>
      </c>
      <c r="J143" s="3" t="n">
        <v>0</v>
      </c>
      <c r="K143" s="4" t="n">
        <v>23.3312394763357</v>
      </c>
    </row>
    <row r="144" customFormat="false" ht="15" hidden="false" customHeight="false" outlineLevel="0" collapsed="false">
      <c r="A144" s="0" t="n">
        <f aca="false">A143+1</f>
        <v>142</v>
      </c>
      <c r="B144" s="0" t="n">
        <f aca="false">B143+C144*1</f>
        <v>1701.332</v>
      </c>
      <c r="C144" s="1" t="n">
        <f aca="false">C138-I144*1</f>
        <v>16.9408</v>
      </c>
      <c r="D144" s="1" t="n">
        <f aca="false">C144*$L$1</f>
        <v>37.8965696</v>
      </c>
      <c r="E144" s="1" t="n">
        <v>18.3805823015638</v>
      </c>
      <c r="F144" s="1" t="n">
        <f aca="false">E144*$L$1</f>
        <v>41.1173626085982</v>
      </c>
      <c r="G144" s="2" t="n">
        <v>1</v>
      </c>
      <c r="H144" s="0" t="n">
        <f aca="false">C144*G144+5</f>
        <v>21.9408</v>
      </c>
      <c r="I144" s="3" t="n">
        <v>2</v>
      </c>
      <c r="J144" s="3" t="n">
        <v>0</v>
      </c>
      <c r="K144" s="4" t="n">
        <v>22.748235736035</v>
      </c>
    </row>
    <row r="145" customFormat="false" ht="15" hidden="false" customHeight="false" outlineLevel="0" collapsed="false">
      <c r="A145" s="0" t="n">
        <f aca="false">A144+1</f>
        <v>143</v>
      </c>
      <c r="B145" s="0" t="n">
        <f aca="false">B144+C145*1</f>
        <v>1716.2728</v>
      </c>
      <c r="C145" s="1" t="n">
        <f aca="false">C144-I145*1</f>
        <v>14.9408</v>
      </c>
      <c r="D145" s="1" t="n">
        <f aca="false">C145*$L$1</f>
        <v>33.4225696</v>
      </c>
      <c r="E145" s="1" t="n">
        <v>17.6870233885162</v>
      </c>
      <c r="F145" s="1" t="n">
        <f aca="false">E145*$L$1</f>
        <v>39.5658713201107</v>
      </c>
      <c r="G145" s="2" t="n">
        <v>1</v>
      </c>
      <c r="H145" s="0" t="n">
        <f aca="false">C145*G145+5</f>
        <v>19.9408</v>
      </c>
      <c r="I145" s="3" t="n">
        <v>2</v>
      </c>
      <c r="J145" s="3" t="n">
        <v>0</v>
      </c>
      <c r="K145" s="4" t="n">
        <v>20.6026973463381</v>
      </c>
    </row>
    <row r="146" customFormat="false" ht="15" hidden="false" customHeight="false" outlineLevel="0" collapsed="false">
      <c r="A146" s="0" t="n">
        <f aca="false">A145+1</f>
        <v>144</v>
      </c>
      <c r="B146" s="0" t="n">
        <f aca="false">B145+C146*1</f>
        <v>1729.2136</v>
      </c>
      <c r="C146" s="1" t="n">
        <f aca="false">C145-I146*1</f>
        <v>12.9408</v>
      </c>
      <c r="D146" s="1" t="n">
        <f aca="false">C146*$L$1</f>
        <v>28.9485696</v>
      </c>
      <c r="E146" s="1" t="n">
        <v>16.4425701851747</v>
      </c>
      <c r="F146" s="1" t="n">
        <f aca="false">E146*$L$1</f>
        <v>36.7820295042358</v>
      </c>
      <c r="G146" s="2" t="n">
        <v>1</v>
      </c>
      <c r="H146" s="0" t="n">
        <f aca="false">C146*G146+5</f>
        <v>17.9408</v>
      </c>
      <c r="I146" s="3" t="n">
        <v>2</v>
      </c>
      <c r="J146" s="3" t="n">
        <v>0</v>
      </c>
      <c r="K146" s="4" t="n">
        <v>17.4333290214327</v>
      </c>
    </row>
    <row r="147" customFormat="false" ht="15" hidden="false" customHeight="false" outlineLevel="0" collapsed="false">
      <c r="A147" s="0" t="n">
        <f aca="false">A146+1</f>
        <v>145</v>
      </c>
      <c r="B147" s="0" t="n">
        <f aca="false">B146+C147*1</f>
        <v>1740.1544</v>
      </c>
      <c r="C147" s="1" t="n">
        <f aca="false">C146-I147*1</f>
        <v>10.9408</v>
      </c>
      <c r="D147" s="1" t="n">
        <f aca="false">C147*$L$1</f>
        <v>24.4745696</v>
      </c>
      <c r="E147" s="1" t="n">
        <v>14.7073363017647</v>
      </c>
      <c r="F147" s="1" t="n">
        <f aca="false">E147*$L$1</f>
        <v>32.9003113070476</v>
      </c>
      <c r="G147" s="2" t="n">
        <v>1</v>
      </c>
      <c r="H147" s="0" t="n">
        <f aca="false">C147*G147+5</f>
        <v>15.9408</v>
      </c>
      <c r="I147" s="3" t="n">
        <v>2</v>
      </c>
      <c r="J147" s="3" t="n">
        <v>0</v>
      </c>
      <c r="K147" s="4" t="n">
        <v>13.7659054926701</v>
      </c>
    </row>
    <row r="148" customFormat="false" ht="15" hidden="false" customHeight="false" outlineLevel="0" collapsed="false">
      <c r="A148" s="0" t="n">
        <f aca="false">A147+1</f>
        <v>146</v>
      </c>
      <c r="B148" s="0" t="n">
        <f aca="false">B147+C148*1</f>
        <v>1749.0952</v>
      </c>
      <c r="C148" s="1" t="n">
        <f aca="false">C147-I148*1</f>
        <v>8.9408</v>
      </c>
      <c r="D148" s="1" t="n">
        <f aca="false">C148*$L$1</f>
        <v>20.0005696</v>
      </c>
      <c r="E148" s="1" t="n">
        <v>12.6005723740221</v>
      </c>
      <c r="F148" s="1" t="n">
        <f aca="false">E148*$L$1</f>
        <v>28.1874804006874</v>
      </c>
      <c r="G148" s="2" t="n">
        <v>1</v>
      </c>
      <c r="H148" s="0" t="n">
        <f aca="false">C148*G148+5</f>
        <v>13.9408</v>
      </c>
      <c r="I148" s="3" t="n">
        <v>2</v>
      </c>
      <c r="J148" s="3" t="n">
        <v>0</v>
      </c>
      <c r="K148" s="4" t="n">
        <v>10.0329442172388</v>
      </c>
    </row>
    <row r="149" customFormat="false" ht="15" hidden="false" customHeight="false" outlineLevel="0" collapsed="false">
      <c r="A149" s="0" t="n">
        <f aca="false">A148+1</f>
        <v>147</v>
      </c>
      <c r="B149" s="0" t="n">
        <f aca="false">B148+C149*1</f>
        <v>1758.036</v>
      </c>
      <c r="C149" s="1" t="n">
        <f aca="false">C148-I149*1</f>
        <v>8.9408</v>
      </c>
      <c r="D149" s="1" t="n">
        <f aca="false">C149*$L$1</f>
        <v>20.0005696</v>
      </c>
      <c r="E149" s="1" t="n">
        <v>10.5019778840524</v>
      </c>
      <c r="F149" s="1" t="n">
        <f aca="false">E149*$L$1</f>
        <v>23.4929245266252</v>
      </c>
      <c r="G149" s="2" t="n">
        <v>1</v>
      </c>
      <c r="H149" s="0" t="n">
        <f aca="false">C149*G149+5</f>
        <v>13.9408</v>
      </c>
      <c r="I149" s="3" t="n">
        <v>0</v>
      </c>
      <c r="J149" s="3" t="n">
        <v>0</v>
      </c>
      <c r="K149" s="4" t="n">
        <v>7.4682056350207</v>
      </c>
    </row>
    <row r="150" customFormat="false" ht="15" hidden="false" customHeight="false" outlineLevel="0" collapsed="false">
      <c r="A150" s="0" t="n">
        <f aca="false">A149+1</f>
        <v>148</v>
      </c>
      <c r="B150" s="0" t="n">
        <f aca="false">B149+C150*1</f>
        <v>1766.9768</v>
      </c>
      <c r="C150" s="1" t="n">
        <f aca="false">C149-I150*1</f>
        <v>8.9408</v>
      </c>
      <c r="D150" s="1" t="n">
        <f aca="false">C150*$L$1</f>
        <v>20.0005696</v>
      </c>
      <c r="E150" s="1" t="n">
        <v>8.8442770463185</v>
      </c>
      <c r="F150" s="1" t="n">
        <f aca="false">E150*$L$1</f>
        <v>19.7846477526145</v>
      </c>
      <c r="G150" s="2" t="n">
        <v>1</v>
      </c>
      <c r="H150" s="0" t="n">
        <f aca="false">C150*G150+5</f>
        <v>13.9408</v>
      </c>
      <c r="I150" s="3" t="n">
        <v>0</v>
      </c>
      <c r="J150" s="3" t="n">
        <v>0</v>
      </c>
      <c r="K150" s="4" t="n">
        <v>6.79062935863749</v>
      </c>
    </row>
    <row r="151" customFormat="false" ht="15" hidden="false" customHeight="false" outlineLevel="0" collapsed="false">
      <c r="A151" s="0" t="n">
        <f aca="false">A150+1</f>
        <v>149</v>
      </c>
      <c r="B151" s="0" t="n">
        <f aca="false">B150+C151*1</f>
        <v>1775.9176</v>
      </c>
      <c r="C151" s="1" t="n">
        <f aca="false">C150-I151*1</f>
        <v>8.9408</v>
      </c>
      <c r="D151" s="1" t="n">
        <f aca="false">C151*$L$1</f>
        <v>20.0005696</v>
      </c>
      <c r="E151" s="1" t="n">
        <v>7.74877857784297</v>
      </c>
      <c r="F151" s="1" t="n">
        <f aca="false">E151*$L$1</f>
        <v>17.3340176786347</v>
      </c>
      <c r="G151" s="2" t="n">
        <v>1</v>
      </c>
      <c r="H151" s="0" t="n">
        <f aca="false">C151*G151+5</f>
        <v>13.9408</v>
      </c>
      <c r="I151" s="3" t="n">
        <v>0</v>
      </c>
      <c r="J151" s="3" t="n">
        <v>0</v>
      </c>
      <c r="K151" s="4" t="n">
        <v>7.48688569080969</v>
      </c>
    </row>
    <row r="152" customFormat="false" ht="15" hidden="false" customHeight="false" outlineLevel="0" collapsed="false">
      <c r="A152" s="0" t="n">
        <f aca="false">A151+1</f>
        <v>150</v>
      </c>
      <c r="B152" s="0" t="n">
        <f aca="false">B151+C152*1</f>
        <v>1784.8584</v>
      </c>
      <c r="C152" s="1" t="n">
        <f aca="false">C151-I152*1</f>
        <v>8.9408</v>
      </c>
      <c r="D152" s="1" t="n">
        <f aca="false">C152*$L$1</f>
        <v>20.0005696</v>
      </c>
      <c r="E152" s="1" t="n">
        <v>7.20633416200288</v>
      </c>
      <c r="F152" s="1" t="n">
        <f aca="false">E152*$L$1</f>
        <v>16.1205695204004</v>
      </c>
      <c r="G152" s="2" t="n">
        <v>1</v>
      </c>
      <c r="H152" s="0" t="n">
        <f aca="false">C152*G152+5</f>
        <v>13.9408</v>
      </c>
      <c r="I152" s="3" t="n">
        <v>0</v>
      </c>
      <c r="J152" s="3" t="n">
        <v>0</v>
      </c>
      <c r="K152" s="4" t="n">
        <v>8.99189525918428</v>
      </c>
    </row>
    <row r="153" customFormat="false" ht="15" hidden="false" customHeight="false" outlineLevel="0" collapsed="false">
      <c r="A153" s="0" t="n">
        <f aca="false">A152+1</f>
        <v>151</v>
      </c>
      <c r="B153" s="0" t="n">
        <f aca="false">B152+C153*1</f>
        <v>1793.7992</v>
      </c>
      <c r="C153" s="1" t="n">
        <f aca="false">C152-I153*1</f>
        <v>8.9408</v>
      </c>
      <c r="D153" s="1" t="n">
        <f aca="false">C153*$L$1</f>
        <v>20.0005696</v>
      </c>
      <c r="E153" s="1" t="n">
        <v>7.12183214167761</v>
      </c>
      <c r="F153" s="1" t="n">
        <f aca="false">E153*$L$1</f>
        <v>15.9315385009328</v>
      </c>
      <c r="G153" s="2" t="n">
        <v>1</v>
      </c>
      <c r="H153" s="0" t="n">
        <f aca="false">C153*G153+5</f>
        <v>13.9408</v>
      </c>
      <c r="I153" s="3" t="n">
        <v>0</v>
      </c>
      <c r="J153" s="3" t="n">
        <v>0</v>
      </c>
      <c r="K153" s="4" t="n">
        <v>10.7968099015327</v>
      </c>
    </row>
    <row r="154" customFormat="false" ht="15" hidden="false" customHeight="false" outlineLevel="0" collapsed="false">
      <c r="A154" s="0" t="n">
        <f aca="false">A153+1</f>
        <v>152</v>
      </c>
      <c r="B154" s="0" t="n">
        <f aca="false">B153+C154*1</f>
        <v>1802.74</v>
      </c>
      <c r="C154" s="1" t="n">
        <f aca="false">C153-I154*1</f>
        <v>8.9408</v>
      </c>
      <c r="D154" s="1" t="n">
        <f aca="false">C154*$L$1</f>
        <v>20.0005696</v>
      </c>
      <c r="E154" s="1" t="n">
        <v>7.35784872748303</v>
      </c>
      <c r="F154" s="1" t="n">
        <f aca="false">E154*$L$1</f>
        <v>16.4595076033795</v>
      </c>
      <c r="G154" s="2" t="n">
        <v>1</v>
      </c>
      <c r="H154" s="0" t="n">
        <f aca="false">C154*G154+5</f>
        <v>13.9408</v>
      </c>
      <c r="I154" s="3" t="n">
        <v>0</v>
      </c>
      <c r="J154" s="3" t="n">
        <v>0</v>
      </c>
      <c r="K154" s="4" t="n">
        <v>12.512336877669</v>
      </c>
    </row>
    <row r="155" customFormat="false" ht="15" hidden="false" customHeight="false" outlineLevel="0" collapsed="false">
      <c r="A155" s="0" t="n">
        <f aca="false">A154+1</f>
        <v>153</v>
      </c>
      <c r="B155" s="0" t="n">
        <f aca="false">B154+C155*1</f>
        <v>1811.6808</v>
      </c>
      <c r="C155" s="1" t="n">
        <f aca="false">C154-I155*1</f>
        <v>8.9408</v>
      </c>
      <c r="D155" s="1" t="n">
        <f aca="false">C155*$L$1</f>
        <v>20.0005696</v>
      </c>
      <c r="E155" s="1" t="n">
        <v>7.77071155950336</v>
      </c>
      <c r="F155" s="1" t="n">
        <f aca="false">E155*$L$1</f>
        <v>17.383081758609</v>
      </c>
      <c r="G155" s="2" t="n">
        <v>1</v>
      </c>
      <c r="H155" s="0" t="n">
        <f aca="false">C155*G155+5</f>
        <v>13.9408</v>
      </c>
      <c r="I155" s="3" t="n">
        <v>0</v>
      </c>
      <c r="J155" s="3" t="n">
        <v>0</v>
      </c>
      <c r="K155" s="4" t="n">
        <v>13.891945024468</v>
      </c>
    </row>
    <row r="156" customFormat="false" ht="15" hidden="false" customHeight="false" outlineLevel="0" collapsed="false">
      <c r="A156" s="0" t="n">
        <f aca="false">A155+1</f>
        <v>154</v>
      </c>
      <c r="B156" s="0" t="n">
        <f aca="false">B155+C156*1</f>
        <v>1820.6216</v>
      </c>
      <c r="C156" s="1" t="n">
        <f aca="false">C155-I156*1</f>
        <v>8.9408</v>
      </c>
      <c r="D156" s="1" t="n">
        <f aca="false">C156*$L$1</f>
        <v>20.0005696</v>
      </c>
      <c r="E156" s="1" t="n">
        <v>8.23567563334624</v>
      </c>
      <c r="F156" s="1" t="n">
        <f aca="false">E156*$L$1</f>
        <v>18.4232063917955</v>
      </c>
      <c r="G156" s="2" t="n">
        <v>1</v>
      </c>
      <c r="H156" s="0" t="n">
        <f aca="false">C156*G156+5</f>
        <v>13.9408</v>
      </c>
      <c r="I156" s="3" t="n">
        <v>0</v>
      </c>
      <c r="J156" s="3" t="n">
        <v>0</v>
      </c>
      <c r="K156" s="4" t="n">
        <v>14.8244492851416</v>
      </c>
    </row>
    <row r="157" customFormat="false" ht="15" hidden="false" customHeight="false" outlineLevel="0" collapsed="false">
      <c r="A157" s="0" t="n">
        <f aca="false">A156+1</f>
        <v>155</v>
      </c>
      <c r="B157" s="0" t="n">
        <f aca="false">B156+C157*1</f>
        <v>1829.5624</v>
      </c>
      <c r="C157" s="1" t="n">
        <f aca="false">C156-I157*1</f>
        <v>8.9408</v>
      </c>
      <c r="D157" s="1" t="n">
        <f aca="false">C157*$L$1</f>
        <v>20.0005696</v>
      </c>
      <c r="E157" s="1" t="n">
        <v>8.66075156405016</v>
      </c>
      <c r="F157" s="1" t="n">
        <f aca="false">E157*$L$1</f>
        <v>19.3741012487802</v>
      </c>
      <c r="G157" s="2" t="n">
        <v>1</v>
      </c>
      <c r="H157" s="0" t="n">
        <f aca="false">C157*G157+5</f>
        <v>13.9408</v>
      </c>
      <c r="I157" s="3" t="n">
        <v>0</v>
      </c>
      <c r="J157" s="3" t="n">
        <v>0</v>
      </c>
      <c r="K157" s="4" t="n">
        <v>15.3072650113081</v>
      </c>
    </row>
    <row r="158" customFormat="false" ht="15" hidden="false" customHeight="false" outlineLevel="0" collapsed="false">
      <c r="A158" s="0" t="n">
        <f aca="false">A157+1</f>
        <v>156</v>
      </c>
      <c r="B158" s="0" t="n">
        <f aca="false">B157+C158*1</f>
        <v>1838.5032</v>
      </c>
      <c r="C158" s="1" t="n">
        <f aca="false">C157-I158*1</f>
        <v>8.9408</v>
      </c>
      <c r="D158" s="1" t="n">
        <f aca="false">C158*$L$1</f>
        <v>20.0005696</v>
      </c>
      <c r="E158" s="1" t="n">
        <v>8.99070358063478</v>
      </c>
      <c r="F158" s="1" t="n">
        <f aca="false">E158*$L$1</f>
        <v>20.11220390988</v>
      </c>
      <c r="G158" s="2" t="n">
        <v>1</v>
      </c>
      <c r="H158" s="0" t="n">
        <f aca="false">C158*G158+5</f>
        <v>13.9408</v>
      </c>
      <c r="I158" s="3" t="n">
        <v>0</v>
      </c>
      <c r="J158" s="3" t="n">
        <v>0</v>
      </c>
      <c r="K158" s="4" t="n">
        <v>15.4110098028484</v>
      </c>
    </row>
    <row r="159" customFormat="false" ht="15" hidden="false" customHeight="false" outlineLevel="0" collapsed="false">
      <c r="A159" s="0" t="n">
        <f aca="false">A158+1</f>
        <v>157</v>
      </c>
      <c r="B159" s="0" t="n">
        <f aca="false">B158+C159*1</f>
        <v>1847.444</v>
      </c>
      <c r="C159" s="1" t="n">
        <f aca="false">C158-I159*1</f>
        <v>8.9408</v>
      </c>
      <c r="D159" s="1" t="n">
        <f aca="false">C159*$L$1</f>
        <v>20.0005696</v>
      </c>
      <c r="E159" s="1" t="n">
        <v>9.20381582277694</v>
      </c>
      <c r="F159" s="1" t="n">
        <f aca="false">E159*$L$1</f>
        <v>20.588935995552</v>
      </c>
      <c r="G159" s="2" t="n">
        <v>1</v>
      </c>
      <c r="H159" s="0" t="n">
        <f aca="false">C159*G159+5</f>
        <v>13.9408</v>
      </c>
      <c r="I159" s="3" t="n">
        <v>0</v>
      </c>
      <c r="J159" s="3" t="n">
        <v>0</v>
      </c>
      <c r="K159" s="4" t="n">
        <v>15.2440014459646</v>
      </c>
    </row>
    <row r="160" customFormat="false" ht="15" hidden="false" customHeight="false" outlineLevel="0" collapsed="false">
      <c r="A160" s="0" t="n">
        <f aca="false">A159+1</f>
        <v>158</v>
      </c>
      <c r="B160" s="0" t="n">
        <f aca="false">B159+C160*1</f>
        <v>1856.3848</v>
      </c>
      <c r="C160" s="1" t="n">
        <f aca="false">C159-I160*1</f>
        <v>8.9408</v>
      </c>
      <c r="D160" s="1" t="n">
        <f aca="false">C160*$L$1</f>
        <v>20.0005696</v>
      </c>
      <c r="E160" s="1" t="n">
        <v>9.30433205980144</v>
      </c>
      <c r="F160" s="1" t="n">
        <f aca="false">E160*$L$1</f>
        <v>20.8137908177758</v>
      </c>
      <c r="G160" s="2" t="n">
        <v>1</v>
      </c>
      <c r="H160" s="0" t="n">
        <f aca="false">C160*G160+5</f>
        <v>13.9408</v>
      </c>
      <c r="I160" s="3" t="n">
        <v>0</v>
      </c>
      <c r="J160" s="3" t="n">
        <v>0</v>
      </c>
      <c r="K160" s="4" t="n">
        <v>14.9223981012447</v>
      </c>
    </row>
    <row r="161" customFormat="false" ht="15" hidden="false" customHeight="false" outlineLevel="0" collapsed="false">
      <c r="A161" s="0" t="n">
        <f aca="false">A160+1</f>
        <v>159</v>
      </c>
      <c r="B161" s="0" t="n">
        <f aca="false">B160+C161*1</f>
        <v>1864.43152</v>
      </c>
      <c r="C161" s="1" t="n">
        <f aca="false">C155-I161*1</f>
        <v>8.04672</v>
      </c>
      <c r="D161" s="1" t="n">
        <f aca="false">C161*$L$1</f>
        <v>18.00051264</v>
      </c>
      <c r="E161" s="1" t="n">
        <v>9.20592240637247</v>
      </c>
      <c r="F161" s="1" t="n">
        <f aca="false">E161*$L$1</f>
        <v>20.5936484230552</v>
      </c>
      <c r="G161" s="2" t="n">
        <v>1</v>
      </c>
      <c r="H161" s="0" t="n">
        <f aca="false">C161*G161+5</f>
        <v>13.04672</v>
      </c>
      <c r="I161" s="3" t="n">
        <v>0.89408</v>
      </c>
      <c r="J161" s="3" t="n">
        <v>0</v>
      </c>
      <c r="K161" s="4" t="n">
        <v>14.1316868316944</v>
      </c>
    </row>
    <row r="162" customFormat="false" ht="15" hidden="false" customHeight="false" outlineLevel="0" collapsed="false">
      <c r="A162" s="0" t="n">
        <f aca="false">A161+1</f>
        <v>160</v>
      </c>
      <c r="B162" s="0" t="n">
        <f aca="false">B161+C162*1</f>
        <v>1871.58416</v>
      </c>
      <c r="C162" s="1" t="n">
        <f aca="false">C161-I162*1</f>
        <v>7.15264</v>
      </c>
      <c r="D162" s="1" t="n">
        <f aca="false">C162*$L$1</f>
        <v>16.00045568</v>
      </c>
      <c r="E162" s="1" t="n">
        <v>8.80246310482684</v>
      </c>
      <c r="F162" s="1" t="n">
        <f aca="false">E162*$L$1</f>
        <v>19.6911099654976</v>
      </c>
      <c r="G162" s="2" t="n">
        <v>1</v>
      </c>
      <c r="H162" s="0" t="n">
        <f aca="false">C162*G162+5</f>
        <v>12.15264</v>
      </c>
      <c r="I162" s="3" t="n">
        <v>0.89408</v>
      </c>
      <c r="J162" s="3" t="n">
        <v>0</v>
      </c>
      <c r="K162" s="4" t="n">
        <v>12.7007851305589</v>
      </c>
    </row>
    <row r="163" customFormat="false" ht="15" hidden="false" customHeight="false" outlineLevel="0" collapsed="false">
      <c r="A163" s="0" t="n">
        <f aca="false">A162+1</f>
        <v>161</v>
      </c>
      <c r="B163" s="0" t="n">
        <f aca="false">B162+C163*1</f>
        <v>1877.84272</v>
      </c>
      <c r="C163" s="1" t="n">
        <f aca="false">C162-I163*1</f>
        <v>6.25856</v>
      </c>
      <c r="D163" s="1" t="n">
        <f aca="false">C163*$L$1</f>
        <v>14.00039872</v>
      </c>
      <c r="E163" s="1" t="n">
        <v>8.11561733119213</v>
      </c>
      <c r="F163" s="1" t="n">
        <f aca="false">E163*$L$1</f>
        <v>18.1546359698768</v>
      </c>
      <c r="G163" s="2" t="n">
        <v>1</v>
      </c>
      <c r="H163" s="0" t="n">
        <f aca="false">C163*G163+5</f>
        <v>11.25856</v>
      </c>
      <c r="I163" s="3" t="n">
        <v>0.89408</v>
      </c>
      <c r="J163" s="3" t="n">
        <v>0</v>
      </c>
      <c r="K163" s="4" t="n">
        <v>10.9271822227479</v>
      </c>
    </row>
    <row r="164" customFormat="false" ht="15" hidden="false" customHeight="false" outlineLevel="0" collapsed="false">
      <c r="A164" s="0" t="n">
        <f aca="false">A163+1</f>
        <v>162</v>
      </c>
      <c r="B164" s="0" t="n">
        <f aca="false">B163+C164*1</f>
        <v>1883.2072</v>
      </c>
      <c r="C164" s="1" t="n">
        <f aca="false">C163-I164*1</f>
        <v>5.36448</v>
      </c>
      <c r="D164" s="1" t="n">
        <f aca="false">C164*$L$1</f>
        <v>12.00034176</v>
      </c>
      <c r="E164" s="1" t="n">
        <v>7.20549796206652</v>
      </c>
      <c r="F164" s="1" t="n">
        <f aca="false">E164*$L$1</f>
        <v>16.1186989411428</v>
      </c>
      <c r="G164" s="2" t="n">
        <v>1</v>
      </c>
      <c r="H164" s="0" t="n">
        <f aca="false">C164*G164+5</f>
        <v>10.36448</v>
      </c>
      <c r="I164" s="3" t="n">
        <v>0.89408</v>
      </c>
      <c r="J164" s="3" t="n">
        <v>0</v>
      </c>
      <c r="K164" s="4" t="n">
        <v>9.06539881403069</v>
      </c>
    </row>
    <row r="165" customFormat="false" ht="15" hidden="false" customHeight="false" outlineLevel="0" collapsed="false">
      <c r="A165" s="0" t="n">
        <f aca="false">A164+1</f>
        <v>163</v>
      </c>
      <c r="B165" s="0" t="n">
        <f aca="false">B164+C165*1</f>
        <v>1887.6776</v>
      </c>
      <c r="C165" s="1" t="n">
        <f aca="false">C164-I165*1</f>
        <v>4.4704</v>
      </c>
      <c r="D165" s="1" t="n">
        <f aca="false">C165*$L$1</f>
        <v>10.0002848</v>
      </c>
      <c r="E165" s="1" t="n">
        <v>6.1483162238845</v>
      </c>
      <c r="F165" s="1" t="n">
        <f aca="false">E165*$L$1</f>
        <v>13.7537833928296</v>
      </c>
      <c r="G165" s="2" t="n">
        <v>1</v>
      </c>
      <c r="H165" s="0" t="n">
        <f aca="false">C165*G165+5</f>
        <v>9.4704</v>
      </c>
      <c r="I165" s="3" t="n">
        <v>0.89408</v>
      </c>
      <c r="J165" s="3" t="n">
        <v>0</v>
      </c>
      <c r="K165" s="4" t="n">
        <v>7.30020760024195</v>
      </c>
    </row>
    <row r="166" customFormat="false" ht="15" hidden="false" customHeight="false" outlineLevel="0" collapsed="false">
      <c r="A166" s="0" t="n">
        <f aca="false">A165+1</f>
        <v>164</v>
      </c>
      <c r="B166" s="0" t="n">
        <f aca="false">B165+C166*1</f>
        <v>1891.25392</v>
      </c>
      <c r="C166" s="1" t="n">
        <f aca="false">C165-I166*1</f>
        <v>3.57632</v>
      </c>
      <c r="D166" s="1" t="n">
        <f aca="false">C166*$L$1</f>
        <v>8.00022783999999</v>
      </c>
      <c r="E166" s="1" t="n">
        <v>5.01881127534023</v>
      </c>
      <c r="F166" s="1" t="n">
        <f aca="false">E166*$L$1</f>
        <v>11.2270808229361</v>
      </c>
      <c r="G166" s="2" t="n">
        <v>1</v>
      </c>
      <c r="H166" s="0" t="n">
        <f aca="false">C166*G166+5</f>
        <v>8.57632</v>
      </c>
      <c r="I166" s="3" t="n">
        <v>0.89408</v>
      </c>
      <c r="J166" s="3" t="n">
        <v>0</v>
      </c>
      <c r="K166" s="4" t="n">
        <v>5.73990673727258</v>
      </c>
    </row>
    <row r="167" customFormat="false" ht="15" hidden="false" customHeight="false" outlineLevel="0" collapsed="false">
      <c r="A167" s="0" t="n">
        <f aca="false">A166+1</f>
        <v>165</v>
      </c>
      <c r="B167" s="0" t="n">
        <f aca="false">B166+C167*1</f>
        <v>1893.93616</v>
      </c>
      <c r="C167" s="1" t="n">
        <f aca="false">C166-I167*1</f>
        <v>2.68224</v>
      </c>
      <c r="D167" s="1" t="n">
        <f aca="false">C167*$L$1</f>
        <v>6.00017087999999</v>
      </c>
      <c r="E167" s="1" t="n">
        <v>3.87871096241671</v>
      </c>
      <c r="F167" s="1" t="n">
        <f aca="false">E167*$L$1</f>
        <v>8.67667642292618</v>
      </c>
      <c r="G167" s="2" t="n">
        <v>1</v>
      </c>
      <c r="H167" s="0" t="n">
        <f aca="false">C167*G167+5</f>
        <v>7.68224</v>
      </c>
      <c r="I167" s="3" t="n">
        <v>0.89408</v>
      </c>
      <c r="J167" s="3" t="n">
        <v>0</v>
      </c>
      <c r="K167" s="4" t="n">
        <v>4.42411547493907</v>
      </c>
    </row>
    <row r="168" customFormat="false" ht="15" hidden="false" customHeight="false" outlineLevel="0" collapsed="false">
      <c r="A168" s="0" t="n">
        <f aca="false">A167+1</f>
        <v>166</v>
      </c>
      <c r="B168" s="0" t="n">
        <f aca="false">B167+C168*1</f>
        <v>1895.72432</v>
      </c>
      <c r="C168" s="1" t="n">
        <f aca="false">C167-I168*1</f>
        <v>1.78816</v>
      </c>
      <c r="D168" s="1" t="n">
        <f aca="false">C168*$L$1</f>
        <v>4.00011391999999</v>
      </c>
      <c r="E168" s="1" t="n">
        <v>2.77109133562403</v>
      </c>
      <c r="F168" s="1" t="n">
        <f aca="false">E168*$L$1</f>
        <v>6.19893131779096</v>
      </c>
      <c r="G168" s="2" t="n">
        <v>1</v>
      </c>
      <c r="H168" s="0" t="n">
        <f aca="false">C168*G168+5</f>
        <v>6.78816</v>
      </c>
      <c r="I168" s="3" t="n">
        <v>0.89408</v>
      </c>
      <c r="J168" s="3" t="n">
        <v>0</v>
      </c>
      <c r="K168" s="4" t="n">
        <v>3.34004863692712</v>
      </c>
    </row>
    <row r="169" customFormat="false" ht="15" hidden="false" customHeight="false" outlineLevel="0" collapsed="false">
      <c r="A169" s="0" t="n">
        <f aca="false">A168+1</f>
        <v>167</v>
      </c>
      <c r="B169" s="0" t="n">
        <f aca="false">B168+C169*1</f>
        <v>1896.6184</v>
      </c>
      <c r="C169" s="1" t="n">
        <f aca="false">C168-I169*1</f>
        <v>0.894079999999997</v>
      </c>
      <c r="D169" s="1" t="n">
        <f aca="false">C169*$L$1</f>
        <v>2.00005695999999</v>
      </c>
      <c r="E169" s="1" t="n">
        <v>1.71959713975769</v>
      </c>
      <c r="F169" s="1" t="n">
        <f aca="false">E169*$L$1</f>
        <v>3.84673880163795</v>
      </c>
      <c r="G169" s="2" t="n">
        <v>1</v>
      </c>
      <c r="H169" s="0" t="n">
        <f aca="false">C169*G169+5</f>
        <v>5.89408</v>
      </c>
      <c r="I169" s="3" t="n">
        <v>0.89408</v>
      </c>
      <c r="J169" s="3" t="n">
        <v>0</v>
      </c>
      <c r="K169" s="4" t="n">
        <v>2.44185542879836</v>
      </c>
    </row>
    <row r="170" customFormat="false" ht="15" hidden="false" customHeight="false" outlineLevel="0" collapsed="false">
      <c r="A170" s="0" t="n">
        <f aca="false">A169+1</f>
        <v>168</v>
      </c>
      <c r="B170" s="0" t="n">
        <f aca="false">B169+C170*1</f>
        <v>1896.6184</v>
      </c>
      <c r="C170" s="1" t="n">
        <f aca="false">C169-I170*1</f>
        <v>-3.33066907387547E-015</v>
      </c>
      <c r="D170" s="1" t="n">
        <f aca="false">C170*$L$1</f>
        <v>-7.45070671825942E-015</v>
      </c>
      <c r="E170" s="1" t="n">
        <v>0.731045649998249</v>
      </c>
      <c r="F170" s="1" t="n">
        <f aca="false">E170*$L$1</f>
        <v>1.63534911904608</v>
      </c>
      <c r="G170" s="2" t="n">
        <v>1</v>
      </c>
      <c r="H170" s="0" t="n">
        <f aca="false">C170*G170+5</f>
        <v>5</v>
      </c>
      <c r="I170" s="3" t="n">
        <v>0.89408</v>
      </c>
      <c r="J170" s="3" t="n">
        <v>0</v>
      </c>
      <c r="K170" s="4" t="n">
        <v>1.668900627428</v>
      </c>
    </row>
    <row r="171" customFormat="false" ht="15" hidden="false" customHeight="false" outlineLevel="0" collapsed="false">
      <c r="A171" s="0" t="n">
        <f aca="false">A170+1</f>
        <v>169</v>
      </c>
      <c r="B171" s="0" t="n">
        <f aca="false">B170+C171*1</f>
        <v>1896.6184</v>
      </c>
      <c r="C171" s="0" t="n">
        <v>0</v>
      </c>
      <c r="D171" s="1" t="n">
        <f aca="false">C171*$L$1</f>
        <v>0</v>
      </c>
      <c r="E171" s="1" t="n">
        <v>-0.092831226382456</v>
      </c>
      <c r="F171" s="1" t="n">
        <f aca="false">E171*$L$1</f>
        <v>-0.207663453417554</v>
      </c>
      <c r="G171" s="2" t="n">
        <v>1</v>
      </c>
      <c r="H171" s="0" t="n">
        <f aca="false">C171*G171+5</f>
        <v>5</v>
      </c>
      <c r="I171" s="3" t="n">
        <v>0.89408</v>
      </c>
      <c r="J171" s="3" t="n">
        <v>0</v>
      </c>
      <c r="K171" s="4" t="n">
        <v>1.37763302405233</v>
      </c>
    </row>
    <row r="172" customFormat="false" ht="15" hidden="false" customHeight="false" outlineLevel="0" collapsed="false">
      <c r="A172" s="0" t="n">
        <f aca="false">A171+1</f>
        <v>170</v>
      </c>
      <c r="B172" s="0" t="n">
        <f aca="false">B171+C172*1</f>
        <v>1896.6184</v>
      </c>
      <c r="C172" s="0" t="n">
        <v>0</v>
      </c>
      <c r="D172" s="1" t="n">
        <f aca="false">C172*$L$1</f>
        <v>0</v>
      </c>
      <c r="E172" s="1" t="n">
        <v>-0.63007630444097</v>
      </c>
      <c r="F172" s="1" t="n">
        <f aca="false">E172*$L$1</f>
        <v>-1.40948069303445</v>
      </c>
      <c r="G172" s="2" t="n">
        <v>1</v>
      </c>
      <c r="H172" s="0" t="n">
        <f aca="false">C172*G172+5</f>
        <v>5</v>
      </c>
      <c r="I172" s="3" t="n">
        <v>0.89408</v>
      </c>
      <c r="J172" s="3" t="n">
        <v>0</v>
      </c>
      <c r="K172" s="4" t="n">
        <v>1.76521760156447</v>
      </c>
    </row>
    <row r="173" customFormat="false" ht="15" hidden="false" customHeight="false" outlineLevel="0" collapsed="false">
      <c r="A173" s="0" t="n">
        <f aca="false">A172+1</f>
        <v>171</v>
      </c>
      <c r="B173" s="0" t="n">
        <f aca="false">B172+C173*1</f>
        <v>1896.6184</v>
      </c>
      <c r="C173" s="0" t="n">
        <v>0</v>
      </c>
      <c r="D173" s="1" t="n">
        <f aca="false">C173*$L$1</f>
        <v>0</v>
      </c>
      <c r="E173" s="1" t="n">
        <v>-0.888777617998589</v>
      </c>
      <c r="F173" s="1" t="n">
        <f aca="false">E173*$L$1</f>
        <v>-1.98819553146284</v>
      </c>
      <c r="G173" s="2" t="n">
        <v>1</v>
      </c>
      <c r="H173" s="0" t="n">
        <f aca="false">C173*G173+5</f>
        <v>5</v>
      </c>
      <c r="I173" s="3" t="n">
        <v>0.89408</v>
      </c>
      <c r="J173" s="3" t="n">
        <v>0</v>
      </c>
      <c r="K173" s="4" t="n">
        <v>2.5454259442854</v>
      </c>
    </row>
    <row r="174" customFormat="false" ht="15" hidden="false" customHeight="false" outlineLevel="0" collapsed="false">
      <c r="A174" s="0" t="n">
        <f aca="false">A173+1</f>
        <v>172</v>
      </c>
      <c r="B174" s="0" t="n">
        <f aca="false">B173+C174*1</f>
        <v>1896.6184</v>
      </c>
      <c r="C174" s="0" t="n">
        <v>0</v>
      </c>
      <c r="D174" s="1" t="n">
        <f aca="false">C174*$L$1</f>
        <v>0</v>
      </c>
      <c r="E174" s="1" t="n">
        <v>-0.919170543833881</v>
      </c>
      <c r="F174" s="1" t="n">
        <f aca="false">E174*$L$1</f>
        <v>-2.05618450655639</v>
      </c>
      <c r="G174" s="2" t="n">
        <v>1</v>
      </c>
      <c r="H174" s="0" t="n">
        <f aca="false">C174*G174+5</f>
        <v>5</v>
      </c>
      <c r="I174" s="3" t="n">
        <v>0.89408</v>
      </c>
      <c r="J174" s="3" t="n">
        <v>0</v>
      </c>
      <c r="K174" s="4" t="n">
        <v>3.46325260605954</v>
      </c>
    </row>
    <row r="175" customFormat="false" ht="15" hidden="false" customHeight="false" outlineLevel="0" collapsed="false">
      <c r="A175" s="0" t="n">
        <f aca="false">A174+1</f>
        <v>173</v>
      </c>
      <c r="B175" s="0" t="n">
        <f aca="false">B174+C175*1</f>
        <v>1896.6184</v>
      </c>
      <c r="C175" s="0" t="n">
        <v>0</v>
      </c>
      <c r="D175" s="1" t="n">
        <f aca="false">C175*$L$1</f>
        <v>0</v>
      </c>
      <c r="E175" s="1" t="n">
        <v>-0.791656230630203</v>
      </c>
      <c r="F175" s="1" t="n">
        <f aca="false">E175*$L$1</f>
        <v>-1.77093498791976</v>
      </c>
      <c r="G175" s="2" t="n">
        <v>1</v>
      </c>
      <c r="H175" s="0" t="n">
        <f aca="false">C175*G175+5</f>
        <v>5</v>
      </c>
      <c r="I175" s="3" t="n">
        <v>0.89408</v>
      </c>
      <c r="J175" s="3" t="n">
        <v>0</v>
      </c>
      <c r="K175" s="4" t="n">
        <v>4.32564601164268</v>
      </c>
    </row>
    <row r="176" customFormat="false" ht="15" hidden="false" customHeight="false" outlineLevel="0" collapsed="false">
      <c r="A176" s="0" t="n">
        <f aca="false">A175+1</f>
        <v>174</v>
      </c>
      <c r="B176" s="0" t="n">
        <f aca="false">B175+C176*1</f>
        <v>1896.6184</v>
      </c>
      <c r="C176" s="0" t="n">
        <v>0</v>
      </c>
      <c r="D176" s="1" t="n">
        <f aca="false">C176*$L$1</f>
        <v>0</v>
      </c>
      <c r="E176" s="1" t="n">
        <v>-0.578824612941633</v>
      </c>
      <c r="F176" s="1" t="n">
        <f aca="false">E176*$L$1</f>
        <v>-1.29483065915043</v>
      </c>
      <c r="G176" s="2" t="n">
        <v>1</v>
      </c>
      <c r="H176" s="0" t="n">
        <f aca="false">C176*G176+5</f>
        <v>5</v>
      </c>
      <c r="I176" s="3" t="n">
        <v>0.89408</v>
      </c>
      <c r="J176" s="3" t="n">
        <v>0</v>
      </c>
      <c r="K176" s="4" t="n">
        <v>5.01213730026689</v>
      </c>
    </row>
    <row r="177" customFormat="false" ht="15" hidden="false" customHeight="false" outlineLevel="0" collapsed="false">
      <c r="A177" s="0" t="n">
        <f aca="false">A176+1</f>
        <v>175</v>
      </c>
      <c r="B177" s="0" t="n">
        <f aca="false">B176+C177*1</f>
        <v>1896.6184</v>
      </c>
      <c r="C177" s="0" t="n">
        <v>0</v>
      </c>
      <c r="D177" s="1" t="n">
        <f aca="false">C177*$L$1</f>
        <v>0</v>
      </c>
      <c r="E177" s="1" t="n">
        <v>-0.343053684337539</v>
      </c>
      <c r="F177" s="1" t="n">
        <f aca="false">E177*$L$1</f>
        <v>-0.767411091863075</v>
      </c>
      <c r="G177" s="2" t="n">
        <v>1</v>
      </c>
      <c r="H177" s="0" t="n">
        <f aca="false">C177*G177+5</f>
        <v>5</v>
      </c>
      <c r="I177" s="3" t="n">
        <v>0.89408</v>
      </c>
      <c r="J177" s="3" t="n">
        <v>0</v>
      </c>
      <c r="K177" s="4" t="n">
        <v>5.47028626051088</v>
      </c>
    </row>
    <row r="178" customFormat="false" ht="15" hidden="false" customHeight="false" outlineLevel="0" collapsed="false">
      <c r="A178" s="0" t="n">
        <f aca="false">A177+1</f>
        <v>176</v>
      </c>
      <c r="B178" s="0" t="n">
        <f aca="false">B177+C178*1</f>
        <v>1896.6184</v>
      </c>
      <c r="C178" s="0" t="n">
        <v>0</v>
      </c>
      <c r="D178" s="1" t="n">
        <f aca="false">C178*$L$1</f>
        <v>0</v>
      </c>
      <c r="E178" s="1" t="n">
        <v>-0.129841242530777</v>
      </c>
      <c r="F178" s="1" t="n">
        <f aca="false">E178*$L$1</f>
        <v>-0.290454859541348</v>
      </c>
      <c r="G178" s="2" t="n">
        <v>1</v>
      </c>
      <c r="H178" s="0" t="n">
        <f aca="false">C178*G178+5</f>
        <v>5</v>
      </c>
      <c r="I178" s="3" t="n">
        <v>0.89408</v>
      </c>
      <c r="J178" s="3" t="n">
        <v>0</v>
      </c>
      <c r="K178" s="4" t="n">
        <v>5.70168404084097</v>
      </c>
    </row>
    <row r="179" customFormat="false" ht="15" hidden="false" customHeight="false" outlineLevel="0" collapsed="false">
      <c r="A179" s="0" t="n">
        <f aca="false">A178+1</f>
        <v>177</v>
      </c>
      <c r="B179" s="0" t="n">
        <f aca="false">B178+C179*1</f>
        <v>1896.6184</v>
      </c>
      <c r="C179" s="0" t="n">
        <v>0</v>
      </c>
      <c r="D179" s="1" t="n">
        <f aca="false">C179*$L$1</f>
        <v>0</v>
      </c>
      <c r="E179" s="1" t="n">
        <v>0.0339484872650904</v>
      </c>
      <c r="F179" s="1" t="n">
        <f aca="false">E179*$L$1</f>
        <v>0.0759427660120072</v>
      </c>
      <c r="G179" s="2" t="n">
        <v>1</v>
      </c>
      <c r="H179" s="0" t="n">
        <f aca="false">C179*G179+5</f>
        <v>5</v>
      </c>
      <c r="I179" s="3" t="n">
        <v>0.89408</v>
      </c>
      <c r="J179" s="3" t="n">
        <v>0</v>
      </c>
      <c r="K179" s="4" t="n">
        <v>5.74387880970926</v>
      </c>
    </row>
    <row r="180" customFormat="false" ht="15" hidden="false" customHeight="false" outlineLevel="0" collapsed="false">
      <c r="A180" s="0" t="n">
        <f aca="false">A179+1</f>
        <v>178</v>
      </c>
      <c r="B180" s="0" t="n">
        <f aca="false">B179+C180*1</f>
        <v>1896.6184</v>
      </c>
      <c r="C180" s="0" t="n">
        <v>0</v>
      </c>
      <c r="D180" s="1" t="n">
        <f aca="false">C180*$L$1</f>
        <v>0</v>
      </c>
      <c r="E180" s="1" t="n">
        <v>0.138262069550518</v>
      </c>
      <c r="F180" s="1" t="n">
        <f aca="false">E180*$L$1</f>
        <v>0.309292249584509</v>
      </c>
      <c r="G180" s="2" t="n">
        <v>1</v>
      </c>
      <c r="H180" s="0" t="n">
        <f aca="false">C180*G180+5</f>
        <v>5</v>
      </c>
      <c r="I180" s="3" t="n">
        <v>0.89408</v>
      </c>
      <c r="J180" s="3" t="n">
        <v>0</v>
      </c>
      <c r="K180" s="4" t="n">
        <v>5.65247684630413</v>
      </c>
    </row>
    <row r="181" customFormat="false" ht="15" hidden="false" customHeight="false" outlineLevel="0" collapsed="false">
      <c r="A181" s="0" t="n">
        <f aca="false">A180+1</f>
        <v>179</v>
      </c>
      <c r="B181" s="0" t="n">
        <f aca="false">B180+C181*1</f>
        <v>1896.6184</v>
      </c>
      <c r="C181" s="0" t="n">
        <v>0</v>
      </c>
      <c r="D181" s="1" t="n">
        <f aca="false">C181*$L$1</f>
        <v>0</v>
      </c>
      <c r="E181" s="1" t="n">
        <v>0.185930519732358</v>
      </c>
      <c r="F181" s="1" t="n">
        <f aca="false">E181*$L$1</f>
        <v>0.415926572641285</v>
      </c>
      <c r="G181" s="2" t="n">
        <v>1</v>
      </c>
      <c r="H181" s="0" t="n">
        <f aca="false">C181*G181+5</f>
        <v>5</v>
      </c>
      <c r="I181" s="3" t="n">
        <v>0.89408</v>
      </c>
      <c r="J181" s="3" t="n">
        <v>0</v>
      </c>
      <c r="K181" s="4" t="n">
        <v>5.48624094444767</v>
      </c>
    </row>
    <row r="182" customFormat="false" ht="15" hidden="false" customHeight="false" outlineLevel="0" collapsed="false">
      <c r="A182" s="0" t="n">
        <f aca="false">A181+1</f>
        <v>180</v>
      </c>
      <c r="B182" s="0" t="n">
        <f aca="false">B181+C182*1</f>
        <v>1896.6184</v>
      </c>
      <c r="C182" s="0" t="n">
        <v>0</v>
      </c>
      <c r="D182" s="1" t="n">
        <f aca="false">C182*$L$1</f>
        <v>0</v>
      </c>
      <c r="E182" s="1" t="n">
        <v>0.187964819612859</v>
      </c>
      <c r="F182" s="1" t="n">
        <f aca="false">E182*$L$1</f>
        <v>0.420477301473966</v>
      </c>
      <c r="G182" s="2" t="n">
        <v>1</v>
      </c>
      <c r="H182" s="0" t="n">
        <f aca="false">C182*G182+5</f>
        <v>5</v>
      </c>
      <c r="I182" s="3" t="n">
        <v>0.89408</v>
      </c>
      <c r="J182" s="3" t="n">
        <v>0</v>
      </c>
      <c r="K182" s="4" t="n">
        <v>5.29659518360791</v>
      </c>
    </row>
    <row r="183" customFormat="false" ht="15" hidden="false" customHeight="false" outlineLevel="0" collapsed="false">
      <c r="A183" s="0" t="n">
        <f aca="false">A182+1</f>
        <v>181</v>
      </c>
      <c r="B183" s="0" t="n">
        <f aca="false">B182+C183*1</f>
        <v>1896.6184</v>
      </c>
      <c r="C183" s="0" t="n">
        <v>0</v>
      </c>
      <c r="D183" s="1" t="n">
        <f aca="false">C183*$L$1</f>
        <v>0</v>
      </c>
      <c r="E183" s="1" t="n">
        <v>0.15908680162172</v>
      </c>
      <c r="F183" s="1" t="n">
        <f aca="false">E183*$L$1</f>
        <v>0.355877175227788</v>
      </c>
      <c r="G183" s="2" t="n">
        <v>1</v>
      </c>
      <c r="H183" s="0" t="n">
        <f aca="false">C183*G183+5</f>
        <v>5</v>
      </c>
      <c r="I183" s="3" t="n">
        <v>0.89408</v>
      </c>
      <c r="J183" s="3" t="n">
        <v>0</v>
      </c>
      <c r="K183" s="4" t="n">
        <v>5.12177151080232</v>
      </c>
    </row>
    <row r="184" customFormat="false" ht="15" hidden="false" customHeight="false" outlineLevel="0" collapsed="false">
      <c r="A184" s="0" t="n">
        <f aca="false">A183+1</f>
        <v>182</v>
      </c>
      <c r="B184" s="0" t="n">
        <f aca="false">B183+C184*1</f>
        <v>1896.6184</v>
      </c>
      <c r="C184" s="0" t="n">
        <v>0</v>
      </c>
      <c r="D184" s="1" t="n">
        <f aca="false">C184*$L$1</f>
        <v>0</v>
      </c>
      <c r="E184" s="1" t="n">
        <v>0.114136813480504</v>
      </c>
      <c r="F184" s="1" t="n">
        <f aca="false">E184*$L$1</f>
        <v>0.255324051755887</v>
      </c>
      <c r="G184" s="2" t="n">
        <v>1</v>
      </c>
      <c r="H184" s="0" t="n">
        <f aca="false">C184*G184+5</f>
        <v>5</v>
      </c>
      <c r="I184" s="3" t="n">
        <v>0.89408</v>
      </c>
      <c r="J184" s="3" t="n">
        <v>0</v>
      </c>
      <c r="K184" s="4" t="n">
        <v>4.98500911724614</v>
      </c>
    </row>
    <row r="185" customFormat="false" ht="15" hidden="false" customHeight="false" outlineLevel="0" collapsed="false">
      <c r="A185" s="0" t="n">
        <f aca="false">A184+1</f>
        <v>183</v>
      </c>
      <c r="B185" s="0" t="n">
        <f aca="false">B184+C185*1</f>
        <v>1896.6184</v>
      </c>
      <c r="C185" s="0" t="n">
        <v>0</v>
      </c>
      <c r="D185" s="1" t="n">
        <f aca="false">C185*$L$1</f>
        <v>0</v>
      </c>
      <c r="E185" s="1" t="n">
        <v>0.0656469874374426</v>
      </c>
      <c r="F185" s="1" t="n">
        <f aca="false">E185*$L$1</f>
        <v>0.146852310897559</v>
      </c>
      <c r="G185" s="2" t="n">
        <v>1</v>
      </c>
      <c r="H185" s="0" t="n">
        <f aca="false">C185*G185+5</f>
        <v>5</v>
      </c>
      <c r="I185" s="3" t="n">
        <v>0.89408</v>
      </c>
      <c r="J185" s="3" t="n">
        <v>0</v>
      </c>
      <c r="K185" s="4" t="n">
        <v>4.89575978839025</v>
      </c>
    </row>
    <row r="186" customFormat="false" ht="15" hidden="false" customHeight="false" outlineLevel="0" collapsed="false">
      <c r="A186" s="0" t="n">
        <f aca="false">A185+1</f>
        <v>184</v>
      </c>
      <c r="B186" s="0" t="n">
        <f aca="false">B185+C186*1</f>
        <v>1896.6184</v>
      </c>
      <c r="C186" s="0" t="n">
        <v>0</v>
      </c>
      <c r="D186" s="1" t="n">
        <f aca="false">C186*$L$1</f>
        <v>0</v>
      </c>
      <c r="E186" s="1" t="n">
        <v>0.0225861576039721</v>
      </c>
      <c r="F186" s="1" t="n">
        <f aca="false">E186*$L$1</f>
        <v>0.0505252345600856</v>
      </c>
      <c r="G186" s="2" t="n">
        <v>1</v>
      </c>
      <c r="H186" s="0" t="n">
        <f aca="false">C186*G186+5</f>
        <v>5</v>
      </c>
      <c r="I186" s="3" t="n">
        <v>0.89408</v>
      </c>
      <c r="J186" s="3" t="n">
        <v>0</v>
      </c>
      <c r="K186" s="4" t="n">
        <v>4.85271399669614</v>
      </c>
    </row>
    <row r="187" customFormat="false" ht="15" hidden="false" customHeight="false" outlineLevel="0" collapsed="false">
      <c r="A187" s="0" t="n">
        <f aca="false">A186+1</f>
        <v>185</v>
      </c>
      <c r="B187" s="0" t="n">
        <f aca="false">B186+C187*1</f>
        <v>1896.6184</v>
      </c>
      <c r="C187" s="0" t="n">
        <v>0</v>
      </c>
      <c r="D187" s="1" t="n">
        <f aca="false">C187*$L$1</f>
        <v>0</v>
      </c>
      <c r="E187" s="1" t="n">
        <v>-0.00990802925890947</v>
      </c>
      <c r="F187" s="1" t="n">
        <f aca="false">E187*$L$1</f>
        <v>-0.0221642614521805</v>
      </c>
      <c r="G187" s="2" t="n">
        <v>1</v>
      </c>
      <c r="H187" s="0" t="n">
        <f aca="false">C187*G187+5</f>
        <v>5</v>
      </c>
      <c r="I187" s="3" t="n">
        <v>0.89408</v>
      </c>
      <c r="J187" s="3" t="n">
        <v>0</v>
      </c>
      <c r="K187" s="4" t="n">
        <v>4.84756043194989</v>
      </c>
    </row>
    <row r="188" customFormat="false" ht="15" hidden="false" customHeight="false" outlineLevel="0" collapsed="false">
      <c r="A188" s="0" t="n">
        <f aca="false">A187+1</f>
        <v>186</v>
      </c>
      <c r="B188" s="0" t="n">
        <f aca="false">B187+C188*1</f>
        <v>1896.6184</v>
      </c>
      <c r="C188" s="0" t="n">
        <v>0</v>
      </c>
      <c r="D188" s="1" t="n">
        <f aca="false">C188*$L$1</f>
        <v>0</v>
      </c>
      <c r="E188" s="1" t="n">
        <v>-0.0300922635689224</v>
      </c>
      <c r="F188" s="1" t="n">
        <f aca="false">E188*$L$1</f>
        <v>-0.0673163936036794</v>
      </c>
      <c r="G188" s="2" t="n">
        <v>1</v>
      </c>
      <c r="H188" s="0" t="n">
        <f aca="false">C188*G188+5</f>
        <v>5</v>
      </c>
      <c r="I188" s="3" t="n">
        <v>0.89408</v>
      </c>
      <c r="J188" s="3" t="n">
        <v>0</v>
      </c>
      <c r="K188" s="4" t="n">
        <v>4.86863223105956</v>
      </c>
    </row>
    <row r="189" customFormat="false" ht="15" hidden="false" customHeight="false" outlineLevel="0" collapsed="false">
      <c r="A189" s="0" t="n">
        <f aca="false">A188+1</f>
        <v>187</v>
      </c>
      <c r="B189" s="0" t="n">
        <f aca="false">B188+C189*1</f>
        <v>1896.6184</v>
      </c>
      <c r="C189" s="0" t="n">
        <v>0</v>
      </c>
      <c r="D189" s="1" t="n">
        <f aca="false">C189*$L$1</f>
        <v>0</v>
      </c>
      <c r="E189" s="1" t="n">
        <v>-0.0387786750922922</v>
      </c>
      <c r="F189" s="1" t="n">
        <f aca="false">E189*$L$1</f>
        <v>-0.0867478961814577</v>
      </c>
      <c r="G189" s="2" t="n">
        <v>1</v>
      </c>
      <c r="H189" s="0" t="n">
        <f aca="false">C189*G189+5</f>
        <v>5</v>
      </c>
      <c r="I189" s="3" t="n">
        <v>0.89408</v>
      </c>
      <c r="J189" s="3" t="n">
        <v>0</v>
      </c>
      <c r="K189" s="4" t="n">
        <v>4.90389063346584</v>
      </c>
    </row>
    <row r="190" customFormat="false" ht="15" hidden="false" customHeight="false" outlineLevel="0" collapsed="false">
      <c r="A190" s="0" t="n">
        <f aca="false">A189+1</f>
        <v>188</v>
      </c>
      <c r="B190" s="0" t="n">
        <f aca="false">B189+C190*1</f>
        <v>1896.6184</v>
      </c>
      <c r="C190" s="0" t="n">
        <v>0</v>
      </c>
      <c r="D190" s="1" t="n">
        <f aca="false">C190*$L$1</f>
        <v>0</v>
      </c>
      <c r="E190" s="1" t="n">
        <v>-0.0383614431784247</v>
      </c>
      <c r="F190" s="1" t="n">
        <f aca="false">E190*$L$1</f>
        <v>-0.085814548390136</v>
      </c>
      <c r="G190" s="2" t="n">
        <v>1</v>
      </c>
      <c r="H190" s="0" t="n">
        <f aca="false">C190*G190+5</f>
        <v>5</v>
      </c>
      <c r="I190" s="3" t="n">
        <v>0.89408</v>
      </c>
      <c r="J190" s="3" t="n">
        <v>0</v>
      </c>
      <c r="K190" s="4" t="n">
        <v>4.94298452747194</v>
      </c>
    </row>
    <row r="191" customFormat="false" ht="15" hidden="false" customHeight="false" outlineLevel="0" collapsed="false">
      <c r="A191" s="0" t="n">
        <f aca="false">A190+1</f>
        <v>189</v>
      </c>
      <c r="B191" s="0" t="n">
        <f aca="false">B190+C191*1</f>
        <v>1896.6184</v>
      </c>
      <c r="C191" s="0" t="n">
        <v>0</v>
      </c>
      <c r="D191" s="1" t="n">
        <f aca="false">C191*$L$1</f>
        <v>0</v>
      </c>
      <c r="E191" s="1" t="n">
        <v>-0.031909875108801</v>
      </c>
      <c r="F191" s="1" t="n">
        <f aca="false">E191*$L$1</f>
        <v>-0.0713823906183878</v>
      </c>
      <c r="G191" s="2" t="n">
        <v>1</v>
      </c>
      <c r="H191" s="0" t="n">
        <f aca="false">C191*G191+5</f>
        <v>5</v>
      </c>
      <c r="I191" s="3" t="n">
        <v>0.89408</v>
      </c>
      <c r="J191" s="3" t="n">
        <v>0</v>
      </c>
      <c r="K191" s="4" t="n">
        <v>4.97835928001268</v>
      </c>
    </row>
    <row r="192" customFormat="false" ht="15" hidden="false" customHeight="false" outlineLevel="0" collapsed="false">
      <c r="A192" s="0" t="n">
        <f aca="false">A191+1</f>
        <v>190</v>
      </c>
      <c r="B192" s="0" t="n">
        <f aca="false">B191+C192*1</f>
        <v>1896.6184</v>
      </c>
      <c r="C192" s="0" t="n">
        <v>0</v>
      </c>
      <c r="D192" s="1" t="n">
        <f aca="false">C192*$L$1</f>
        <v>0</v>
      </c>
      <c r="E192" s="1" t="n">
        <v>-0.0224519464695012</v>
      </c>
      <c r="F192" s="1" t="n">
        <f aca="false">E192*$L$1</f>
        <v>-0.0502250042522742</v>
      </c>
      <c r="G192" s="2" t="n">
        <v>1</v>
      </c>
      <c r="H192" s="0" t="n">
        <f aca="false">C192*G192+5</f>
        <v>5</v>
      </c>
      <c r="I192" s="3" t="n">
        <v>0.89408</v>
      </c>
      <c r="J192" s="3" t="n">
        <v>0</v>
      </c>
      <c r="K192" s="4" t="n">
        <v>5.0055499766645</v>
      </c>
    </row>
    <row r="193" customFormat="false" ht="15" hidden="false" customHeight="false" outlineLevel="0" collapsed="false">
      <c r="A193" s="0" t="n">
        <f aca="false">A192+1</f>
        <v>191</v>
      </c>
      <c r="B193" s="0" t="n">
        <f aca="false">B192+C193*1</f>
        <v>1896.6184</v>
      </c>
      <c r="C193" s="0" t="n">
        <v>0</v>
      </c>
      <c r="D193" s="1" t="n">
        <f aca="false">C193*$L$1</f>
        <v>0</v>
      </c>
      <c r="E193" s="1" t="n">
        <v>-0.0125007637983809</v>
      </c>
      <c r="F193" s="1" t="n">
        <f aca="false">E193*$L$1</f>
        <v>-0.0279642086169781</v>
      </c>
      <c r="G193" s="2" t="n">
        <v>1</v>
      </c>
      <c r="H193" s="0" t="n">
        <f aca="false">C193*G193+5</f>
        <v>5</v>
      </c>
      <c r="I193" s="3" t="n">
        <v>0.89408</v>
      </c>
      <c r="J193" s="3" t="n">
        <v>0</v>
      </c>
      <c r="K193" s="4" t="n">
        <v>5.02288085621944</v>
      </c>
    </row>
    <row r="194" customFormat="false" ht="15" hidden="false" customHeight="false" outlineLevel="0" collapsed="false">
      <c r="A194" s="0" t="n">
        <f aca="false">A193+1</f>
        <v>192</v>
      </c>
      <c r="B194" s="0" t="n">
        <f aca="false">B193+C194*1</f>
        <v>1896.6184</v>
      </c>
      <c r="C194" s="0" t="n">
        <v>0</v>
      </c>
      <c r="D194" s="1" t="n">
        <f aca="false">C194*$L$1</f>
        <v>0</v>
      </c>
      <c r="E194" s="1" t="n">
        <v>-0.00382002603700939</v>
      </c>
      <c r="F194" s="1" t="n">
        <f aca="false">E194*$L$1</f>
        <v>-0.00854539824479001</v>
      </c>
      <c r="G194" s="2" t="n">
        <v>1</v>
      </c>
      <c r="H194" s="0" t="n">
        <f aca="false">C194*G194+5</f>
        <v>5</v>
      </c>
      <c r="I194" s="3" t="n">
        <v>0.89408</v>
      </c>
      <c r="J194" s="3" t="n">
        <v>0</v>
      </c>
      <c r="K194" s="4" t="n">
        <v>5.0308151212937</v>
      </c>
    </row>
    <row r="195" customFormat="false" ht="15" hidden="false" customHeight="false" outlineLevel="0" collapsed="false">
      <c r="A195" s="0" t="n">
        <f aca="false">A194+1</f>
        <v>193</v>
      </c>
      <c r="B195" s="0" t="n">
        <f aca="false">B194+C195*1</f>
        <v>1896.6184</v>
      </c>
      <c r="C195" s="0" t="n">
        <v>0</v>
      </c>
      <c r="D195" s="1" t="n">
        <f aca="false">C195*$L$1</f>
        <v>0</v>
      </c>
      <c r="E195" s="1" t="n">
        <v>0.00261259706055072</v>
      </c>
      <c r="F195" s="1" t="n">
        <f aca="false">E195*$L$1</f>
        <v>0.00584437962445196</v>
      </c>
      <c r="G195" s="2" t="n">
        <v>1</v>
      </c>
      <c r="H195" s="0" t="n">
        <f aca="false">C195*G195+5</f>
        <v>5</v>
      </c>
      <c r="I195" s="3" t="n">
        <v>0.89408</v>
      </c>
      <c r="J195" s="3" t="n">
        <v>0</v>
      </c>
      <c r="K195" s="4" t="n">
        <v>5.03117503143767</v>
      </c>
    </row>
    <row r="196" customFormat="false" ht="15" hidden="false" customHeight="false" outlineLevel="0" collapsed="false">
      <c r="A196" s="0" t="n">
        <f aca="false">A195+1</f>
        <v>194</v>
      </c>
      <c r="B196" s="0" t="n">
        <f aca="false">B195+C196*1</f>
        <v>1896.6184</v>
      </c>
      <c r="C196" s="0" t="n">
        <v>0</v>
      </c>
      <c r="D196" s="1" t="n">
        <f aca="false">C196*$L$1</f>
        <v>0</v>
      </c>
      <c r="E196" s="1" t="n">
        <v>0.00650354616952447</v>
      </c>
      <c r="F196" s="1" t="n">
        <f aca="false">E196*$L$1</f>
        <v>0.0145484327812262</v>
      </c>
      <c r="G196" s="2" t="n">
        <v>1</v>
      </c>
      <c r="H196" s="0" t="n">
        <f aca="false">C196*G196+5</f>
        <v>5</v>
      </c>
      <c r="I196" s="3" t="n">
        <v>0.89408</v>
      </c>
      <c r="J196" s="3" t="n">
        <v>0</v>
      </c>
      <c r="K196" s="4" t="n">
        <v>5.02640053504501</v>
      </c>
    </row>
    <row r="197" customFormat="false" ht="15" hidden="false" customHeight="false" outlineLevel="0" collapsed="false">
      <c r="A197" s="0" t="n">
        <f aca="false">A196+1</f>
        <v>195</v>
      </c>
      <c r="B197" s="0" t="n">
        <f aca="false">B196+C197*1</f>
        <v>1896.6184</v>
      </c>
      <c r="C197" s="0" t="n">
        <v>0</v>
      </c>
      <c r="D197" s="1" t="n">
        <f aca="false">C197*$L$1</f>
        <v>0</v>
      </c>
      <c r="E197" s="1" t="n">
        <v>0.00806499841084561</v>
      </c>
      <c r="F197" s="1" t="n">
        <f aca="false">E197*$L$1</f>
        <v>0.0180414014450616</v>
      </c>
      <c r="G197" s="2" t="n">
        <v>1</v>
      </c>
      <c r="H197" s="0" t="n">
        <f aca="false">C197*G197+5</f>
        <v>5</v>
      </c>
      <c r="I197" s="3" t="n">
        <v>0.89408</v>
      </c>
      <c r="J197" s="3" t="n">
        <v>0</v>
      </c>
      <c r="K197" s="4" t="n">
        <v>5.0189530087132</v>
      </c>
    </row>
    <row r="198" customFormat="false" ht="15" hidden="false" customHeight="false" outlineLevel="0" collapsed="false">
      <c r="A198" s="0" t="n">
        <f aca="false">A197+1</f>
        <v>196</v>
      </c>
      <c r="B198" s="0" t="n">
        <f aca="false">B197+C198*1</f>
        <v>1896.6184</v>
      </c>
      <c r="C198" s="0" t="n">
        <v>0</v>
      </c>
      <c r="D198" s="1" t="n">
        <f aca="false">C198*$L$1</f>
        <v>0</v>
      </c>
      <c r="E198" s="1" t="n">
        <v>0.00781394976869883</v>
      </c>
      <c r="F198" s="1" t="n">
        <f aca="false">E198*$L$1</f>
        <v>0.0174798056325793</v>
      </c>
      <c r="G198" s="2" t="n">
        <v>1</v>
      </c>
      <c r="H198" s="0" t="n">
        <f aca="false">C198*G198+5</f>
        <v>5</v>
      </c>
      <c r="I198" s="3" t="n">
        <v>0.89408</v>
      </c>
      <c r="J198" s="3" t="n">
        <v>0</v>
      </c>
      <c r="K198" s="4" t="n">
        <v>5.01091218255215</v>
      </c>
    </row>
    <row r="199" customFormat="false" ht="15" hidden="false" customHeight="false" outlineLevel="0" collapsed="false">
      <c r="A199" s="0" t="n">
        <f aca="false">A198+1</f>
        <v>197</v>
      </c>
      <c r="B199" s="0" t="n">
        <f aca="false">B198+C199*1</f>
        <v>1896.6184</v>
      </c>
      <c r="C199" s="0" t="n">
        <v>0</v>
      </c>
      <c r="D199" s="1" t="n">
        <f aca="false">C199*$L$1</f>
        <v>0</v>
      </c>
      <c r="E199" s="1" t="n">
        <v>0.00638851369375361</v>
      </c>
      <c r="F199" s="1" t="n">
        <f aca="false">E199*$L$1</f>
        <v>0.0142911051329268</v>
      </c>
      <c r="G199" s="2" t="n">
        <v>1</v>
      </c>
      <c r="H199" s="0" t="n">
        <f aca="false">C199*G199+5</f>
        <v>5</v>
      </c>
      <c r="I199" s="3" t="n">
        <v>0.89408</v>
      </c>
      <c r="J199" s="3" t="n">
        <v>0</v>
      </c>
      <c r="K199" s="4" t="n">
        <v>5.0037673932477</v>
      </c>
    </row>
    <row r="200" customFormat="false" ht="15" hidden="false" customHeight="false" outlineLevel="0" collapsed="false">
      <c r="A200" s="0" t="n">
        <f aca="false">A199+1</f>
        <v>198</v>
      </c>
      <c r="B200" s="0" t="n">
        <f aca="false">B199+C200*1</f>
        <v>1896.6184</v>
      </c>
      <c r="C200" s="0" t="n">
        <v>0</v>
      </c>
      <c r="D200" s="1" t="n">
        <f aca="false">C200*$L$1</f>
        <v>0</v>
      </c>
      <c r="E200" s="1" t="n">
        <v>0.00440531389010878</v>
      </c>
      <c r="F200" s="1" t="n">
        <f aca="false">E200*$L$1</f>
        <v>0.00985468717217334</v>
      </c>
      <c r="G200" s="2" t="n">
        <v>1</v>
      </c>
      <c r="H200" s="0" t="n">
        <f aca="false">C200*G200+5</f>
        <v>5</v>
      </c>
      <c r="I200" s="3" t="n">
        <v>0.89408</v>
      </c>
      <c r="J200" s="3" t="n">
        <v>0</v>
      </c>
      <c r="K200" s="4" t="n">
        <v>4.99837266496911</v>
      </c>
    </row>
    <row r="201" customFormat="false" ht="15" hidden="false" customHeight="false" outlineLevel="0" collapsed="false">
      <c r="B201" s="11" t="n">
        <f aca="false">ROUNDUP(MAX(B1:B200),0)</f>
        <v>1897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pane xSplit="0" ySplit="1" topLeftCell="A2" activePane="bottomLeft" state="frozen"/>
      <selection pane="topLeft" activeCell="J1" activeCellId="0" sqref="J1"/>
      <selection pane="bottomLeft" activeCell="D2" activeCellId="0" sqref="D2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6.14"/>
    <col collapsed="false" customWidth="true" hidden="false" outlineLevel="0" max="3" min="3" style="1" width="16.43"/>
    <col collapsed="false" customWidth="true" hidden="false" outlineLevel="0" max="5" min="4" style="1" width="22.28"/>
    <col collapsed="false" customWidth="true" hidden="false" outlineLevel="0" max="6" min="6" style="2" width="11.28"/>
    <col collapsed="false" customWidth="true" hidden="false" outlineLevel="0" max="7" min="7" style="0" width="20"/>
    <col collapsed="false" customWidth="true" hidden="false" outlineLevel="0" max="9" min="8" style="3" width="17.57"/>
    <col collapsed="false" customWidth="true" hidden="false" outlineLevel="0" max="10" min="10" style="4" width="22.71"/>
  </cols>
  <sheetData>
    <row r="1" customFormat="false" ht="15.75" hidden="false" customHeight="fals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5" t="s">
        <v>6</v>
      </c>
      <c r="H1" s="8" t="s">
        <v>7</v>
      </c>
      <c r="I1" s="8" t="s">
        <v>8</v>
      </c>
      <c r="J1" s="9" t="s">
        <v>9</v>
      </c>
      <c r="K1" s="0" t="n">
        <v>2.237</v>
      </c>
      <c r="L1" s="0" t="s">
        <v>10</v>
      </c>
      <c r="M1" s="0" t="n">
        <v>0.5</v>
      </c>
    </row>
    <row r="2" customFormat="false" ht="15" hidden="false" customHeight="false" outlineLevel="0" collapsed="false">
      <c r="A2" s="0" t="n">
        <v>0</v>
      </c>
      <c r="B2" s="1" t="n">
        <v>0</v>
      </c>
      <c r="C2" s="1" t="n">
        <f aca="false">B2*$K$1</f>
        <v>0</v>
      </c>
      <c r="D2" s="1" t="n">
        <v>0</v>
      </c>
      <c r="E2" s="1" t="n">
        <f aca="false">D2*$K$1</f>
        <v>0</v>
      </c>
      <c r="F2" s="2" t="n">
        <v>1.5</v>
      </c>
      <c r="G2" s="0" t="n">
        <f aca="false">B2*F2+5</f>
        <v>5</v>
      </c>
      <c r="H2" s="3" t="n">
        <v>0</v>
      </c>
      <c r="I2" s="3" t="n">
        <v>0</v>
      </c>
      <c r="J2" s="4" t="n">
        <v>5</v>
      </c>
      <c r="L2" s="0" t="s">
        <v>11</v>
      </c>
      <c r="M2" s="0" t="n">
        <v>0.2</v>
      </c>
    </row>
    <row r="3" customFormat="false" ht="15" hidden="false" customHeight="false" outlineLevel="0" collapsed="false">
      <c r="A3" s="0" t="n">
        <f aca="false">A2+1</f>
        <v>1</v>
      </c>
      <c r="B3" s="1" t="n">
        <v>0</v>
      </c>
      <c r="C3" s="1" t="n">
        <f aca="false">B3*$K$1</f>
        <v>0</v>
      </c>
      <c r="D3" s="1" t="n">
        <v>0</v>
      </c>
      <c r="E3" s="1" t="n">
        <f aca="false">D3*$K$1</f>
        <v>0</v>
      </c>
      <c r="F3" s="2" t="n">
        <v>1.5</v>
      </c>
      <c r="G3" s="0" t="n">
        <f aca="false">B3*F3+5</f>
        <v>5</v>
      </c>
      <c r="H3" s="3" t="n">
        <v>0</v>
      </c>
      <c r="I3" s="3" t="n">
        <v>0</v>
      </c>
      <c r="J3" s="4" t="n">
        <v>5</v>
      </c>
      <c r="K3" s="0" t="n">
        <f aca="false">20/K1</f>
        <v>8.94054537326777</v>
      </c>
      <c r="L3" s="0" t="s">
        <v>12</v>
      </c>
      <c r="M3" s="0" t="n">
        <v>0.4</v>
      </c>
    </row>
    <row r="4" customFormat="false" ht="15" hidden="false" customHeight="false" outlineLevel="0" collapsed="false">
      <c r="A4" s="0" t="n">
        <f aca="false">A3+1</f>
        <v>2</v>
      </c>
      <c r="B4" s="1" t="n">
        <v>0</v>
      </c>
      <c r="C4" s="1" t="n">
        <f aca="false">B4*$K$1</f>
        <v>0</v>
      </c>
      <c r="D4" s="1" t="n">
        <v>0</v>
      </c>
      <c r="E4" s="1" t="n">
        <f aca="false">D4*$K$1</f>
        <v>0</v>
      </c>
      <c r="F4" s="2" t="n">
        <v>1.5</v>
      </c>
      <c r="G4" s="0" t="n">
        <f aca="false">B4*F4+5</f>
        <v>5</v>
      </c>
      <c r="H4" s="3" t="n">
        <v>0</v>
      </c>
      <c r="I4" s="3" t="n">
        <v>0</v>
      </c>
      <c r="J4" s="4" t="n">
        <v>5</v>
      </c>
    </row>
    <row r="5" customFormat="false" ht="15" hidden="false" customHeight="false" outlineLevel="0" collapsed="false">
      <c r="A5" s="0" t="n">
        <f aca="false">A4+1</f>
        <v>3</v>
      </c>
      <c r="B5" s="1" t="n">
        <v>0</v>
      </c>
      <c r="C5" s="1" t="n">
        <f aca="false">B5*$K$1</f>
        <v>0</v>
      </c>
      <c r="D5" s="1" t="n">
        <v>0</v>
      </c>
      <c r="E5" s="1" t="n">
        <f aca="false">D5*$K$1</f>
        <v>0</v>
      </c>
      <c r="F5" s="2" t="n">
        <v>1.5</v>
      </c>
      <c r="G5" s="0" t="n">
        <f aca="false">B5*F5+5</f>
        <v>5</v>
      </c>
      <c r="H5" s="3" t="n">
        <v>0</v>
      </c>
      <c r="I5" s="3" t="n">
        <v>0</v>
      </c>
      <c r="J5" s="4" t="n">
        <v>5</v>
      </c>
    </row>
    <row r="6" customFormat="false" ht="15" hidden="false" customHeight="false" outlineLevel="0" collapsed="false">
      <c r="A6" s="0" t="n">
        <f aca="false">A5+1</f>
        <v>4</v>
      </c>
      <c r="B6" s="1" t="n">
        <v>0</v>
      </c>
      <c r="C6" s="1" t="n">
        <f aca="false">B6*$K$1</f>
        <v>0</v>
      </c>
      <c r="D6" s="1" t="n">
        <v>0</v>
      </c>
      <c r="E6" s="1" t="n">
        <f aca="false">D6*$K$1</f>
        <v>0</v>
      </c>
      <c r="F6" s="2" t="n">
        <v>1.5</v>
      </c>
      <c r="G6" s="0" t="n">
        <f aca="false">B6*F6+5</f>
        <v>5</v>
      </c>
      <c r="H6" s="3" t="n">
        <v>0</v>
      </c>
      <c r="I6" s="3" t="n">
        <v>0</v>
      </c>
      <c r="J6" s="4" t="n">
        <v>5</v>
      </c>
    </row>
    <row r="7" customFormat="false" ht="15" hidden="false" customHeight="false" outlineLevel="0" collapsed="false">
      <c r="A7" s="0" t="n">
        <f aca="false">A6+1</f>
        <v>5</v>
      </c>
      <c r="B7" s="1" t="n">
        <v>0</v>
      </c>
      <c r="C7" s="1" t="n">
        <f aca="false">B7*$K$1</f>
        <v>0</v>
      </c>
      <c r="D7" s="1" t="n">
        <v>0</v>
      </c>
      <c r="E7" s="1" t="n">
        <f aca="false">D7*$K$1</f>
        <v>0</v>
      </c>
      <c r="F7" s="2" t="n">
        <v>1.5</v>
      </c>
      <c r="G7" s="0" t="n">
        <f aca="false">B7*F7+5</f>
        <v>5</v>
      </c>
      <c r="H7" s="3" t="n">
        <v>0</v>
      </c>
      <c r="I7" s="3" t="n">
        <v>0</v>
      </c>
      <c r="J7" s="4" t="n">
        <v>5</v>
      </c>
    </row>
    <row r="8" customFormat="false" ht="15" hidden="false" customHeight="false" outlineLevel="0" collapsed="false">
      <c r="A8" s="0" t="n">
        <f aca="false">A7+1</f>
        <v>6</v>
      </c>
      <c r="B8" s="1" t="n">
        <v>0</v>
      </c>
      <c r="C8" s="1" t="n">
        <f aca="false">B8*$K$1</f>
        <v>0</v>
      </c>
      <c r="D8" s="1" t="n">
        <v>0</v>
      </c>
      <c r="E8" s="1" t="n">
        <f aca="false">D8*$K$1</f>
        <v>0</v>
      </c>
      <c r="F8" s="2" t="n">
        <v>1.5</v>
      </c>
      <c r="G8" s="0" t="n">
        <f aca="false">B8*F8+5</f>
        <v>5</v>
      </c>
      <c r="H8" s="3" t="n">
        <v>0</v>
      </c>
      <c r="I8" s="3" t="n">
        <v>0</v>
      </c>
      <c r="J8" s="4" t="n">
        <v>5</v>
      </c>
    </row>
    <row r="9" customFormat="false" ht="15" hidden="false" customHeight="false" outlineLevel="0" collapsed="false">
      <c r="A9" s="0" t="n">
        <f aca="false">A8+1</f>
        <v>7</v>
      </c>
      <c r="B9" s="1" t="n">
        <v>0</v>
      </c>
      <c r="C9" s="1" t="n">
        <f aca="false">B9*$K$1</f>
        <v>0</v>
      </c>
      <c r="D9" s="1" t="n">
        <v>0</v>
      </c>
      <c r="E9" s="1" t="n">
        <f aca="false">D9*$K$1</f>
        <v>0</v>
      </c>
      <c r="F9" s="2" t="n">
        <v>1.5</v>
      </c>
      <c r="G9" s="0" t="n">
        <f aca="false">B9*F9+5</f>
        <v>5</v>
      </c>
      <c r="H9" s="3" t="n">
        <v>0</v>
      </c>
      <c r="I9" s="3" t="n">
        <v>0</v>
      </c>
      <c r="J9" s="4" t="n">
        <v>5</v>
      </c>
    </row>
    <row r="10" customFormat="false" ht="15" hidden="false" customHeight="false" outlineLevel="0" collapsed="false">
      <c r="A10" s="0" t="n">
        <f aca="false">A9+1</f>
        <v>8</v>
      </c>
      <c r="B10" s="1" t="n">
        <v>0</v>
      </c>
      <c r="C10" s="1" t="n">
        <f aca="false">B10*$K$1</f>
        <v>0</v>
      </c>
      <c r="D10" s="1" t="n">
        <v>0</v>
      </c>
      <c r="E10" s="1" t="n">
        <f aca="false">D10*$K$1</f>
        <v>0</v>
      </c>
      <c r="F10" s="2" t="n">
        <v>1.5</v>
      </c>
      <c r="G10" s="0" t="n">
        <f aca="false">B10*F10+5</f>
        <v>5</v>
      </c>
      <c r="H10" s="3" t="n">
        <v>0</v>
      </c>
      <c r="I10" s="3" t="n">
        <v>0</v>
      </c>
      <c r="J10" s="4" t="n">
        <v>5</v>
      </c>
    </row>
    <row r="11" customFormat="false" ht="15" hidden="false" customHeight="false" outlineLevel="0" collapsed="false">
      <c r="A11" s="0" t="n">
        <f aca="false">A10+1</f>
        <v>9</v>
      </c>
      <c r="B11" s="1" t="n">
        <v>0</v>
      </c>
      <c r="C11" s="1" t="n">
        <f aca="false">B11*$K$1</f>
        <v>0</v>
      </c>
      <c r="D11" s="1" t="n">
        <v>0</v>
      </c>
      <c r="E11" s="1" t="n">
        <f aca="false">D11*$K$1</f>
        <v>0</v>
      </c>
      <c r="F11" s="2" t="n">
        <v>1.5</v>
      </c>
      <c r="G11" s="0" t="n">
        <f aca="false">B11*F11+5</f>
        <v>5</v>
      </c>
      <c r="H11" s="3" t="n">
        <v>0</v>
      </c>
      <c r="I11" s="3" t="n">
        <v>0</v>
      </c>
      <c r="J11" s="4" t="n">
        <v>5</v>
      </c>
    </row>
    <row r="12" customFormat="false" ht="15" hidden="false" customHeight="false" outlineLevel="0" collapsed="false">
      <c r="A12" s="0" t="n">
        <f aca="false">A11+1</f>
        <v>10</v>
      </c>
      <c r="B12" s="1" t="n">
        <v>0</v>
      </c>
      <c r="C12" s="1" t="n">
        <f aca="false">B12*$K$1</f>
        <v>0</v>
      </c>
      <c r="D12" s="1" t="n">
        <v>0</v>
      </c>
      <c r="E12" s="1" t="n">
        <f aca="false">D12*$K$1</f>
        <v>0</v>
      </c>
      <c r="F12" s="2" t="n">
        <v>1.5</v>
      </c>
      <c r="G12" s="0" t="n">
        <f aca="false">B12*F12+5</f>
        <v>5</v>
      </c>
      <c r="H12" s="3" t="n">
        <v>0</v>
      </c>
      <c r="I12" s="3" t="n">
        <v>0</v>
      </c>
      <c r="J12" s="4" t="n">
        <v>5</v>
      </c>
    </row>
    <row r="13" customFormat="false" ht="15" hidden="false" customHeight="false" outlineLevel="0" collapsed="false">
      <c r="A13" s="0" t="n">
        <f aca="false">A12+1</f>
        <v>11</v>
      </c>
      <c r="B13" s="1" t="n">
        <f aca="false">B12+H13*1</f>
        <v>0.89408</v>
      </c>
      <c r="C13" s="1" t="n">
        <f aca="false">B13*$K$1</f>
        <v>2.00005696</v>
      </c>
      <c r="D13" s="1" t="n">
        <v>0.0685461333333333</v>
      </c>
      <c r="E13" s="1" t="n">
        <f aca="false">D13*$K$1</f>
        <v>0.153337700266667</v>
      </c>
      <c r="F13" s="2" t="n">
        <v>1.5</v>
      </c>
      <c r="G13" s="0" t="n">
        <f aca="false">B13*F13+5</f>
        <v>6.34112</v>
      </c>
      <c r="H13" s="3" t="n">
        <v>0.89408</v>
      </c>
      <c r="I13" s="3" t="n">
        <v>0</v>
      </c>
      <c r="J13" s="4" t="n">
        <v>5.43213866666667</v>
      </c>
    </row>
    <row r="14" customFormat="false" ht="15" hidden="false" customHeight="false" outlineLevel="0" collapsed="false">
      <c r="A14" s="0" t="n">
        <f aca="false">A13+1</f>
        <v>12</v>
      </c>
      <c r="B14" s="1" t="n">
        <f aca="false">B13+H14*1</f>
        <v>1.78816</v>
      </c>
      <c r="C14" s="1" t="n">
        <f aca="false">B14*$K$1</f>
        <v>4.00011392</v>
      </c>
      <c r="D14" s="1" t="n">
        <v>0.326382910577778</v>
      </c>
      <c r="E14" s="1" t="n">
        <f aca="false">D14*$K$1</f>
        <v>0.730118570962489</v>
      </c>
      <c r="F14" s="2" t="n">
        <v>1.5</v>
      </c>
      <c r="G14" s="0" t="n">
        <f aca="false">B14*F14+5</f>
        <v>7.68224</v>
      </c>
      <c r="H14" s="3" t="n">
        <v>0.89408</v>
      </c>
      <c r="I14" s="3" t="n">
        <v>0</v>
      </c>
      <c r="J14" s="4" t="n">
        <v>6.59797924977778</v>
      </c>
    </row>
    <row r="15" customFormat="false" ht="15" hidden="false" customHeight="false" outlineLevel="0" collapsed="false">
      <c r="A15" s="0" t="n">
        <f aca="false">A14+1</f>
        <v>13</v>
      </c>
      <c r="B15" s="1" t="n">
        <f aca="false">B14+H15*1</f>
        <v>2.68224</v>
      </c>
      <c r="C15" s="1" t="n">
        <f aca="false">B15*$K$1</f>
        <v>6.00017088</v>
      </c>
      <c r="D15" s="1" t="n">
        <v>0.81345094900243</v>
      </c>
      <c r="E15" s="1" t="n">
        <f aca="false">D15*$K$1</f>
        <v>1.81968977291844</v>
      </c>
      <c r="F15" s="2" t="n">
        <v>1.5</v>
      </c>
      <c r="G15" s="0" t="n">
        <f aca="false">B15*F15+5</f>
        <v>9.02336</v>
      </c>
      <c r="H15" s="3" t="n">
        <v>0.89408</v>
      </c>
      <c r="I15" s="3" t="n">
        <v>0</v>
      </c>
      <c r="J15" s="4" t="n">
        <v>8.28376367240533</v>
      </c>
    </row>
    <row r="16" customFormat="false" ht="15" hidden="false" customHeight="false" outlineLevel="0" collapsed="false">
      <c r="A16" s="0" t="n">
        <f aca="false">A15+1</f>
        <v>14</v>
      </c>
      <c r="B16" s="1" t="n">
        <f aca="false">B15+H16*1</f>
        <v>3.57632</v>
      </c>
      <c r="C16" s="1" t="n">
        <f aca="false">B16*$K$1</f>
        <v>8.00022784</v>
      </c>
      <c r="D16" s="1" t="n">
        <v>1.51963857496043</v>
      </c>
      <c r="E16" s="1" t="n">
        <f aca="false">D16*$K$1</f>
        <v>3.39943149218648</v>
      </c>
      <c r="F16" s="2" t="n">
        <v>1.5</v>
      </c>
      <c r="G16" s="0" t="n">
        <f aca="false">B16*F16+5</f>
        <v>10.36448</v>
      </c>
      <c r="H16" s="3" t="n">
        <v>0.89408</v>
      </c>
      <c r="I16" s="3" t="n">
        <v>0</v>
      </c>
      <c r="J16" s="4" t="n">
        <v>10.2625733345883</v>
      </c>
    </row>
    <row r="17" customFormat="false" ht="15" hidden="false" customHeight="false" outlineLevel="0" collapsed="false">
      <c r="A17" s="0" t="n">
        <f aca="false">A16+1</f>
        <v>15</v>
      </c>
      <c r="B17" s="1" t="n">
        <f aca="false">B16+H17*1</f>
        <v>4.4704</v>
      </c>
      <c r="C17" s="1" t="n">
        <f aca="false">B17*$K$1</f>
        <v>10.0002848</v>
      </c>
      <c r="D17" s="1" t="n">
        <v>2.40291481309776</v>
      </c>
      <c r="E17" s="1" t="n">
        <f aca="false">D17*$K$1</f>
        <v>5.37532043689969</v>
      </c>
      <c r="F17" s="2" t="n">
        <v>1.5</v>
      </c>
      <c r="G17" s="0" t="n">
        <f aca="false">B17*F17+5</f>
        <v>11.7056</v>
      </c>
      <c r="H17" s="3" t="n">
        <v>0.89408</v>
      </c>
      <c r="I17" s="3" t="n">
        <v>0</v>
      </c>
      <c r="J17" s="4" t="n">
        <v>12.3351778427887</v>
      </c>
    </row>
    <row r="18" customFormat="false" ht="15" hidden="false" customHeight="false" outlineLevel="0" collapsed="false">
      <c r="A18" s="0" t="n">
        <f aca="false">A17+1</f>
        <v>16</v>
      </c>
      <c r="B18" s="1" t="n">
        <f aca="false">B17+H18*1</f>
        <v>5.36448</v>
      </c>
      <c r="C18" s="1" t="n">
        <f aca="false">B18*$K$1</f>
        <v>12.00034176</v>
      </c>
      <c r="D18" s="1" t="n">
        <v>3.40661797966207</v>
      </c>
      <c r="E18" s="1" t="n">
        <f aca="false">D18*$K$1</f>
        <v>7.62060442050405</v>
      </c>
      <c r="F18" s="2" t="n">
        <v>1.5</v>
      </c>
      <c r="G18" s="0" t="n">
        <f aca="false">B18*F18+5</f>
        <v>13.04672</v>
      </c>
      <c r="H18" s="3" t="n">
        <v>0.89408</v>
      </c>
      <c r="I18" s="3" t="n">
        <v>0</v>
      </c>
      <c r="J18" s="4" t="n">
        <v>14.3529580113561</v>
      </c>
    </row>
    <row r="19" customFormat="false" ht="15" hidden="false" customHeight="false" outlineLevel="0" collapsed="false">
      <c r="A19" s="0" t="n">
        <f aca="false">A18+1</f>
        <v>17</v>
      </c>
      <c r="B19" s="1" t="n">
        <f aca="false">B18+H19*1</f>
        <v>6.25856</v>
      </c>
      <c r="C19" s="1" t="n">
        <f aca="false">B19*$K$1</f>
        <v>14.00039872</v>
      </c>
      <c r="D19" s="1" t="n">
        <v>4.4733968003471</v>
      </c>
      <c r="E19" s="1" t="n">
        <f aca="false">D19*$K$1</f>
        <v>10.0069886423765</v>
      </c>
      <c r="F19" s="2" t="n">
        <v>1.5</v>
      </c>
      <c r="G19" s="0" t="n">
        <f aca="false">B19*F19+5</f>
        <v>14.38784</v>
      </c>
      <c r="H19" s="3" t="n">
        <v>0.89408</v>
      </c>
      <c r="I19" s="3" t="n">
        <v>0</v>
      </c>
      <c r="J19" s="4" t="n">
        <v>16.2251265865067</v>
      </c>
    </row>
    <row r="20" customFormat="false" ht="15" hidden="false" customHeight="false" outlineLevel="0" collapsed="false">
      <c r="A20" s="0" t="n">
        <f aca="false">A19+1</f>
        <v>18</v>
      </c>
      <c r="B20" s="1" t="n">
        <f aca="false">B19+H20*1</f>
        <v>7.15264</v>
      </c>
      <c r="C20" s="1" t="n">
        <f aca="false">B20*$K$1</f>
        <v>16.00045568</v>
      </c>
      <c r="D20" s="1" t="n">
        <v>5.5546650047326</v>
      </c>
      <c r="E20" s="1" t="n">
        <f aca="false">D20*$K$1</f>
        <v>12.4257856155868</v>
      </c>
      <c r="F20" s="2" t="n">
        <v>1.5</v>
      </c>
      <c r="G20" s="0" t="n">
        <f aca="false">B20*F20+5</f>
        <v>15.72896</v>
      </c>
      <c r="H20" s="3" t="n">
        <v>0.89408</v>
      </c>
      <c r="I20" s="3" t="n">
        <v>0</v>
      </c>
      <c r="J20" s="4" t="n">
        <v>17.9142632207341</v>
      </c>
    </row>
    <row r="21" customFormat="false" ht="15" hidden="false" customHeight="false" outlineLevel="0" collapsed="false">
      <c r="A21" s="0" t="n">
        <f aca="false">A20+1</f>
        <v>19</v>
      </c>
      <c r="B21" s="1" t="n">
        <f aca="false">B20+H21*1</f>
        <v>8.04672</v>
      </c>
      <c r="C21" s="1" t="n">
        <f aca="false">B21*$K$1</f>
        <v>18.00051264</v>
      </c>
      <c r="D21" s="1" t="n">
        <v>6.61552781384377</v>
      </c>
      <c r="E21" s="1" t="n">
        <f aca="false">D21*$K$1</f>
        <v>14.7989357195685</v>
      </c>
      <c r="F21" s="2" t="n">
        <v>1.5</v>
      </c>
      <c r="G21" s="0" t="n">
        <f aca="false">B21*F21+5</f>
        <v>17.07008</v>
      </c>
      <c r="H21" s="3" t="n">
        <v>0.89408</v>
      </c>
      <c r="I21" s="3" t="n">
        <v>0</v>
      </c>
      <c r="J21" s="4" t="n">
        <v>19.4247357711826</v>
      </c>
    </row>
    <row r="22" customFormat="false" ht="15" hidden="false" customHeight="false" outlineLevel="0" collapsed="false">
      <c r="A22" s="0" t="n">
        <f aca="false">A21+1</f>
        <v>20</v>
      </c>
      <c r="B22" s="1" t="n">
        <f aca="false">B21+H22*1</f>
        <v>8.9408</v>
      </c>
      <c r="C22" s="1" t="n">
        <f aca="false">B22*$K$1</f>
        <v>20.0005696</v>
      </c>
      <c r="D22" s="1" t="n">
        <v>7.63588097274519</v>
      </c>
      <c r="E22" s="1" t="n">
        <f aca="false">D22*$K$1</f>
        <v>17.081465736031</v>
      </c>
      <c r="F22" s="2" t="n">
        <v>1.5</v>
      </c>
      <c r="G22" s="0" t="n">
        <f aca="false">B22*F22+5</f>
        <v>18.4112</v>
      </c>
      <c r="H22" s="3" t="n">
        <v>0.89408</v>
      </c>
      <c r="I22" s="3" t="n">
        <v>0</v>
      </c>
      <c r="J22" s="4" t="n">
        <v>20.7882167386974</v>
      </c>
    </row>
    <row r="23" customFormat="false" ht="15" hidden="false" customHeight="false" outlineLevel="0" collapsed="false">
      <c r="A23" s="0" t="n">
        <f aca="false">A22+1</f>
        <v>21</v>
      </c>
      <c r="B23" s="1" t="n">
        <f aca="false">B22+H23*1</f>
        <v>8.9408</v>
      </c>
      <c r="C23" s="1" t="n">
        <f aca="false">B23*$K$1</f>
        <v>20.0005696</v>
      </c>
      <c r="D23" s="1" t="n">
        <v>8.54022158229612</v>
      </c>
      <c r="E23" s="1" t="n">
        <f aca="false">D23*$K$1</f>
        <v>19.1044756795964</v>
      </c>
      <c r="F23" s="2" t="n">
        <v>1.5</v>
      </c>
      <c r="G23" s="0" t="n">
        <f aca="false">B23*F23+5</f>
        <v>18.4112</v>
      </c>
      <c r="H23" s="3" t="n">
        <v>0</v>
      </c>
      <c r="I23" s="3" t="n">
        <v>0</v>
      </c>
      <c r="J23" s="4" t="n">
        <v>21.6174443829657</v>
      </c>
    </row>
    <row r="24" customFormat="false" ht="15" hidden="false" customHeight="false" outlineLevel="0" collapsed="false">
      <c r="A24" s="0" t="n">
        <f aca="false">A23+1</f>
        <v>22</v>
      </c>
      <c r="B24" s="1" t="n">
        <f aca="false">B23+H24*1</f>
        <v>8.9408</v>
      </c>
      <c r="C24" s="1" t="n">
        <f aca="false">B24*$K$1</f>
        <v>20.0005696</v>
      </c>
      <c r="D24" s="1" t="n">
        <v>9.21077937181238</v>
      </c>
      <c r="E24" s="1" t="n">
        <f aca="false">D24*$K$1</f>
        <v>20.6045134547443</v>
      </c>
      <c r="F24" s="2" t="n">
        <v>1.5</v>
      </c>
      <c r="G24" s="0" t="n">
        <f aca="false">B24*F24+5</f>
        <v>18.4112</v>
      </c>
      <c r="H24" s="3" t="n">
        <v>0</v>
      </c>
      <c r="I24" s="3" t="n">
        <v>0</v>
      </c>
      <c r="J24" s="4" t="n">
        <v>21.6573620811538</v>
      </c>
    </row>
    <row r="25" customFormat="false" ht="15" hidden="false" customHeight="false" outlineLevel="0" collapsed="false">
      <c r="A25" s="0" t="n">
        <f aca="false">A24+1</f>
        <v>23</v>
      </c>
      <c r="B25" s="1" t="n">
        <f aca="false">B24+H25*1</f>
        <v>8.9408</v>
      </c>
      <c r="C25" s="1" t="n">
        <f aca="false">B25*$K$1</f>
        <v>20.0005696</v>
      </c>
      <c r="D25" s="1" t="n">
        <v>9.61676542247658</v>
      </c>
      <c r="E25" s="1" t="n">
        <f aca="false">D25*$K$1</f>
        <v>21.5127042500801</v>
      </c>
      <c r="F25" s="2" t="n">
        <v>1.5</v>
      </c>
      <c r="G25" s="0" t="n">
        <f aca="false">B25*F25+5</f>
        <v>18.4112</v>
      </c>
      <c r="H25" s="3" t="n">
        <v>0</v>
      </c>
      <c r="I25" s="3" t="n">
        <v>0</v>
      </c>
      <c r="J25" s="4" t="n">
        <v>21.1618443991493</v>
      </c>
    </row>
    <row r="26" customFormat="false" ht="15" hidden="false" customHeight="false" outlineLevel="0" collapsed="false">
      <c r="A26" s="0" t="n">
        <f aca="false">A25+1</f>
        <v>24</v>
      </c>
      <c r="B26" s="1" t="n">
        <f aca="false">B25+H26*1</f>
        <v>8.9408</v>
      </c>
      <c r="C26" s="1" t="n">
        <f aca="false">B26*$K$1</f>
        <v>20.0005696</v>
      </c>
      <c r="D26" s="1" t="n">
        <v>9.7801109697944</v>
      </c>
      <c r="E26" s="1" t="n">
        <f aca="false">D26*$K$1</f>
        <v>21.8781082394301</v>
      </c>
      <c r="F26" s="2" t="n">
        <v>1.5</v>
      </c>
      <c r="G26" s="0" t="n">
        <f aca="false">B26*F26+5</f>
        <v>18.4112</v>
      </c>
      <c r="H26" s="3" t="n">
        <v>0</v>
      </c>
      <c r="I26" s="3" t="n">
        <v>0</v>
      </c>
      <c r="J26" s="4" t="n">
        <v>20.3871893160583</v>
      </c>
    </row>
    <row r="27" customFormat="false" ht="15" hidden="false" customHeight="false" outlineLevel="0" collapsed="false">
      <c r="A27" s="0" t="n">
        <f aca="false">A26+1</f>
        <v>25</v>
      </c>
      <c r="B27" s="1" t="n">
        <f aca="false">B26+H27*1</f>
        <v>8.9408</v>
      </c>
      <c r="C27" s="1" t="n">
        <f aca="false">B27*$K$1</f>
        <v>20.0005696</v>
      </c>
      <c r="D27" s="1" t="n">
        <v>9.75455297614537</v>
      </c>
      <c r="E27" s="1" t="n">
        <f aca="false">D27*$K$1</f>
        <v>21.8209350076372</v>
      </c>
      <c r="F27" s="2" t="n">
        <v>1.5</v>
      </c>
      <c r="G27" s="0" t="n">
        <f aca="false">B27*F27+5</f>
        <v>18.4112</v>
      </c>
      <c r="H27" s="3" t="n">
        <v>0</v>
      </c>
      <c r="I27" s="3" t="n">
        <v>0</v>
      </c>
      <c r="J27" s="4" t="n">
        <v>19.5500835392963</v>
      </c>
    </row>
    <row r="28" customFormat="false" ht="15" hidden="false" customHeight="false" outlineLevel="0" collapsed="false">
      <c r="A28" s="0" t="n">
        <f aca="false">A27+1</f>
        <v>26</v>
      </c>
      <c r="B28" s="1" t="n">
        <f aca="false">B27+H28*1</f>
        <v>8.9408</v>
      </c>
      <c r="C28" s="1" t="n">
        <f aca="false">B28*$K$1</f>
        <v>20.0005696</v>
      </c>
      <c r="D28" s="1" t="n">
        <v>9.60649962868433</v>
      </c>
      <c r="E28" s="1" t="n">
        <f aca="false">D28*$K$1</f>
        <v>21.4897396693668</v>
      </c>
      <c r="F28" s="2" t="n">
        <v>1.5</v>
      </c>
      <c r="G28" s="0" t="n">
        <f aca="false">B28*F28+5</f>
        <v>18.4112</v>
      </c>
      <c r="H28" s="3" t="n">
        <v>0</v>
      </c>
      <c r="I28" s="3" t="n">
        <v>0</v>
      </c>
      <c r="J28" s="4" t="n">
        <v>18.8058029381486</v>
      </c>
    </row>
    <row r="29" customFormat="false" ht="15" hidden="false" customHeight="false" outlineLevel="0" collapsed="false">
      <c r="A29" s="0" t="n">
        <f aca="false">A28+1</f>
        <v>27</v>
      </c>
      <c r="B29" s="1" t="n">
        <f aca="false">B28+H29*1</f>
        <v>8.9408</v>
      </c>
      <c r="C29" s="1" t="n">
        <f aca="false">B29*$K$1</f>
        <v>20.0005696</v>
      </c>
      <c r="D29" s="1" t="n">
        <v>9.40016731154878</v>
      </c>
      <c r="E29" s="1" t="n">
        <f aca="false">D29*$K$1</f>
        <v>21.0281742759346</v>
      </c>
      <c r="F29" s="2" t="n">
        <v>1.5</v>
      </c>
      <c r="G29" s="0" t="n">
        <f aca="false">B29*F29+5</f>
        <v>18.4112</v>
      </c>
      <c r="H29" s="3" t="n">
        <v>0</v>
      </c>
      <c r="I29" s="3" t="n">
        <v>0</v>
      </c>
      <c r="J29" s="4" t="n">
        <v>18.2434823114195</v>
      </c>
    </row>
    <row r="30" customFormat="false" ht="15" hidden="false" customHeight="false" outlineLevel="0" collapsed="false">
      <c r="A30" s="0" t="n">
        <f aca="false">A29+1</f>
        <v>28</v>
      </c>
      <c r="B30" s="1" t="n">
        <f aca="false">B29+H30*1</f>
        <v>8.9408</v>
      </c>
      <c r="C30" s="1" t="n">
        <f aca="false">B30*$K$1</f>
        <v>20.0005696</v>
      </c>
      <c r="D30" s="1" t="n">
        <v>9.18797171109497</v>
      </c>
      <c r="E30" s="1" t="n">
        <f aca="false">D30*$K$1</f>
        <v>20.5534927177194</v>
      </c>
      <c r="F30" s="2" t="n">
        <v>1.5</v>
      </c>
      <c r="G30" s="0" t="n">
        <f aca="false">B30*F30+5</f>
        <v>18.4112</v>
      </c>
      <c r="H30" s="3" t="n">
        <v>0</v>
      </c>
      <c r="I30" s="3" t="n">
        <v>0</v>
      </c>
      <c r="J30" s="4" t="n">
        <v>17.8935864439345</v>
      </c>
    </row>
    <row r="31" customFormat="false" ht="15" hidden="false" customHeight="false" outlineLevel="0" collapsed="false">
      <c r="A31" s="0" t="n">
        <f aca="false">A30+1</f>
        <v>29</v>
      </c>
      <c r="B31" s="1" t="n">
        <f aca="false">B30+H31*1</f>
        <v>8.9408</v>
      </c>
      <c r="C31" s="1" t="n">
        <f aca="false">B31*$K$1</f>
        <v>20.0005696</v>
      </c>
      <c r="D31" s="1" t="n">
        <v>9.0059863222502</v>
      </c>
      <c r="E31" s="1" t="n">
        <f aca="false">D31*$K$1</f>
        <v>20.1463914028737</v>
      </c>
      <c r="F31" s="2" t="n">
        <v>1.5</v>
      </c>
      <c r="G31" s="0" t="n">
        <f aca="false">B31*F31+5</f>
        <v>18.4112</v>
      </c>
      <c r="H31" s="3" t="n">
        <v>0</v>
      </c>
      <c r="I31" s="3" t="n">
        <v>0</v>
      </c>
      <c r="J31" s="4" t="n">
        <v>17.7423567279915</v>
      </c>
    </row>
    <row r="32" customFormat="false" ht="15" hidden="false" customHeight="false" outlineLevel="0" collapsed="false">
      <c r="A32" s="0" t="n">
        <f aca="false">A31+1</f>
        <v>30</v>
      </c>
      <c r="B32" s="1" t="n">
        <f aca="false">B31+H32*1</f>
        <v>8.9408</v>
      </c>
      <c r="C32" s="1" t="n">
        <f aca="false">B32*$K$1</f>
        <v>20.0005696</v>
      </c>
      <c r="D32" s="1" t="n">
        <v>8.8735279155691</v>
      </c>
      <c r="E32" s="1" t="n">
        <f aca="false">D32*$K$1</f>
        <v>19.8500819471281</v>
      </c>
      <c r="F32" s="2" t="n">
        <v>1.5</v>
      </c>
      <c r="G32" s="0" t="n">
        <f aca="false">B32*F32+5</f>
        <v>18.4112</v>
      </c>
      <c r="H32" s="3" t="n">
        <v>0</v>
      </c>
      <c r="I32" s="3" t="n">
        <v>0</v>
      </c>
      <c r="J32" s="4" t="n">
        <v>17.7486086625804</v>
      </c>
    </row>
    <row r="33" customFormat="false" ht="15" hidden="false" customHeight="false" outlineLevel="0" collapsed="false">
      <c r="A33" s="0" t="n">
        <f aca="false">A32+1</f>
        <v>31</v>
      </c>
      <c r="B33" s="1" t="n">
        <f aca="false">B32+H33*1</f>
        <v>8.9408</v>
      </c>
      <c r="C33" s="1" t="n">
        <f aca="false">B33*$K$1</f>
        <v>20.0005696</v>
      </c>
      <c r="D33" s="1" t="n">
        <v>8.79557467880861</v>
      </c>
      <c r="E33" s="1" t="n">
        <f aca="false">D33*$K$1</f>
        <v>19.6757005564949</v>
      </c>
      <c r="F33" s="2" t="n">
        <v>1.5</v>
      </c>
      <c r="G33" s="0" t="n">
        <f aca="false">B33*F33+5</f>
        <v>18.4112</v>
      </c>
      <c r="H33" s="3" t="n">
        <v>0</v>
      </c>
      <c r="I33" s="3" t="n">
        <v>0</v>
      </c>
      <c r="J33" s="4" t="n">
        <v>17.8594024321386</v>
      </c>
    </row>
    <row r="34" customFormat="false" ht="15" hidden="false" customHeight="false" outlineLevel="0" collapsed="false">
      <c r="A34" s="0" t="n">
        <f aca="false">A33+1</f>
        <v>32</v>
      </c>
      <c r="B34" s="1" t="n">
        <f aca="false">B33+H34*1</f>
        <v>8.9408</v>
      </c>
      <c r="C34" s="1" t="n">
        <f aca="false">B34*$K$1</f>
        <v>20.0005696</v>
      </c>
      <c r="D34" s="1" t="n">
        <v>8.76669382780258</v>
      </c>
      <c r="E34" s="1" t="n">
        <f aca="false">D34*$K$1</f>
        <v>19.6110940927944</v>
      </c>
      <c r="F34" s="2" t="n">
        <v>1.5</v>
      </c>
      <c r="G34" s="0" t="n">
        <f aca="false">B34*F34+5</f>
        <v>18.4112</v>
      </c>
      <c r="H34" s="3" t="n">
        <v>0</v>
      </c>
      <c r="I34" s="3" t="n">
        <v>0</v>
      </c>
      <c r="J34" s="4" t="n">
        <v>18.0224369761651</v>
      </c>
    </row>
    <row r="35" customFormat="false" ht="15" hidden="false" customHeight="false" outlineLevel="0" collapsed="false">
      <c r="A35" s="0" t="n">
        <f aca="false">A34+1</f>
        <v>33</v>
      </c>
      <c r="B35" s="1" t="n">
        <f aca="false">B34+H35*1</f>
        <v>8.9408</v>
      </c>
      <c r="C35" s="1" t="n">
        <f aca="false">B35*$K$1</f>
        <v>20.0005696</v>
      </c>
      <c r="D35" s="1" t="n">
        <v>8.7753489882552</v>
      </c>
      <c r="E35" s="1" t="n">
        <f aca="false">D35*$K$1</f>
        <v>19.6304556867269</v>
      </c>
      <c r="F35" s="2" t="n">
        <v>1.5</v>
      </c>
      <c r="G35" s="0" t="n">
        <f aca="false">B35*F35+5</f>
        <v>18.4112</v>
      </c>
      <c r="H35" s="3" t="n">
        <v>0</v>
      </c>
      <c r="I35" s="3" t="n">
        <v>0</v>
      </c>
      <c r="J35" s="4" t="n">
        <v>18.1942540015074</v>
      </c>
    </row>
    <row r="36" customFormat="false" ht="15" hidden="false" customHeight="false" outlineLevel="0" collapsed="false">
      <c r="A36" s="0" t="n">
        <f aca="false">A35+1</f>
        <v>34</v>
      </c>
      <c r="B36" s="1" t="n">
        <f aca="false">B35+H36*1</f>
        <v>8.9408</v>
      </c>
      <c r="C36" s="1" t="n">
        <f aca="false">B36*$K$1</f>
        <v>20.0005696</v>
      </c>
      <c r="D36" s="1" t="n">
        <v>8.8077690985726</v>
      </c>
      <c r="E36" s="1" t="n">
        <f aca="false">D36*$K$1</f>
        <v>19.7029794735069</v>
      </c>
      <c r="F36" s="2" t="n">
        <v>1.5</v>
      </c>
      <c r="G36" s="0" t="n">
        <f aca="false">B36*F36+5</f>
        <v>18.4112</v>
      </c>
      <c r="H36" s="3" t="n">
        <v>0</v>
      </c>
      <c r="I36" s="3" t="n">
        <v>0</v>
      </c>
      <c r="J36" s="4" t="n">
        <v>18.3443137906943</v>
      </c>
    </row>
    <row r="37" customFormat="false" ht="15" hidden="false" customHeight="false" outlineLevel="0" collapsed="false">
      <c r="A37" s="0" t="n">
        <f aca="false">A36+1</f>
        <v>35</v>
      </c>
      <c r="B37" s="1" t="n">
        <f aca="false">B36+H37*1</f>
        <v>8.9408</v>
      </c>
      <c r="C37" s="1" t="n">
        <f aca="false">B37*$K$1</f>
        <v>20.0005696</v>
      </c>
      <c r="D37" s="1" t="n">
        <v>8.85090097087277</v>
      </c>
      <c r="E37" s="1" t="n">
        <f aca="false">D37*$K$1</f>
        <v>19.7994654718424</v>
      </c>
      <c r="F37" s="2" t="n">
        <v>1.5</v>
      </c>
      <c r="G37" s="0" t="n">
        <f aca="false">B37*F37+5</f>
        <v>18.4112</v>
      </c>
      <c r="H37" s="3" t="n">
        <v>0</v>
      </c>
      <c r="I37" s="3" t="n">
        <v>0</v>
      </c>
      <c r="J37" s="4" t="n">
        <v>18.4556484439665</v>
      </c>
    </row>
    <row r="38" customFormat="false" ht="15" hidden="false" customHeight="false" outlineLevel="0" collapsed="false">
      <c r="A38" s="0" t="n">
        <f aca="false">A37+1</f>
        <v>36</v>
      </c>
      <c r="B38" s="1" t="n">
        <f aca="false">B37+H38*1</f>
        <v>9.83488</v>
      </c>
      <c r="C38" s="1" t="n">
        <f aca="false">B38*$K$1</f>
        <v>22.00062656</v>
      </c>
      <c r="D38" s="1" t="n">
        <v>8.96281879841619</v>
      </c>
      <c r="E38" s="1" t="n">
        <f aca="false">D38*$K$1</f>
        <v>20.049825652057</v>
      </c>
      <c r="F38" s="2" t="n">
        <v>1.5</v>
      </c>
      <c r="G38" s="0" t="n">
        <f aca="false">B38*F38+5</f>
        <v>19.75232</v>
      </c>
      <c r="H38" s="3" t="n">
        <v>0.89408</v>
      </c>
      <c r="I38" s="3" t="n">
        <v>0</v>
      </c>
      <c r="J38" s="4" t="n">
        <v>18.955254808597</v>
      </c>
    </row>
    <row r="39" customFormat="false" ht="15" hidden="false" customHeight="false" outlineLevel="0" collapsed="false">
      <c r="A39" s="0" t="n">
        <f aca="false">A38+1</f>
        <v>37</v>
      </c>
      <c r="B39" s="1" t="n">
        <f aca="false">B38+H39*1</f>
        <v>10.72896</v>
      </c>
      <c r="C39" s="1" t="n">
        <f aca="false">B39*$K$1</f>
        <v>24.00068352</v>
      </c>
      <c r="D39" s="1" t="n">
        <v>9.25720998015344</v>
      </c>
      <c r="E39" s="1" t="n">
        <f aca="false">D39*$K$1</f>
        <v>20.7083787256032</v>
      </c>
      <c r="F39" s="2" t="n">
        <v>1.5</v>
      </c>
      <c r="G39" s="0" t="n">
        <f aca="false">B39*F39+5</f>
        <v>21.09344</v>
      </c>
      <c r="H39" s="3" t="n">
        <v>0.89408</v>
      </c>
      <c r="I39" s="3" t="n">
        <v>0</v>
      </c>
      <c r="J39" s="4" t="n">
        <v>20.1483076784418</v>
      </c>
    </row>
    <row r="40" customFormat="false" ht="15" hidden="false" customHeight="false" outlineLevel="0" collapsed="false">
      <c r="A40" s="0" t="n">
        <f aca="false">A39+1</f>
        <v>38</v>
      </c>
      <c r="B40" s="1" t="n">
        <f aca="false">B39+H40*1</f>
        <v>11.62304</v>
      </c>
      <c r="C40" s="1" t="n">
        <f aca="false">B40*$K$1</f>
        <v>26.00074048</v>
      </c>
      <c r="D40" s="1" t="n">
        <v>9.77038212648422</v>
      </c>
      <c r="E40" s="1" t="n">
        <f aca="false">D40*$K$1</f>
        <v>21.8563448169452</v>
      </c>
      <c r="F40" s="2" t="n">
        <v>1.5</v>
      </c>
      <c r="G40" s="0" t="n">
        <f aca="false">B40*F40+5</f>
        <v>22.43456</v>
      </c>
      <c r="H40" s="3" t="n">
        <v>0.89408</v>
      </c>
      <c r="I40" s="3" t="n">
        <v>0</v>
      </c>
      <c r="J40" s="4" t="n">
        <v>21.8299461620551</v>
      </c>
    </row>
    <row r="41" customFormat="false" ht="15" hidden="false" customHeight="false" outlineLevel="0" collapsed="false">
      <c r="A41" s="0" t="n">
        <f aca="false">A40+1</f>
        <v>39</v>
      </c>
      <c r="B41" s="1" t="n">
        <f aca="false">B40+H41*1</f>
        <v>12.51712</v>
      </c>
      <c r="C41" s="1" t="n">
        <f aca="false">B41*$K$1</f>
        <v>28.00079744</v>
      </c>
      <c r="D41" s="1" t="n">
        <v>10.4914699784307</v>
      </c>
      <c r="E41" s="1" t="n">
        <f aca="false">D41*$K$1</f>
        <v>23.4694183417495</v>
      </c>
      <c r="F41" s="2" t="n">
        <v>1.5</v>
      </c>
      <c r="G41" s="0" t="n">
        <f aca="false">B41*F41+5</f>
        <v>23.77568</v>
      </c>
      <c r="H41" s="3" t="n">
        <v>0.89408</v>
      </c>
      <c r="I41" s="3" t="n">
        <v>0</v>
      </c>
      <c r="J41" s="4" t="n">
        <v>23.7842599409995</v>
      </c>
    </row>
    <row r="42" customFormat="false" ht="15" hidden="false" customHeight="false" outlineLevel="0" collapsed="false">
      <c r="A42" s="0" t="n">
        <f aca="false">A41+1</f>
        <v>40</v>
      </c>
      <c r="B42" s="1" t="n">
        <f aca="false">B41+H42*1</f>
        <v>13.4112</v>
      </c>
      <c r="C42" s="1" t="n">
        <f aca="false">B42*$K$1</f>
        <v>30.0008544</v>
      </c>
      <c r="D42" s="1" t="n">
        <v>11.3797400711166</v>
      </c>
      <c r="E42" s="1" t="n">
        <f aca="false">D42*$K$1</f>
        <v>25.4564785390878</v>
      </c>
      <c r="F42" s="2" t="n">
        <v>1.5</v>
      </c>
      <c r="G42" s="0" t="n">
        <f aca="false">B42*F42+5</f>
        <v>25.1168</v>
      </c>
      <c r="H42" s="3" t="n">
        <v>0.89408</v>
      </c>
      <c r="I42" s="3" t="n">
        <v>0</v>
      </c>
      <c r="J42" s="4" t="n">
        <v>25.8226706965579</v>
      </c>
    </row>
    <row r="43" customFormat="false" ht="15" hidden="false" customHeight="false" outlineLevel="0" collapsed="false">
      <c r="A43" s="0" t="n">
        <f aca="false">A42+1</f>
        <v>41</v>
      </c>
      <c r="B43" s="1" t="n">
        <f aca="false">B42+H43*1</f>
        <v>14.30528</v>
      </c>
      <c r="C43" s="1" t="n">
        <f aca="false">B43*$K$1</f>
        <v>32.00091136</v>
      </c>
      <c r="D43" s="1" t="n">
        <v>12.3809941662393</v>
      </c>
      <c r="E43" s="1" t="n">
        <f aca="false">D43*$K$1</f>
        <v>27.6962839498773</v>
      </c>
      <c r="F43" s="2" t="n">
        <v>1.5</v>
      </c>
      <c r="G43" s="0" t="n">
        <f aca="false">B43*F43+5</f>
        <v>26.45792</v>
      </c>
      <c r="H43" s="3" t="n">
        <v>0.89408</v>
      </c>
      <c r="I43" s="3" t="n">
        <v>0</v>
      </c>
      <c r="J43" s="4" t="n">
        <v>27.8052587797704</v>
      </c>
    </row>
    <row r="44" customFormat="false" ht="15" hidden="false" customHeight="false" outlineLevel="0" collapsed="false">
      <c r="A44" s="0" t="n">
        <f aca="false">A43+1</f>
        <v>42</v>
      </c>
      <c r="B44" s="1" t="n">
        <f aca="false">B43+H44*1</f>
        <v>15.19936</v>
      </c>
      <c r="C44" s="1" t="n">
        <f aca="false">B44*$K$1</f>
        <v>34.00096832</v>
      </c>
      <c r="D44" s="1" t="n">
        <v>13.4407295294689</v>
      </c>
      <c r="E44" s="1" t="n">
        <f aca="false">D44*$K$1</f>
        <v>30.0669119574219</v>
      </c>
      <c r="F44" s="2" t="n">
        <v>1.5</v>
      </c>
      <c r="G44" s="0" t="n">
        <f aca="false">B44*F44+5</f>
        <v>27.79904</v>
      </c>
      <c r="H44" s="3" t="n">
        <v>0.89408</v>
      </c>
      <c r="I44" s="3" t="n">
        <v>0</v>
      </c>
      <c r="J44" s="4" t="n">
        <v>29.6472281803071</v>
      </c>
    </row>
    <row r="45" customFormat="false" ht="15" hidden="false" customHeight="false" outlineLevel="0" collapsed="false">
      <c r="A45" s="0" t="n">
        <f aca="false">A44+1</f>
        <v>43</v>
      </c>
      <c r="B45" s="1" t="n">
        <f aca="false">B44+H45*1</f>
        <v>16.09344</v>
      </c>
      <c r="C45" s="1" t="n">
        <f aca="false">B45*$K$1</f>
        <v>36.00102528</v>
      </c>
      <c r="D45" s="1" t="n">
        <v>14.5130082308388</v>
      </c>
      <c r="E45" s="1" t="n">
        <f aca="false">D45*$K$1</f>
        <v>32.4655994123864</v>
      </c>
      <c r="F45" s="2" t="n">
        <v>1.5</v>
      </c>
      <c r="G45" s="0" t="n">
        <f aca="false">B45*F45+5</f>
        <v>29.14016</v>
      </c>
      <c r="H45" s="3" t="n">
        <v>0.89408</v>
      </c>
      <c r="I45" s="3" t="n">
        <v>0</v>
      </c>
      <c r="J45" s="4" t="n">
        <v>31.3143707113018</v>
      </c>
    </row>
    <row r="46" customFormat="false" ht="15" hidden="false" customHeight="false" outlineLevel="0" collapsed="false">
      <c r="A46" s="0" t="n">
        <f aca="false">A45+1</f>
        <v>44</v>
      </c>
      <c r="B46" s="1" t="n">
        <f aca="false">B45+H46*1</f>
        <v>16.98752</v>
      </c>
      <c r="C46" s="1" t="n">
        <f aca="false">B46*$K$1</f>
        <v>38.00108224</v>
      </c>
      <c r="D46" s="1" t="n">
        <v>15.5650235651065</v>
      </c>
      <c r="E46" s="1" t="n">
        <f aca="false">D46*$K$1</f>
        <v>34.8189577151432</v>
      </c>
      <c r="F46" s="2" t="n">
        <v>1.5</v>
      </c>
      <c r="G46" s="0" t="n">
        <f aca="false">B46*F46+5</f>
        <v>30.48128</v>
      </c>
      <c r="H46" s="3" t="n">
        <v>0.89408</v>
      </c>
      <c r="I46" s="3" t="n">
        <v>0</v>
      </c>
      <c r="J46" s="4" t="n">
        <v>32.8118869865235</v>
      </c>
    </row>
    <row r="47" customFormat="false" ht="15" hidden="false" customHeight="false" outlineLevel="0" collapsed="false">
      <c r="A47" s="0" t="n">
        <f aca="false">A46+1</f>
        <v>45</v>
      </c>
      <c r="B47" s="1" t="n">
        <f aca="false">B46+H47*1</f>
        <v>17.8816</v>
      </c>
      <c r="C47" s="1" t="n">
        <f aca="false">B47*$K$1</f>
        <v>40.0011392</v>
      </c>
      <c r="D47" s="1" t="n">
        <v>16.5780478999985</v>
      </c>
      <c r="E47" s="1" t="n">
        <f aca="false">D47*$K$1</f>
        <v>37.0850931522966</v>
      </c>
      <c r="F47" s="2" t="n">
        <v>1.5</v>
      </c>
      <c r="G47" s="0" t="n">
        <f aca="false">B47*F47+5</f>
        <v>31.8224</v>
      </c>
      <c r="H47" s="3" t="n">
        <v>0.89408</v>
      </c>
      <c r="I47" s="3" t="n">
        <v>0</v>
      </c>
      <c r="J47" s="4" t="n">
        <v>34.170553552707</v>
      </c>
    </row>
    <row r="48" customFormat="false" ht="15" hidden="false" customHeight="false" outlineLevel="0" collapsed="false">
      <c r="A48" s="0" t="n">
        <f aca="false">A47+1</f>
        <v>46</v>
      </c>
      <c r="B48" s="1" t="n">
        <f aca="false">B47+H48*1</f>
        <v>17.8816</v>
      </c>
      <c r="C48" s="1" t="n">
        <f aca="false">B48*$K$1</f>
        <v>40.0011392</v>
      </c>
      <c r="D48" s="1" t="n">
        <v>17.4772566454286</v>
      </c>
      <c r="E48" s="1" t="n">
        <f aca="false">D48*$K$1</f>
        <v>39.0966231158238</v>
      </c>
      <c r="F48" s="2" t="n">
        <v>1.5</v>
      </c>
      <c r="G48" s="0" t="n">
        <f aca="false">B48*F48+5</f>
        <v>31.8224</v>
      </c>
      <c r="H48" s="3" t="n">
        <v>0</v>
      </c>
      <c r="I48" s="3" t="n">
        <v>0</v>
      </c>
      <c r="J48" s="4" t="n">
        <v>35.0011982441402</v>
      </c>
    </row>
    <row r="49" customFormat="false" ht="15" hidden="false" customHeight="false" outlineLevel="0" collapsed="false">
      <c r="A49" s="0" t="n">
        <f aca="false">A48+1</f>
        <v>47</v>
      </c>
      <c r="B49" s="1" t="n">
        <f aca="false">B48+H49*1</f>
        <v>17.8816</v>
      </c>
      <c r="C49" s="1" t="n">
        <f aca="false">B49*$K$1</f>
        <v>40.0011392</v>
      </c>
      <c r="D49" s="1" t="n">
        <v>18.1449806820791</v>
      </c>
      <c r="E49" s="1" t="n">
        <f aca="false">D49*$K$1</f>
        <v>40.590321785811</v>
      </c>
      <c r="F49" s="2" t="n">
        <v>1.5</v>
      </c>
      <c r="G49" s="0" t="n">
        <f aca="false">B49*F49+5</f>
        <v>31.8224</v>
      </c>
      <c r="H49" s="3" t="n">
        <v>0</v>
      </c>
      <c r="I49" s="3" t="n">
        <v>0</v>
      </c>
      <c r="J49" s="4" t="n">
        <v>35.046481457608</v>
      </c>
    </row>
    <row r="50" customFormat="false" ht="15" hidden="false" customHeight="false" outlineLevel="0" collapsed="false">
      <c r="A50" s="0" t="n">
        <f aca="false">A49+1</f>
        <v>48</v>
      </c>
      <c r="B50" s="1" t="n">
        <f aca="false">B49+H50*1</f>
        <v>17.8816</v>
      </c>
      <c r="C50" s="1" t="n">
        <f aca="false">B50*$K$1</f>
        <v>40.0011392</v>
      </c>
      <c r="D50" s="1" t="n">
        <v>18.5501291444596</v>
      </c>
      <c r="E50" s="1" t="n">
        <f aca="false">D50*$K$1</f>
        <v>41.4966388961561</v>
      </c>
      <c r="F50" s="2" t="n">
        <v>1.5</v>
      </c>
      <c r="G50" s="0" t="n">
        <f aca="false">B50*F50+5</f>
        <v>31.8224</v>
      </c>
      <c r="H50" s="3" t="n">
        <v>0</v>
      </c>
      <c r="I50" s="3" t="n">
        <v>0</v>
      </c>
      <c r="J50" s="4" t="n">
        <v>34.5581123901659</v>
      </c>
    </row>
    <row r="51" customFormat="false" ht="15" hidden="false" customHeight="false" outlineLevel="0" collapsed="false">
      <c r="A51" s="0" t="n">
        <f aca="false">A50+1</f>
        <v>49</v>
      </c>
      <c r="B51" s="1" t="n">
        <f aca="false">B50+H51*1</f>
        <v>17.8816</v>
      </c>
      <c r="C51" s="1" t="n">
        <f aca="false">B51*$K$1</f>
        <v>40.0011392</v>
      </c>
      <c r="D51" s="1" t="n">
        <v>18.7141097360042</v>
      </c>
      <c r="E51" s="1" t="n">
        <f aca="false">D51*$K$1</f>
        <v>41.8634634794414</v>
      </c>
      <c r="F51" s="2" t="n">
        <v>1.5</v>
      </c>
      <c r="G51" s="0" t="n">
        <f aca="false">B51*F51+5</f>
        <v>31.8224</v>
      </c>
      <c r="H51" s="3" t="n">
        <v>0</v>
      </c>
      <c r="I51" s="3" t="n">
        <v>0</v>
      </c>
      <c r="J51" s="4" t="n">
        <v>33.7906508617469</v>
      </c>
    </row>
    <row r="52" customFormat="false" ht="15" hidden="false" customHeight="false" outlineLevel="0" collapsed="false">
      <c r="A52" s="0" t="n">
        <f aca="false">A51+1</f>
        <v>50</v>
      </c>
      <c r="B52" s="1" t="n">
        <f aca="false">B51+H52*1</f>
        <v>17.8816</v>
      </c>
      <c r="C52" s="1" t="n">
        <f aca="false">B52*$K$1</f>
        <v>40.0011392</v>
      </c>
      <c r="D52" s="1" t="n">
        <v>18.6900716060557</v>
      </c>
      <c r="E52" s="1" t="n">
        <f aca="false">D52*$K$1</f>
        <v>41.8096901827466</v>
      </c>
      <c r="F52" s="2" t="n">
        <v>1.5</v>
      </c>
      <c r="G52" s="0" t="n">
        <f aca="false">B52*F52+5</f>
        <v>31.8224</v>
      </c>
      <c r="H52" s="3" t="n">
        <v>0</v>
      </c>
      <c r="I52" s="3" t="n">
        <v>0</v>
      </c>
      <c r="J52" s="4" t="n">
        <v>32.9596113964988</v>
      </c>
    </row>
    <row r="53" customFormat="false" ht="15" hidden="false" customHeight="false" outlineLevel="0" collapsed="false">
      <c r="A53" s="0" t="n">
        <f aca="false">A52+1</f>
        <v>51</v>
      </c>
      <c r="B53" s="1" t="n">
        <f aca="false">B52+H53*1</f>
        <v>17.8816</v>
      </c>
      <c r="C53" s="1" t="n">
        <f aca="false">B53*$K$1</f>
        <v>40.0011392</v>
      </c>
      <c r="D53" s="1" t="n">
        <v>18.543886618787</v>
      </c>
      <c r="E53" s="1" t="n">
        <f aca="false">D53*$K$1</f>
        <v>41.4826743662265</v>
      </c>
      <c r="F53" s="2" t="n">
        <v>1.5</v>
      </c>
      <c r="G53" s="0" t="n">
        <f aca="false">B53*F53+5</f>
        <v>31.8224</v>
      </c>
      <c r="H53" s="3" t="n">
        <v>0</v>
      </c>
      <c r="I53" s="3" t="n">
        <v>0</v>
      </c>
      <c r="J53" s="4" t="n">
        <v>32.2196656013313</v>
      </c>
    </row>
    <row r="54" customFormat="false" ht="15" hidden="false" customHeight="false" outlineLevel="0" collapsed="false">
      <c r="A54" s="0" t="n">
        <f aca="false">A53+1</f>
        <v>52</v>
      </c>
      <c r="B54" s="1" t="n">
        <f aca="false">B53+H54*1</f>
        <v>17.8816</v>
      </c>
      <c r="C54" s="1" t="n">
        <f aca="false">B54*$K$1</f>
        <v>40.0011392</v>
      </c>
      <c r="D54" s="1" t="n">
        <v>18.3393556335416</v>
      </c>
      <c r="E54" s="1" t="n">
        <f aca="false">D54*$K$1</f>
        <v>41.0251385522326</v>
      </c>
      <c r="F54" s="2" t="n">
        <v>1.5</v>
      </c>
      <c r="G54" s="0" t="n">
        <f aca="false">B54*F54+5</f>
        <v>31.8224</v>
      </c>
      <c r="H54" s="3" t="n">
        <v>0</v>
      </c>
      <c r="I54" s="3" t="n">
        <v>0</v>
      </c>
      <c r="J54" s="4" t="n">
        <v>31.6598218649783</v>
      </c>
    </row>
    <row r="55" customFormat="false" ht="15" hidden="false" customHeight="false" outlineLevel="0" collapsed="false">
      <c r="A55" s="0" t="n">
        <f aca="false">A54+1</f>
        <v>53</v>
      </c>
      <c r="B55" s="1" t="n">
        <f aca="false">B54+H55*1</f>
        <v>17.8816</v>
      </c>
      <c r="C55" s="1" t="n">
        <f aca="false">B55*$K$1</f>
        <v>40.0011392</v>
      </c>
      <c r="D55" s="1" t="n">
        <v>18.128626626834</v>
      </c>
      <c r="E55" s="1" t="n">
        <f aca="false">D55*$K$1</f>
        <v>40.5537377642277</v>
      </c>
      <c r="F55" s="2" t="n">
        <v>1.5</v>
      </c>
      <c r="G55" s="0" t="n">
        <f aca="false">B55*F55+5</f>
        <v>31.8224</v>
      </c>
      <c r="H55" s="3" t="n">
        <v>0</v>
      </c>
      <c r="I55" s="3" t="n">
        <v>0</v>
      </c>
      <c r="J55" s="4" t="n">
        <v>31.3107591674038</v>
      </c>
    </row>
    <row r="56" customFormat="false" ht="15" hidden="false" customHeight="false" outlineLevel="0" collapsed="false">
      <c r="A56" s="0" t="n">
        <f aca="false">A55+1</f>
        <v>54</v>
      </c>
      <c r="B56" s="1" t="n">
        <f aca="false">B55+H56*1</f>
        <v>17.8816</v>
      </c>
      <c r="C56" s="1" t="n">
        <f aca="false">B56*$K$1</f>
        <v>40.0011392</v>
      </c>
      <c r="D56" s="1" t="n">
        <v>17.9476475241545</v>
      </c>
      <c r="E56" s="1" t="n">
        <f aca="false">D56*$K$1</f>
        <v>40.1488875115336</v>
      </c>
      <c r="F56" s="2" t="n">
        <v>1.5</v>
      </c>
      <c r="G56" s="0" t="n">
        <f aca="false">B56*F56+5</f>
        <v>31.8224</v>
      </c>
      <c r="H56" s="3" t="n">
        <v>0</v>
      </c>
      <c r="I56" s="3" t="n">
        <v>0</v>
      </c>
      <c r="J56" s="4" t="n">
        <v>31.1591269156071</v>
      </c>
    </row>
    <row r="57" customFormat="false" ht="15" hidden="false" customHeight="false" outlineLevel="0" collapsed="false">
      <c r="A57" s="0" t="n">
        <f aca="false">A56+1</f>
        <v>55</v>
      </c>
      <c r="B57" s="1" t="n">
        <f aca="false">B56+H57*1</f>
        <v>17.8816</v>
      </c>
      <c r="C57" s="1" t="n">
        <f aca="false">B57*$K$1</f>
        <v>40.0011392</v>
      </c>
      <c r="D57" s="1" t="n">
        <v>17.8157249950057</v>
      </c>
      <c r="E57" s="1" t="n">
        <f aca="false">D57*$K$1</f>
        <v>39.8537768138277</v>
      </c>
      <c r="F57" s="2" t="n">
        <v>1.5</v>
      </c>
      <c r="G57" s="0" t="n">
        <f aca="false">B57*F57+5</f>
        <v>31.8224</v>
      </c>
      <c r="H57" s="3" t="n">
        <v>0</v>
      </c>
      <c r="I57" s="3" t="n">
        <v>0</v>
      </c>
      <c r="J57" s="4" t="n">
        <v>31.1642128804252</v>
      </c>
    </row>
    <row r="58" customFormat="false" ht="15" hidden="false" customHeight="false" outlineLevel="0" collapsed="false">
      <c r="A58" s="0" t="n">
        <f aca="false">A57+1</f>
        <v>56</v>
      </c>
      <c r="B58" s="1" t="n">
        <f aca="false">B57+H58*1</f>
        <v>17.8816</v>
      </c>
      <c r="C58" s="1" t="n">
        <f aca="false">B58*$K$1</f>
        <v>40.0011392</v>
      </c>
      <c r="D58" s="1" t="n">
        <v>17.7379061407176</v>
      </c>
      <c r="E58" s="1" t="n">
        <f aca="false">D58*$K$1</f>
        <v>39.6796960367853</v>
      </c>
      <c r="F58" s="2" t="n">
        <v>1.5</v>
      </c>
      <c r="G58" s="0" t="n">
        <f aca="false">B58*F58+5</f>
        <v>31.8224</v>
      </c>
      <c r="H58" s="3" t="n">
        <v>0</v>
      </c>
      <c r="I58" s="3" t="n">
        <v>0</v>
      </c>
      <c r="J58" s="4" t="n">
        <v>31.2735166014172</v>
      </c>
    </row>
    <row r="59" customFormat="false" ht="15" hidden="false" customHeight="false" outlineLevel="0" collapsed="false">
      <c r="A59" s="0" t="n">
        <f aca="false">A58+1</f>
        <v>57</v>
      </c>
      <c r="B59" s="1" t="n">
        <f aca="false">B58+H59*1</f>
        <v>17.8816</v>
      </c>
      <c r="C59" s="1" t="n">
        <f aca="false">B59*$K$1</f>
        <v>40.0011392</v>
      </c>
      <c r="D59" s="1" t="n">
        <v>17.7088689606259</v>
      </c>
      <c r="E59" s="1" t="n">
        <f aca="false">D59*$K$1</f>
        <v>39.6147398649201</v>
      </c>
      <c r="F59" s="2" t="n">
        <v>1.5</v>
      </c>
      <c r="G59" s="0" t="n">
        <f aca="false">B59*F59+5</f>
        <v>31.8224</v>
      </c>
      <c r="H59" s="3" t="n">
        <v>0</v>
      </c>
      <c r="I59" s="3" t="n">
        <v>0</v>
      </c>
      <c r="J59" s="4" t="n">
        <v>31.4350836243251</v>
      </c>
    </row>
    <row r="60" customFormat="false" ht="15" hidden="false" customHeight="false" outlineLevel="0" collapsed="false">
      <c r="A60" s="0" t="n">
        <f aca="false">A59+1</f>
        <v>58</v>
      </c>
      <c r="B60" s="1" t="n">
        <f aca="false">B59+H60*1</f>
        <v>17.8816</v>
      </c>
      <c r="C60" s="1" t="n">
        <f aca="false">B60*$K$1</f>
        <v>40.0011392</v>
      </c>
      <c r="D60" s="1" t="n">
        <v>17.7171981022593</v>
      </c>
      <c r="E60" s="1" t="n">
        <f aca="false">D60*$K$1</f>
        <v>39.6333721547541</v>
      </c>
      <c r="F60" s="2" t="n">
        <v>1.5</v>
      </c>
      <c r="G60" s="0" t="n">
        <f aca="false">B60*F60+5</f>
        <v>31.8224</v>
      </c>
      <c r="H60" s="3" t="n">
        <v>0</v>
      </c>
      <c r="I60" s="3" t="n">
        <v>0</v>
      </c>
      <c r="J60" s="4" t="n">
        <v>31.6056843347872</v>
      </c>
    </row>
    <row r="61" customFormat="false" ht="15" hidden="false" customHeight="false" outlineLevel="0" collapsed="false">
      <c r="A61" s="0" t="n">
        <f aca="false">A60+1</f>
        <v>59</v>
      </c>
      <c r="B61" s="1" t="n">
        <f aca="false">B60+H61*1</f>
        <v>17.8816</v>
      </c>
      <c r="C61" s="1" t="n">
        <f aca="false">B61*$K$1</f>
        <v>40.0011392</v>
      </c>
      <c r="D61" s="1" t="n">
        <v>17.7492309167327</v>
      </c>
      <c r="E61" s="1" t="n">
        <f aca="false">D61*$K$1</f>
        <v>39.705029560731</v>
      </c>
      <c r="F61" s="2" t="n">
        <v>1.5</v>
      </c>
      <c r="G61" s="0" t="n">
        <f aca="false">B61*F61+5</f>
        <v>31.8224</v>
      </c>
      <c r="H61" s="3" t="n">
        <v>0</v>
      </c>
      <c r="I61" s="3" t="n">
        <v>0</v>
      </c>
      <c r="J61" s="4" t="n">
        <v>31.7548918646467</v>
      </c>
    </row>
    <row r="62" customFormat="false" ht="15" hidden="false" customHeight="false" outlineLevel="0" collapsed="false">
      <c r="A62" s="0" t="n">
        <f aca="false">A61+1</f>
        <v>60</v>
      </c>
      <c r="B62" s="1" t="n">
        <f aca="false">B61+H62*1</f>
        <v>17.8816</v>
      </c>
      <c r="C62" s="1" t="n">
        <f aca="false">B62*$K$1</f>
        <v>40.0011392</v>
      </c>
      <c r="D62" s="1" t="n">
        <v>17.7919967355633</v>
      </c>
      <c r="E62" s="1" t="n">
        <f aca="false">D62*$K$1</f>
        <v>39.8006966974551</v>
      </c>
      <c r="F62" s="2" t="n">
        <v>1.5</v>
      </c>
      <c r="G62" s="0" t="n">
        <f aca="false">B62*F62+5</f>
        <v>31.8224</v>
      </c>
      <c r="H62" s="3" t="n">
        <v>0</v>
      </c>
      <c r="I62" s="3" t="n">
        <v>0</v>
      </c>
      <c r="J62" s="4" t="n">
        <v>31.8657553757694</v>
      </c>
    </row>
    <row r="63" customFormat="false" ht="15" hidden="false" customHeight="false" outlineLevel="0" collapsed="false">
      <c r="A63" s="0" t="n">
        <f aca="false">A62+1</f>
        <v>61</v>
      </c>
      <c r="B63" s="1" t="n">
        <f aca="false">B57-H63*1</f>
        <v>16.98752</v>
      </c>
      <c r="C63" s="1" t="n">
        <f aca="false">B63*$K$1</f>
        <v>38.00108224</v>
      </c>
      <c r="D63" s="1" t="n">
        <v>17.7665293740178</v>
      </c>
      <c r="E63" s="1" t="n">
        <f aca="false">D63*$K$1</f>
        <v>39.7437262096778</v>
      </c>
      <c r="F63" s="2" t="n">
        <v>1.5</v>
      </c>
      <c r="G63" s="0" t="n">
        <f aca="false">B63*F63+5</f>
        <v>30.48128</v>
      </c>
      <c r="H63" s="3" t="n">
        <v>0.89408</v>
      </c>
      <c r="I63" s="3" t="n">
        <v>0</v>
      </c>
      <c r="J63" s="4" t="n">
        <v>31.5009444996558</v>
      </c>
    </row>
    <row r="64" customFormat="false" ht="15" hidden="false" customHeight="false" outlineLevel="0" collapsed="false">
      <c r="A64" s="0" t="n">
        <f aca="false">A63+1</f>
        <v>62</v>
      </c>
      <c r="B64" s="1" t="n">
        <f aca="false">B63-H64*1</f>
        <v>16.09344</v>
      </c>
      <c r="C64" s="1" t="n">
        <f aca="false">B64*$K$1</f>
        <v>36.00102528</v>
      </c>
      <c r="D64" s="1" t="n">
        <v>17.54505022086</v>
      </c>
      <c r="E64" s="1" t="n">
        <f aca="false">D64*$K$1</f>
        <v>39.2482773440638</v>
      </c>
      <c r="F64" s="2" t="n">
        <v>1.5</v>
      </c>
      <c r="G64" s="0" t="n">
        <f aca="false">B64*F64+5</f>
        <v>29.14016</v>
      </c>
      <c r="H64" s="3" t="n">
        <v>0.89408</v>
      </c>
      <c r="I64" s="3" t="n">
        <v>0</v>
      </c>
      <c r="J64" s="4" t="n">
        <v>30.3624208062982</v>
      </c>
    </row>
    <row r="65" customFormat="false" ht="15" hidden="false" customHeight="false" outlineLevel="0" collapsed="false">
      <c r="A65" s="0" t="n">
        <f aca="false">A64+1</f>
        <v>63</v>
      </c>
      <c r="B65" s="1" t="n">
        <f aca="false">B64-H65*1</f>
        <v>15.19936</v>
      </c>
      <c r="C65" s="1" t="n">
        <f aca="false">B65*$K$1</f>
        <v>34.00096832</v>
      </c>
      <c r="D65" s="1" t="n">
        <v>17.0839856062319</v>
      </c>
      <c r="E65" s="1" t="n">
        <f aca="false">D65*$K$1</f>
        <v>38.2168758011408</v>
      </c>
      <c r="F65" s="2" t="n">
        <v>1.5</v>
      </c>
      <c r="G65" s="0" t="n">
        <f aca="false">B65*F65+5</f>
        <v>27.79904</v>
      </c>
      <c r="H65" s="3" t="n">
        <v>0.89408</v>
      </c>
      <c r="I65" s="3" t="n">
        <v>0</v>
      </c>
      <c r="J65" s="4" t="n">
        <v>28.6727420945368</v>
      </c>
    </row>
    <row r="66" customFormat="false" ht="15" hidden="false" customHeight="false" outlineLevel="0" collapsed="false">
      <c r="A66" s="0" t="n">
        <f aca="false">A65+1</f>
        <v>64</v>
      </c>
      <c r="B66" s="1" t="n">
        <f aca="false">B65-H66*1</f>
        <v>14.30528</v>
      </c>
      <c r="C66" s="1" t="n">
        <f aca="false">B66*$K$1</f>
        <v>32.00091136</v>
      </c>
      <c r="D66" s="1" t="n">
        <v>16.3926781269807</v>
      </c>
      <c r="E66" s="1" t="n">
        <f aca="false">D66*$K$1</f>
        <v>36.6704209700558</v>
      </c>
      <c r="F66" s="2" t="n">
        <v>1.5</v>
      </c>
      <c r="G66" s="0" t="n">
        <f aca="false">B66*F66+5</f>
        <v>26.45792</v>
      </c>
      <c r="H66" s="3" t="n">
        <v>0.89408</v>
      </c>
      <c r="I66" s="3" t="n">
        <v>0</v>
      </c>
      <c r="J66" s="4" t="n">
        <v>26.6697462653998</v>
      </c>
    </row>
    <row r="67" customFormat="false" ht="15" hidden="false" customHeight="false" outlineLevel="0" collapsed="false">
      <c r="A67" s="0" t="n">
        <f aca="false">A66+1</f>
        <v>65</v>
      </c>
      <c r="B67" s="1" t="n">
        <f aca="false">B66-H67*1</f>
        <v>13.4112</v>
      </c>
      <c r="C67" s="1" t="n">
        <f aca="false">B67*$K$1</f>
        <v>30.0008544</v>
      </c>
      <c r="D67" s="1" t="n">
        <v>15.5144329177906</v>
      </c>
      <c r="E67" s="1" t="n">
        <f aca="false">D67*$K$1</f>
        <v>34.7057864370976</v>
      </c>
      <c r="F67" s="2" t="n">
        <v>1.5</v>
      </c>
      <c r="G67" s="0" t="n">
        <f aca="false">B67*F67+5</f>
        <v>25.1168</v>
      </c>
      <c r="H67" s="3" t="n">
        <v>0.89408</v>
      </c>
      <c r="I67" s="3" t="n">
        <v>0</v>
      </c>
      <c r="J67" s="4" t="n">
        <v>24.5632468083271</v>
      </c>
    </row>
    <row r="68" customFormat="false" ht="15" hidden="false" customHeight="false" outlineLevel="0" collapsed="false">
      <c r="A68" s="0" t="n">
        <f aca="false">A67+1</f>
        <v>66</v>
      </c>
      <c r="B68" s="1" t="n">
        <f aca="false">B67-H68*1</f>
        <v>12.51712</v>
      </c>
      <c r="C68" s="1" t="n">
        <f aca="false">B68*$K$1</f>
        <v>28.00079744</v>
      </c>
      <c r="D68" s="1" t="n">
        <v>14.5083502459244</v>
      </c>
      <c r="E68" s="1" t="n">
        <f aca="false">D68*$K$1</f>
        <v>32.4551795001329</v>
      </c>
      <c r="F68" s="2" t="n">
        <v>1.5</v>
      </c>
      <c r="G68" s="0" t="n">
        <f aca="false">B68*F68+5</f>
        <v>23.77568</v>
      </c>
      <c r="H68" s="3" t="n">
        <v>0.89408</v>
      </c>
      <c r="I68" s="3" t="n">
        <v>0</v>
      </c>
      <c r="J68" s="4" t="n">
        <v>22.5105179701582</v>
      </c>
    </row>
    <row r="69" customFormat="false" ht="15" hidden="false" customHeight="false" outlineLevel="0" collapsed="false">
      <c r="A69" s="0" t="n">
        <f aca="false">A68+1</f>
        <v>67</v>
      </c>
      <c r="B69" s="1" t="n">
        <f aca="false">B68-H69*1</f>
        <v>11.62304</v>
      </c>
      <c r="C69" s="1" t="n">
        <f aca="false">B69*$K$1</f>
        <v>26.00074048</v>
      </c>
      <c r="D69" s="1" t="n">
        <v>13.4346080511694</v>
      </c>
      <c r="E69" s="1" t="n">
        <f aca="false">D69*$K$1</f>
        <v>30.0532182104659</v>
      </c>
      <c r="F69" s="2" t="n">
        <v>1.5</v>
      </c>
      <c r="G69" s="0" t="n">
        <f aca="false">B69*F69+5</f>
        <v>22.43456</v>
      </c>
      <c r="H69" s="3" t="n">
        <v>0.89408</v>
      </c>
      <c r="I69" s="3" t="n">
        <v>0</v>
      </c>
      <c r="J69" s="4" t="n">
        <v>20.6083173509777</v>
      </c>
    </row>
    <row r="70" customFormat="false" ht="15" hidden="false" customHeight="false" outlineLevel="0" collapsed="false">
      <c r="A70" s="0" t="n">
        <f aca="false">A69+1</f>
        <v>68</v>
      </c>
      <c r="B70" s="1" t="n">
        <f aca="false">B69-H70*1</f>
        <v>10.72896</v>
      </c>
      <c r="C70" s="1" t="n">
        <f aca="false">B70*$K$1</f>
        <v>24.00068352</v>
      </c>
      <c r="D70" s="1" t="n">
        <v>12.3444245915187</v>
      </c>
      <c r="E70" s="1" t="n">
        <f aca="false">D70*$K$1</f>
        <v>27.6144778112273</v>
      </c>
      <c r="F70" s="2" t="n">
        <v>1.5</v>
      </c>
      <c r="G70" s="0" t="n">
        <f aca="false">B70*F70+5</f>
        <v>21.09344</v>
      </c>
      <c r="H70" s="3" t="n">
        <v>0.89408</v>
      </c>
      <c r="I70" s="3" t="n">
        <v>0</v>
      </c>
      <c r="J70" s="4" t="n">
        <v>18.897275726632</v>
      </c>
    </row>
    <row r="71" customFormat="false" ht="15" hidden="false" customHeight="false" outlineLevel="0" collapsed="false">
      <c r="A71" s="0" t="n">
        <f aca="false">A70+1</f>
        <v>69</v>
      </c>
      <c r="B71" s="1" t="n">
        <f aca="false">B70-H71*1</f>
        <v>9.83488</v>
      </c>
      <c r="C71" s="1" t="n">
        <f aca="false">B71*$K$1</f>
        <v>22.00062656</v>
      </c>
      <c r="D71" s="1" t="n">
        <v>11.2747726985041</v>
      </c>
      <c r="E71" s="1" t="n">
        <f aca="false">D71*$K$1</f>
        <v>25.2216665265537</v>
      </c>
      <c r="F71" s="2" t="n">
        <v>1.5</v>
      </c>
      <c r="G71" s="0" t="n">
        <f aca="false">B71*F71+5</f>
        <v>19.75232</v>
      </c>
      <c r="H71" s="3" t="n">
        <v>0.89408</v>
      </c>
      <c r="I71" s="3" t="n">
        <v>0</v>
      </c>
      <c r="J71" s="4" t="n">
        <v>17.373869387719</v>
      </c>
    </row>
    <row r="72" customFormat="false" ht="15" hidden="false" customHeight="false" outlineLevel="0" collapsed="false">
      <c r="A72" s="0" t="n">
        <f aca="false">A71+1</f>
        <v>70</v>
      </c>
      <c r="B72" s="1" t="n">
        <f aca="false">B71-H72*1</f>
        <v>8.9408</v>
      </c>
      <c r="C72" s="1" t="n">
        <f aca="false">B72*$K$1</f>
        <v>20.0005696</v>
      </c>
      <c r="D72" s="1" t="n">
        <v>10.2471290844932</v>
      </c>
      <c r="E72" s="1" t="n">
        <f aca="false">D72*$K$1</f>
        <v>22.9228277620113</v>
      </c>
      <c r="F72" s="2" t="n">
        <v>1.5</v>
      </c>
      <c r="G72" s="0" t="n">
        <f aca="false">B72*F72+5</f>
        <v>18.4112</v>
      </c>
      <c r="H72" s="3" t="n">
        <v>0.89408</v>
      </c>
      <c r="I72" s="3" t="n">
        <v>0</v>
      </c>
      <c r="J72" s="4" t="n">
        <v>16.0055482333033</v>
      </c>
    </row>
    <row r="73" customFormat="false" ht="15" hidden="false" customHeight="false" outlineLevel="0" collapsed="false">
      <c r="A73" s="0" t="n">
        <f aca="false">A72+1</f>
        <v>71</v>
      </c>
      <c r="B73" s="1" t="n">
        <f aca="false">B72+H73*1</f>
        <v>8.9408</v>
      </c>
      <c r="C73" s="1" t="n">
        <f aca="false">B73*$K$1</f>
        <v>20.0005696</v>
      </c>
      <c r="D73" s="1" t="n">
        <v>9.3376753873754</v>
      </c>
      <c r="E73" s="1" t="n">
        <f aca="false">D73*$K$1</f>
        <v>20.8883798415588</v>
      </c>
      <c r="F73" s="2" t="n">
        <v>1.5</v>
      </c>
      <c r="G73" s="0" t="n">
        <f aca="false">B73*F73+5</f>
        <v>18.4112</v>
      </c>
      <c r="H73" s="3" t="n">
        <v>0</v>
      </c>
      <c r="I73" s="3" t="n">
        <v>0</v>
      </c>
      <c r="J73" s="4" t="n">
        <v>15.1776836460524</v>
      </c>
    </row>
    <row r="74" customFormat="false" ht="15" hidden="false" customHeight="false" outlineLevel="0" collapsed="false">
      <c r="A74" s="0" t="n">
        <f aca="false">A73+1</f>
        <v>72</v>
      </c>
      <c r="B74" s="1" t="n">
        <f aca="false">B73+H74*1</f>
        <v>8.9408</v>
      </c>
      <c r="C74" s="1" t="n">
        <f aca="false">B74*$K$1</f>
        <v>20.0005696</v>
      </c>
      <c r="D74" s="1" t="n">
        <v>8.66428646938272</v>
      </c>
      <c r="E74" s="1" t="n">
        <f aca="false">D74*$K$1</f>
        <v>19.3820088320091</v>
      </c>
      <c r="F74" s="2" t="n">
        <v>1.5</v>
      </c>
      <c r="G74" s="0" t="n">
        <f aca="false">B74*F74+5</f>
        <v>18.4112</v>
      </c>
      <c r="H74" s="3" t="n">
        <v>0</v>
      </c>
      <c r="I74" s="3" t="n">
        <v>0</v>
      </c>
      <c r="J74" s="4" t="n">
        <v>15.1430672560766</v>
      </c>
    </row>
    <row r="75" customFormat="false" ht="15" hidden="false" customHeight="false" outlineLevel="0" collapsed="false">
      <c r="A75" s="0" t="n">
        <f aca="false">A74+1</f>
        <v>73</v>
      </c>
      <c r="B75" s="1" t="n">
        <f aca="false">B74+H75*1</f>
        <v>8.9408</v>
      </c>
      <c r="C75" s="1" t="n">
        <f aca="false">B75*$K$1</f>
        <v>20.0005696</v>
      </c>
      <c r="D75" s="1" t="n">
        <v>8.2574542070496</v>
      </c>
      <c r="E75" s="1" t="n">
        <f aca="false">D75*$K$1</f>
        <v>18.47192506117</v>
      </c>
      <c r="F75" s="2" t="n">
        <v>1.5</v>
      </c>
      <c r="G75" s="0" t="n">
        <f aca="false">B75*F75+5</f>
        <v>18.4112</v>
      </c>
      <c r="H75" s="3" t="n">
        <v>0</v>
      </c>
      <c r="I75" s="3" t="n">
        <v>0</v>
      </c>
      <c r="J75" s="4" t="n">
        <v>15.645672828173</v>
      </c>
    </row>
    <row r="76" customFormat="false" ht="15" hidden="false" customHeight="false" outlineLevel="0" collapsed="false">
      <c r="A76" s="0" t="n">
        <f aca="false">A75+1</f>
        <v>74</v>
      </c>
      <c r="B76" s="1" t="n">
        <f aca="false">B75+H76*1</f>
        <v>8.9408</v>
      </c>
      <c r="C76" s="1" t="n">
        <f aca="false">B76*$K$1</f>
        <v>20.0005696</v>
      </c>
      <c r="D76" s="1" t="n">
        <v>8.09472892947168</v>
      </c>
      <c r="E76" s="1" t="n">
        <f aca="false">D76*$K$1</f>
        <v>18.1079086152281</v>
      </c>
      <c r="F76" s="2" t="n">
        <v>1.5</v>
      </c>
      <c r="G76" s="0" t="n">
        <f aca="false">B76*F76+5</f>
        <v>18.4112</v>
      </c>
      <c r="H76" s="3" t="n">
        <v>0</v>
      </c>
      <c r="I76" s="3" t="n">
        <v>0</v>
      </c>
      <c r="J76" s="4" t="n">
        <v>16.4274728454719</v>
      </c>
    </row>
    <row r="77" customFormat="false" ht="15" hidden="false" customHeight="false" outlineLevel="0" collapsed="false">
      <c r="A77" s="0" t="n">
        <f aca="false">A76+1</f>
        <v>75</v>
      </c>
      <c r="B77" s="1" t="n">
        <f aca="false">B76+H77*1</f>
        <v>8.9408</v>
      </c>
      <c r="C77" s="1" t="n">
        <f aca="false">B77*$K$1</f>
        <v>20.0005696</v>
      </c>
      <c r="D77" s="1" t="n">
        <v>8.12179026678</v>
      </c>
      <c r="E77" s="1" t="n">
        <f aca="false">D77*$K$1</f>
        <v>18.1684448267869</v>
      </c>
      <c r="F77" s="2" t="n">
        <v>1.5</v>
      </c>
      <c r="G77" s="0" t="n">
        <f aca="false">B77*F77+5</f>
        <v>18.4112</v>
      </c>
      <c r="H77" s="3" t="n">
        <v>0</v>
      </c>
      <c r="I77" s="3" t="n">
        <v>0</v>
      </c>
      <c r="J77" s="4" t="n">
        <v>17.2706122481501</v>
      </c>
    </row>
    <row r="78" customFormat="false" ht="15" hidden="false" customHeight="false" outlineLevel="0" collapsed="false">
      <c r="A78" s="0" t="n">
        <f aca="false">A77+1</f>
        <v>76</v>
      </c>
      <c r="B78" s="1" t="n">
        <f aca="false">B77+H78*1</f>
        <v>8.9408</v>
      </c>
      <c r="C78" s="1" t="n">
        <f aca="false">B78*$K$1</f>
        <v>20.0005696</v>
      </c>
      <c r="D78" s="1" t="n">
        <v>8.27169694237403</v>
      </c>
      <c r="E78" s="1" t="n">
        <f aca="false">D78*$K$1</f>
        <v>18.5037860600907</v>
      </c>
      <c r="F78" s="2" t="n">
        <v>1.5</v>
      </c>
      <c r="G78" s="0" t="n">
        <f aca="false">B78*F78+5</f>
        <v>18.4112</v>
      </c>
      <c r="H78" s="3" t="n">
        <v>0</v>
      </c>
      <c r="I78" s="3" t="n">
        <v>0</v>
      </c>
      <c r="J78" s="4" t="n">
        <v>18.0192109083316</v>
      </c>
    </row>
    <row r="79" customFormat="false" ht="15" hidden="false" customHeight="false" outlineLevel="0" collapsed="false">
      <c r="A79" s="0" t="n">
        <f aca="false">A78+1</f>
        <v>77</v>
      </c>
      <c r="B79" s="1" t="n">
        <f aca="false">B78+H79*1</f>
        <v>8.9408</v>
      </c>
      <c r="C79" s="1" t="n">
        <f aca="false">B79*$K$1</f>
        <v>20.0005696</v>
      </c>
      <c r="D79" s="1" t="n">
        <v>8.47981897511021</v>
      </c>
      <c r="E79" s="1" t="n">
        <f aca="false">D79*$K$1</f>
        <v>18.9693550473215</v>
      </c>
      <c r="F79" s="2" t="n">
        <v>1.5</v>
      </c>
      <c r="G79" s="0" t="n">
        <f aca="false">B79*F79+5</f>
        <v>18.4112</v>
      </c>
      <c r="H79" s="3" t="n">
        <v>0</v>
      </c>
      <c r="I79" s="3" t="n">
        <v>0</v>
      </c>
      <c r="J79" s="4" t="n">
        <v>18.5840050553261</v>
      </c>
    </row>
    <row r="80" customFormat="false" ht="15" hidden="false" customHeight="false" outlineLevel="0" collapsed="false">
      <c r="A80" s="0" t="n">
        <f aca="false">A79+1</f>
        <v>78</v>
      </c>
      <c r="B80" s="1" t="n">
        <f aca="false">B79+H80*1</f>
        <v>8.9408</v>
      </c>
      <c r="C80" s="1" t="n">
        <f aca="false">B80*$K$1</f>
        <v>20.0005696</v>
      </c>
      <c r="D80" s="1" t="n">
        <v>8.69347371127742</v>
      </c>
      <c r="E80" s="1" t="n">
        <f aca="false">D80*$K$1</f>
        <v>19.4473006921276</v>
      </c>
      <c r="F80" s="2" t="n">
        <v>1.5</v>
      </c>
      <c r="G80" s="0" t="n">
        <f aca="false">B80*F80+5</f>
        <v>18.4112</v>
      </c>
      <c r="H80" s="3" t="n">
        <v>0</v>
      </c>
      <c r="I80" s="3" t="n">
        <v>0</v>
      </c>
      <c r="J80" s="4" t="n">
        <v>18.934740230277</v>
      </c>
    </row>
    <row r="81" customFormat="false" ht="15" hidden="false" customHeight="false" outlineLevel="0" collapsed="false">
      <c r="A81" s="0" t="n">
        <f aca="false">A80+1</f>
        <v>79</v>
      </c>
      <c r="B81" s="1" t="n">
        <f aca="false">B80+H81*1</f>
        <v>8.9408</v>
      </c>
      <c r="C81" s="1" t="n">
        <f aca="false">B81*$K$1</f>
        <v>20.0005696</v>
      </c>
      <c r="D81" s="1" t="n">
        <v>8.8764619151253</v>
      </c>
      <c r="E81" s="1" t="n">
        <f aca="false">D81*$K$1</f>
        <v>19.8566453041353</v>
      </c>
      <c r="F81" s="2" t="n">
        <v>1.5</v>
      </c>
      <c r="G81" s="0" t="n">
        <f aca="false">B81*F81+5</f>
        <v>18.4112</v>
      </c>
      <c r="H81" s="3" t="n">
        <v>0</v>
      </c>
      <c r="I81" s="3" t="n">
        <v>0</v>
      </c>
      <c r="J81" s="4" t="n">
        <v>19.0855789327062</v>
      </c>
    </row>
    <row r="82" customFormat="false" ht="15" hidden="false" customHeight="false" outlineLevel="0" collapsed="false">
      <c r="A82" s="0" t="n">
        <f aca="false">A81+1</f>
        <v>80</v>
      </c>
      <c r="B82" s="1" t="n">
        <f aca="false">B81+H82*1</f>
        <v>8.9408</v>
      </c>
      <c r="C82" s="1" t="n">
        <f aca="false">B82*$K$1</f>
        <v>20.0005696</v>
      </c>
      <c r="D82" s="1" t="n">
        <v>9.00945595873741</v>
      </c>
      <c r="E82" s="1" t="n">
        <f aca="false">D82*$K$1</f>
        <v>20.1541529796956</v>
      </c>
      <c r="F82" s="2" t="n">
        <v>1.5</v>
      </c>
      <c r="G82" s="0" t="n">
        <f aca="false">B82*F82+5</f>
        <v>18.4112</v>
      </c>
      <c r="H82" s="3" t="n">
        <v>0</v>
      </c>
      <c r="I82" s="3" t="n">
        <v>0</v>
      </c>
      <c r="J82" s="4" t="n">
        <v>19.0781743058723</v>
      </c>
    </row>
    <row r="83" customFormat="false" ht="15" hidden="false" customHeight="false" outlineLevel="0" collapsed="false">
      <c r="A83" s="0" t="n">
        <f aca="false">A82+1</f>
        <v>81</v>
      </c>
      <c r="B83" s="1" t="n">
        <f aca="false">B82+H83*1</f>
        <v>8.9408</v>
      </c>
      <c r="C83" s="1" t="n">
        <f aca="false">B83*$K$1</f>
        <v>20.0005696</v>
      </c>
      <c r="D83" s="1" t="n">
        <v>9.08754554127257</v>
      </c>
      <c r="E83" s="1" t="n">
        <f aca="false">D83*$K$1</f>
        <v>20.3288393758267</v>
      </c>
      <c r="F83" s="2" t="n">
        <v>1.5</v>
      </c>
      <c r="G83" s="0" t="n">
        <f aca="false">B83*F83+5</f>
        <v>18.4112</v>
      </c>
      <c r="H83" s="3" t="n">
        <v>0</v>
      </c>
      <c r="I83" s="3" t="n">
        <v>0</v>
      </c>
      <c r="J83" s="4" t="n">
        <v>18.9659028054316</v>
      </c>
    </row>
    <row r="84" customFormat="false" ht="15" hidden="false" customHeight="false" outlineLevel="0" collapsed="false">
      <c r="A84" s="0" t="n">
        <f aca="false">A83+1</f>
        <v>82</v>
      </c>
      <c r="B84" s="1" t="n">
        <f aca="false">B83+H84*1</f>
        <v>8.9408</v>
      </c>
      <c r="C84" s="1" t="n">
        <f aca="false">B84*$K$1</f>
        <v>20.0005696</v>
      </c>
      <c r="D84" s="1" t="n">
        <v>9.11627318772693</v>
      </c>
      <c r="E84" s="1" t="n">
        <f aca="false">D84*$K$1</f>
        <v>20.3931031209451</v>
      </c>
      <c r="F84" s="2" t="n">
        <v>1.5</v>
      </c>
      <c r="G84" s="0" t="n">
        <f aca="false">B84*F84+5</f>
        <v>18.4112</v>
      </c>
      <c r="H84" s="3" t="n">
        <v>0</v>
      </c>
      <c r="I84" s="3" t="n">
        <v>0</v>
      </c>
      <c r="J84" s="4" t="n">
        <v>18.8014104328846</v>
      </c>
    </row>
    <row r="85" customFormat="false" ht="15" hidden="false" customHeight="false" outlineLevel="0" collapsed="false">
      <c r="A85" s="0" t="n">
        <f aca="false">A84+1</f>
        <v>83</v>
      </c>
      <c r="B85" s="1" t="n">
        <f aca="false">B84+H85*1</f>
        <v>8.9408</v>
      </c>
      <c r="C85" s="1" t="n">
        <f aca="false">B85*$K$1</f>
        <v>20.0005696</v>
      </c>
      <c r="D85" s="1" t="n">
        <v>9.10729540856961</v>
      </c>
      <c r="E85" s="1" t="n">
        <f aca="false">D85*$K$1</f>
        <v>20.3730198289702</v>
      </c>
      <c r="F85" s="2" t="n">
        <v>1.5</v>
      </c>
      <c r="G85" s="0" t="n">
        <f aca="false">B85*F85+5</f>
        <v>18.4112</v>
      </c>
      <c r="H85" s="3" t="n">
        <v>0</v>
      </c>
      <c r="I85" s="3" t="n">
        <v>0</v>
      </c>
      <c r="J85" s="4" t="n">
        <v>18.6283834664379</v>
      </c>
    </row>
    <row r="86" customFormat="false" ht="15" hidden="false" customHeight="false" outlineLevel="0" collapsed="false">
      <c r="A86" s="0" t="n">
        <f aca="false">A85+1</f>
        <v>84</v>
      </c>
      <c r="B86" s="1" t="n">
        <f aca="false">B85+H86*1</f>
        <v>8.9408</v>
      </c>
      <c r="C86" s="1" t="n">
        <f aca="false">B86*$K$1</f>
        <v>20.0005696</v>
      </c>
      <c r="D86" s="1" t="n">
        <v>9.0744910401823</v>
      </c>
      <c r="E86" s="1" t="n">
        <f aca="false">D86*$K$1</f>
        <v>20.2996364568878</v>
      </c>
      <c r="F86" s="2" t="n">
        <v>1.5</v>
      </c>
      <c r="G86" s="0" t="n">
        <f aca="false">B86*F86+5</f>
        <v>18.4112</v>
      </c>
      <c r="H86" s="3" t="n">
        <v>0</v>
      </c>
      <c r="I86" s="3" t="n">
        <v>0</v>
      </c>
      <c r="J86" s="4" t="n">
        <v>18.4774745418813</v>
      </c>
    </row>
    <row r="87" customFormat="false" ht="15" hidden="false" customHeight="false" outlineLevel="0" collapsed="false">
      <c r="A87" s="0" t="n">
        <f aca="false">A86+1</f>
        <v>85</v>
      </c>
      <c r="B87" s="1" t="n">
        <f aca="false">B86+H87*1</f>
        <v>8.9408</v>
      </c>
      <c r="C87" s="1" t="n">
        <f aca="false">B87*$K$1</f>
        <v>20.0005696</v>
      </c>
      <c r="D87" s="1" t="n">
        <v>9.03099542059382</v>
      </c>
      <c r="E87" s="1" t="n">
        <f aca="false">D87*$K$1</f>
        <v>20.2023367558684</v>
      </c>
      <c r="F87" s="2" t="n">
        <v>1.5</v>
      </c>
      <c r="G87" s="0" t="n">
        <f aca="false">B87*F87+5</f>
        <v>18.4112</v>
      </c>
      <c r="H87" s="3" t="n">
        <v>0</v>
      </c>
      <c r="I87" s="3" t="n">
        <v>0</v>
      </c>
      <c r="J87" s="4" t="n">
        <v>18.3656691897069</v>
      </c>
    </row>
    <row r="88" customFormat="false" ht="15" hidden="false" customHeight="false" outlineLevel="0" collapsed="false">
      <c r="A88" s="0" t="n">
        <f aca="false">A87+1</f>
        <v>86</v>
      </c>
      <c r="B88" s="1" t="n">
        <f aca="false">B82+H88*1</f>
        <v>10.4308</v>
      </c>
      <c r="C88" s="1" t="n">
        <f aca="false">B88*$K$1</f>
        <v>23.3336996</v>
      </c>
      <c r="D88" s="1" t="n">
        <v>9.1015655821074</v>
      </c>
      <c r="E88" s="1" t="n">
        <f aca="false">D88*$K$1</f>
        <v>20.3602022071743</v>
      </c>
      <c r="F88" s="2" t="n">
        <v>1.5</v>
      </c>
      <c r="G88" s="0" t="n">
        <f aca="false">B88*F88+5</f>
        <v>20.6462</v>
      </c>
      <c r="H88" s="3" t="n">
        <v>1.49</v>
      </c>
      <c r="I88" s="3" t="n">
        <v>0</v>
      </c>
      <c r="J88" s="4" t="n">
        <v>19.0182268262612</v>
      </c>
    </row>
    <row r="89" customFormat="false" ht="15" hidden="false" customHeight="false" outlineLevel="0" collapsed="false">
      <c r="A89" s="0" t="n">
        <f aca="false">A88+1</f>
        <v>87</v>
      </c>
      <c r="B89" s="1" t="n">
        <f aca="false">B88+H89*1</f>
        <v>11.9208</v>
      </c>
      <c r="C89" s="1" t="n">
        <f aca="false">B89*$K$1</f>
        <v>26.6668296</v>
      </c>
      <c r="D89" s="1" t="n">
        <v>9.49450454336946</v>
      </c>
      <c r="E89" s="1" t="n">
        <f aca="false">D89*$K$1</f>
        <v>21.2392066635175</v>
      </c>
      <c r="F89" s="2" t="n">
        <v>1.5</v>
      </c>
      <c r="G89" s="0" t="n">
        <f aca="false">B89*F89+5</f>
        <v>22.8812</v>
      </c>
      <c r="H89" s="3" t="n">
        <v>1.49</v>
      </c>
      <c r="I89" s="3" t="n">
        <v>0</v>
      </c>
      <c r="J89" s="4" t="n">
        <v>20.9340104728467</v>
      </c>
    </row>
    <row r="90" customFormat="false" ht="15" hidden="false" customHeight="false" outlineLevel="0" collapsed="false">
      <c r="A90" s="0" t="n">
        <f aca="false">A89+1</f>
        <v>88</v>
      </c>
      <c r="B90" s="1" t="n">
        <f aca="false">B89+H90*1</f>
        <v>13.4108</v>
      </c>
      <c r="C90" s="1" t="n">
        <f aca="false">B90*$K$1</f>
        <v>29.9999596</v>
      </c>
      <c r="D90" s="1" t="n">
        <v>10.2800071695399</v>
      </c>
      <c r="E90" s="1" t="n">
        <f aca="false">D90*$K$1</f>
        <v>22.9963760382608</v>
      </c>
      <c r="F90" s="2" t="n">
        <v>1.5</v>
      </c>
      <c r="G90" s="0" t="n">
        <f aca="false">B90*F90+5</f>
        <v>25.1162</v>
      </c>
      <c r="H90" s="3" t="n">
        <v>1.49</v>
      </c>
      <c r="I90" s="3" t="n">
        <v>0</v>
      </c>
      <c r="J90" s="4" t="n">
        <v>23.7477946274602</v>
      </c>
    </row>
    <row r="91" customFormat="false" ht="15" hidden="false" customHeight="false" outlineLevel="0" collapsed="false">
      <c r="A91" s="0" t="n">
        <f aca="false">A90+1</f>
        <v>89</v>
      </c>
      <c r="B91" s="1" t="n">
        <f aca="false">B90+H91*1</f>
        <v>14.9008</v>
      </c>
      <c r="C91" s="1" t="n">
        <f aca="false">B91*$K$1</f>
        <v>33.3330896</v>
      </c>
      <c r="D91" s="1" t="n">
        <v>11.4419604872694</v>
      </c>
      <c r="E91" s="1" t="n">
        <f aca="false">D91*$K$1</f>
        <v>25.5956656100216</v>
      </c>
      <c r="F91" s="2" t="n">
        <v>1.5</v>
      </c>
      <c r="G91" s="0" t="n">
        <f aca="false">B91*F91+5</f>
        <v>27.3512</v>
      </c>
      <c r="H91" s="3" t="n">
        <v>1.49</v>
      </c>
      <c r="I91" s="3" t="n">
        <v>0</v>
      </c>
      <c r="J91" s="4" t="n">
        <v>27.0703187385786</v>
      </c>
    </row>
    <row r="92" customFormat="false" ht="15" hidden="false" customHeight="false" outlineLevel="0" collapsed="false">
      <c r="A92" s="0" t="n">
        <f aca="false">A91+1</f>
        <v>90</v>
      </c>
      <c r="B92" s="1" t="n">
        <f aca="false">B91+H92*1</f>
        <v>16.3908</v>
      </c>
      <c r="C92" s="1" t="n">
        <f aca="false">B92*$K$1</f>
        <v>36.6662196</v>
      </c>
      <c r="D92" s="1" t="n">
        <v>12.9089984902671</v>
      </c>
      <c r="E92" s="1" t="n">
        <f aca="false">D92*$K$1</f>
        <v>28.8774296227275</v>
      </c>
      <c r="F92" s="2" t="n">
        <v>1.5</v>
      </c>
      <c r="G92" s="0" t="n">
        <f aca="false">B92*F92+5</f>
        <v>29.5862</v>
      </c>
      <c r="H92" s="3" t="n">
        <v>1.49</v>
      </c>
      <c r="I92" s="3" t="n">
        <v>0</v>
      </c>
      <c r="J92" s="4" t="n">
        <v>30.5588411280014</v>
      </c>
    </row>
    <row r="93" customFormat="false" ht="15" hidden="false" customHeight="false" outlineLevel="0" collapsed="false">
      <c r="A93" s="0" t="n">
        <f aca="false">A92+1</f>
        <v>91</v>
      </c>
      <c r="B93" s="1" t="n">
        <f aca="false">B92+H93*1</f>
        <v>17.8808</v>
      </c>
      <c r="C93" s="1" t="n">
        <f aca="false">B93*$K$1</f>
        <v>39.9993496</v>
      </c>
      <c r="D93" s="1" t="n">
        <v>14.5842053591754</v>
      </c>
      <c r="E93" s="1" t="n">
        <f aca="false">D93*$K$1</f>
        <v>32.6248673884754</v>
      </c>
      <c r="F93" s="2" t="n">
        <v>1.5</v>
      </c>
      <c r="G93" s="0" t="n">
        <f aca="false">B93*F93+5</f>
        <v>31.8212</v>
      </c>
      <c r="H93" s="3" t="n">
        <v>1.49</v>
      </c>
      <c r="I93" s="3" t="n">
        <v>0</v>
      </c>
      <c r="J93" s="4" t="n">
        <v>33.9569414279628</v>
      </c>
    </row>
    <row r="94" customFormat="false" ht="15" hidden="false" customHeight="false" outlineLevel="0" collapsed="false">
      <c r="A94" s="0" t="n">
        <f aca="false">A93+1</f>
        <v>92</v>
      </c>
      <c r="B94" s="1" t="n">
        <f aca="false">B93-H94*1</f>
        <v>17.8808</v>
      </c>
      <c r="C94" s="1" t="n">
        <f aca="false">B94*$K$1</f>
        <v>39.9993496</v>
      </c>
      <c r="D94" s="1" t="n">
        <v>16.2549005673053</v>
      </c>
      <c r="E94" s="1" t="n">
        <f aca="false">D94*$K$1</f>
        <v>36.362212569062</v>
      </c>
      <c r="F94" s="2" t="n">
        <v>1.5</v>
      </c>
      <c r="G94" s="0" t="n">
        <f aca="false">B94*F94+5</f>
        <v>31.8212</v>
      </c>
      <c r="H94" s="3" t="n">
        <v>0</v>
      </c>
      <c r="I94" s="3" t="n">
        <v>0</v>
      </c>
      <c r="J94" s="4" t="n">
        <v>36.3871422525936</v>
      </c>
    </row>
    <row r="95" customFormat="false" ht="15" hidden="false" customHeight="false" outlineLevel="0" collapsed="false">
      <c r="A95" s="0" t="n">
        <f aca="false">A94+1</f>
        <v>93</v>
      </c>
      <c r="B95" s="1" t="n">
        <f aca="false">B94-H95*1</f>
        <v>17.8808</v>
      </c>
      <c r="C95" s="1" t="n">
        <f aca="false">B95*$K$1</f>
        <v>39.9993496</v>
      </c>
      <c r="D95" s="1" t="n">
        <v>17.6362267755255</v>
      </c>
      <c r="E95" s="1" t="n">
        <f aca="false">D95*$K$1</f>
        <v>39.4522392968505</v>
      </c>
      <c r="F95" s="2" t="n">
        <v>1.5</v>
      </c>
      <c r="G95" s="0" t="n">
        <f aca="false">B95*F95+5</f>
        <v>31.8212</v>
      </c>
      <c r="H95" s="3" t="n">
        <v>0</v>
      </c>
      <c r="I95" s="3" t="n">
        <v>0</v>
      </c>
      <c r="J95" s="4" t="n">
        <v>37.2813074739732</v>
      </c>
    </row>
    <row r="96" customFormat="false" ht="15" hidden="false" customHeight="false" outlineLevel="0" collapsed="false">
      <c r="A96" s="0" t="n">
        <f aca="false">A95+1</f>
        <v>94</v>
      </c>
      <c r="B96" s="1" t="n">
        <f aca="false">B95-H96*1</f>
        <v>17.8808</v>
      </c>
      <c r="C96" s="1" t="n">
        <f aca="false">B96*$K$1</f>
        <v>39.9993496</v>
      </c>
      <c r="D96" s="1" t="n">
        <v>18.6013714107503</v>
      </c>
      <c r="E96" s="1" t="n">
        <f aca="false">D96*$K$1</f>
        <v>41.6112678458484</v>
      </c>
      <c r="F96" s="2" t="n">
        <v>1.5</v>
      </c>
      <c r="G96" s="0" t="n">
        <f aca="false">B96*F96+5</f>
        <v>31.8212</v>
      </c>
      <c r="H96" s="3" t="n">
        <v>0</v>
      </c>
      <c r="I96" s="3" t="n">
        <v>0</v>
      </c>
      <c r="J96" s="4" t="n">
        <v>37.0021262509787</v>
      </c>
    </row>
    <row r="97" customFormat="false" ht="15" hidden="false" customHeight="false" outlineLevel="0" collapsed="false">
      <c r="A97" s="0" t="n">
        <f aca="false">A96+1</f>
        <v>95</v>
      </c>
      <c r="B97" s="1" t="n">
        <f aca="false">B96-H97*1</f>
        <v>17.8808</v>
      </c>
      <c r="C97" s="1" t="n">
        <f aca="false">B97*$K$1</f>
        <v>39.9993496</v>
      </c>
      <c r="D97" s="1" t="n">
        <v>19.1323008592958</v>
      </c>
      <c r="E97" s="1" t="n">
        <f aca="false">D97*$K$1</f>
        <v>42.7989570222447</v>
      </c>
      <c r="F97" s="2" t="n">
        <v>1.5</v>
      </c>
      <c r="G97" s="0" t="n">
        <f aca="false">B97*F97+5</f>
        <v>31.8212</v>
      </c>
      <c r="H97" s="3" t="n">
        <v>0</v>
      </c>
      <c r="I97" s="3" t="n">
        <v>0</v>
      </c>
      <c r="J97" s="4" t="n">
        <v>35.9814593233654</v>
      </c>
    </row>
    <row r="98" customFormat="false" ht="15" hidden="false" customHeight="false" outlineLevel="0" collapsed="false">
      <c r="A98" s="0" t="n">
        <f aca="false">A97+1</f>
        <v>96</v>
      </c>
      <c r="B98" s="1" t="n">
        <f aca="false">B97-H98*1</f>
        <v>17.8808</v>
      </c>
      <c r="C98" s="1" t="n">
        <f aca="false">B98*$K$1</f>
        <v>39.9993496</v>
      </c>
      <c r="D98" s="1" t="n">
        <v>19.2867889914476</v>
      </c>
      <c r="E98" s="1" t="n">
        <f aca="false">D98*$K$1</f>
        <v>43.1445469738683</v>
      </c>
      <c r="F98" s="2" t="n">
        <v>1.5</v>
      </c>
      <c r="G98" s="0" t="n">
        <f aca="false">B98*F98+5</f>
        <v>31.8212</v>
      </c>
      <c r="H98" s="3" t="n">
        <v>0</v>
      </c>
      <c r="I98" s="3" t="n">
        <v>0</v>
      </c>
      <c r="J98" s="4" t="n">
        <v>34.6280461669658</v>
      </c>
    </row>
    <row r="99" customFormat="false" ht="15" hidden="false" customHeight="false" outlineLevel="0" collapsed="false">
      <c r="A99" s="0" t="n">
        <f aca="false">A98+1</f>
        <v>97</v>
      </c>
      <c r="B99" s="1" t="n">
        <f aca="false">B98-H99*1</f>
        <v>17.8808</v>
      </c>
      <c r="C99" s="1" t="n">
        <f aca="false">B99*$K$1</f>
        <v>39.9993496</v>
      </c>
      <c r="D99" s="1" t="n">
        <v>19.1641223640613</v>
      </c>
      <c r="E99" s="1" t="n">
        <f aca="false">D99*$K$1</f>
        <v>42.8701417284051</v>
      </c>
      <c r="F99" s="2" t="n">
        <v>1.5</v>
      </c>
      <c r="G99" s="0" t="n">
        <f aca="false">B99*F99+5</f>
        <v>31.8212</v>
      </c>
      <c r="H99" s="3" t="n">
        <v>0</v>
      </c>
      <c r="I99" s="3" t="n">
        <v>0</v>
      </c>
      <c r="J99" s="4" t="n">
        <v>33.2693682326136</v>
      </c>
    </row>
    <row r="100" customFormat="false" ht="15" hidden="false" customHeight="false" outlineLevel="0" collapsed="false">
      <c r="A100" s="0" t="n">
        <f aca="false">A99+1</f>
        <v>98</v>
      </c>
      <c r="B100" s="1" t="n">
        <f aca="false">B99-H100*1</f>
        <v>17.8808</v>
      </c>
      <c r="C100" s="1" t="n">
        <f aca="false">B100*$K$1</f>
        <v>39.9993496</v>
      </c>
      <c r="D100" s="1" t="n">
        <v>18.8754361552219</v>
      </c>
      <c r="E100" s="1" t="n">
        <f aca="false">D100*$K$1</f>
        <v>42.2243506792314</v>
      </c>
      <c r="F100" s="2" t="n">
        <v>1.5</v>
      </c>
      <c r="G100" s="0" t="n">
        <f aca="false">B100*F100+5</f>
        <v>31.8212</v>
      </c>
      <c r="H100" s="3" t="n">
        <v>0</v>
      </c>
      <c r="I100" s="3" t="n">
        <v>0</v>
      </c>
      <c r="J100" s="4" t="n">
        <v>32.1257579102983</v>
      </c>
    </row>
    <row r="101" customFormat="false" ht="15" hidden="false" customHeight="false" outlineLevel="0" collapsed="false">
      <c r="A101" s="0" t="n">
        <f aca="false">A100+1</f>
        <v>99</v>
      </c>
      <c r="B101" s="1" t="n">
        <f aca="false">B100-H101*1</f>
        <v>17.8808</v>
      </c>
      <c r="C101" s="1" t="n">
        <f aca="false">B101*$K$1</f>
        <v>39.9993496</v>
      </c>
      <c r="D101" s="1" t="n">
        <v>18.5219263369462</v>
      </c>
      <c r="E101" s="1" t="n">
        <f aca="false">D101*$K$1</f>
        <v>41.4335492157487</v>
      </c>
      <c r="F101" s="2" t="n">
        <v>1.5</v>
      </c>
      <c r="G101" s="0" t="n">
        <f aca="false">B101*F101+5</f>
        <v>31.8212</v>
      </c>
      <c r="H101" s="3" t="n">
        <v>0</v>
      </c>
      <c r="I101" s="3" t="n">
        <v>0</v>
      </c>
      <c r="J101" s="4" t="n">
        <v>31.3102848749297</v>
      </c>
    </row>
    <row r="102" customFormat="false" ht="15" hidden="false" customHeight="false" outlineLevel="0" collapsed="false">
      <c r="A102" s="0" t="n">
        <f aca="false">A101+1</f>
        <v>100</v>
      </c>
      <c r="B102" s="1" t="n">
        <f aca="false">B101-H102*1</f>
        <v>17.8808</v>
      </c>
      <c r="C102" s="1" t="n">
        <f aca="false">B102*$K$1</f>
        <v>39.9993496</v>
      </c>
      <c r="D102" s="1" t="n">
        <v>18.1818460969755</v>
      </c>
      <c r="E102" s="1" t="n">
        <f aca="false">D102*$K$1</f>
        <v>40.6727897189342</v>
      </c>
      <c r="F102" s="2" t="n">
        <v>1.5</v>
      </c>
      <c r="G102" s="0" t="n">
        <f aca="false">B102*F102+5</f>
        <v>31.8212</v>
      </c>
      <c r="H102" s="3" t="n">
        <v>0</v>
      </c>
      <c r="I102" s="3" t="n">
        <v>0</v>
      </c>
      <c r="J102" s="4" t="n">
        <v>30.8459372917916</v>
      </c>
    </row>
    <row r="103" customFormat="false" ht="15" hidden="false" customHeight="false" outlineLevel="0" collapsed="false">
      <c r="A103" s="0" t="n">
        <f aca="false">A102+1</f>
        <v>101</v>
      </c>
      <c r="B103" s="1" t="n">
        <f aca="false">B102-H103*1</f>
        <v>17.8808</v>
      </c>
      <c r="C103" s="1" t="n">
        <f aca="false">B103*$K$1</f>
        <v>39.9993496</v>
      </c>
      <c r="D103" s="1" t="n">
        <v>17.9054817907616</v>
      </c>
      <c r="E103" s="1" t="n">
        <f aca="false">D103*$K$1</f>
        <v>40.0545627659337</v>
      </c>
      <c r="F103" s="2" t="n">
        <v>1.5</v>
      </c>
      <c r="G103" s="0" t="n">
        <f aca="false">B103*F103+5</f>
        <v>31.8212</v>
      </c>
      <c r="H103" s="3" t="n">
        <v>0</v>
      </c>
      <c r="I103" s="3" t="n">
        <v>0</v>
      </c>
      <c r="J103" s="4" t="n">
        <v>30.6916301562358</v>
      </c>
    </row>
    <row r="104" customFormat="false" ht="15" hidden="false" customHeight="false" outlineLevel="0" collapsed="false">
      <c r="A104" s="0" t="n">
        <f aca="false">A103+1</f>
        <v>102</v>
      </c>
      <c r="B104" s="1" t="n">
        <f aca="false">B103-H104*1</f>
        <v>17.8808</v>
      </c>
      <c r="C104" s="1" t="n">
        <f aca="false">B104*$K$1</f>
        <v>39.9993496</v>
      </c>
      <c r="D104" s="1" t="n">
        <v>17.7162852654167</v>
      </c>
      <c r="E104" s="1" t="n">
        <f aca="false">D104*$K$1</f>
        <v>39.6313301387372</v>
      </c>
      <c r="F104" s="2" t="n">
        <v>1.5</v>
      </c>
      <c r="G104" s="0" t="n">
        <f aca="false">B104*F104+5</f>
        <v>31.8212</v>
      </c>
      <c r="H104" s="3" t="n">
        <v>0</v>
      </c>
      <c r="I104" s="3" t="n">
        <v>0</v>
      </c>
      <c r="J104" s="4" t="n">
        <v>30.7699453220243</v>
      </c>
    </row>
    <row r="105" customFormat="false" ht="15" hidden="false" customHeight="false" outlineLevel="0" collapsed="false">
      <c r="A105" s="0" t="n">
        <f aca="false">A104+1</f>
        <v>103</v>
      </c>
      <c r="B105" s="1" t="n">
        <f aca="false">B104-H105*1</f>
        <v>17.8808</v>
      </c>
      <c r="C105" s="1" t="n">
        <f aca="false">B105*$K$1</f>
        <v>39.9993496</v>
      </c>
      <c r="D105" s="1" t="n">
        <v>17.6159501426162</v>
      </c>
      <c r="E105" s="1" t="n">
        <f aca="false">D105*$K$1</f>
        <v>39.4068804690324</v>
      </c>
      <c r="F105" s="2" t="n">
        <v>1.5</v>
      </c>
      <c r="G105" s="0" t="n">
        <f aca="false">B105*F105+5</f>
        <v>31.8212</v>
      </c>
      <c r="H105" s="3" t="n">
        <v>0</v>
      </c>
      <c r="I105" s="3" t="n">
        <v>0</v>
      </c>
      <c r="J105" s="4" t="n">
        <v>30.9915690835517</v>
      </c>
    </row>
    <row r="106" customFormat="false" ht="15" hidden="false" customHeight="false" outlineLevel="0" collapsed="false">
      <c r="A106" s="0" t="n">
        <f aca="false">A105+1</f>
        <v>104</v>
      </c>
      <c r="B106" s="1" t="n">
        <f aca="false">B105-H106*1</f>
        <v>17.8808</v>
      </c>
      <c r="C106" s="1" t="n">
        <f aca="false">B106*$K$1</f>
        <v>39.9993496</v>
      </c>
      <c r="D106" s="1" t="n">
        <v>17.5913147129228</v>
      </c>
      <c r="E106" s="1" t="n">
        <f aca="false">D106*$K$1</f>
        <v>39.3517710128083</v>
      </c>
      <c r="F106" s="2" t="n">
        <v>1.5</v>
      </c>
      <c r="G106" s="0" t="n">
        <f aca="false">B106*F106+5</f>
        <v>31.8212</v>
      </c>
      <c r="H106" s="3" t="n">
        <v>0</v>
      </c>
      <c r="I106" s="3" t="n">
        <v>0</v>
      </c>
      <c r="J106" s="4" t="n">
        <v>31.2735846498349</v>
      </c>
    </row>
    <row r="107" customFormat="false" ht="15" hidden="false" customHeight="false" outlineLevel="0" collapsed="false">
      <c r="A107" s="0" t="n">
        <f aca="false">A106+1</f>
        <v>105</v>
      </c>
      <c r="B107" s="1" t="n">
        <f aca="false">B101-H107*1</f>
        <v>16.3908</v>
      </c>
      <c r="C107" s="1" t="n">
        <f aca="false">B107*$K$1</f>
        <v>36.6662196</v>
      </c>
      <c r="D107" s="1" t="n">
        <v>17.5071451333424</v>
      </c>
      <c r="E107" s="1" t="n">
        <f aca="false">D107*$K$1</f>
        <v>39.163483663287</v>
      </c>
      <c r="F107" s="2" t="n">
        <v>1.5</v>
      </c>
      <c r="G107" s="0" t="n">
        <f aca="false">B107*F107+5</f>
        <v>29.5862</v>
      </c>
      <c r="H107" s="3" t="n">
        <v>1.49</v>
      </c>
      <c r="I107" s="3" t="n">
        <v>0</v>
      </c>
      <c r="J107" s="4" t="n">
        <v>30.8305363079305</v>
      </c>
    </row>
    <row r="108" customFormat="false" ht="15" hidden="false" customHeight="false" outlineLevel="0" collapsed="false">
      <c r="A108" s="0" t="n">
        <f aca="false">A107+1</f>
        <v>106</v>
      </c>
      <c r="B108" s="1" t="n">
        <f aca="false">B107-H108*1</f>
        <v>14.9008</v>
      </c>
      <c r="C108" s="1" t="n">
        <f aca="false">B108*$K$1</f>
        <v>33.3330896</v>
      </c>
      <c r="D108" s="1" t="n">
        <v>17.1393430603304</v>
      </c>
      <c r="E108" s="1" t="n">
        <f aca="false">D108*$K$1</f>
        <v>38.3407104259591</v>
      </c>
      <c r="F108" s="2" t="n">
        <v>1.5</v>
      </c>
      <c r="G108" s="0" t="n">
        <f aca="false">B108*F108+5</f>
        <v>27.3512</v>
      </c>
      <c r="H108" s="3" t="n">
        <v>1.49</v>
      </c>
      <c r="I108" s="3" t="n">
        <v>0</v>
      </c>
      <c r="J108" s="4" t="n">
        <v>29.1168933554582</v>
      </c>
    </row>
    <row r="109" customFormat="false" ht="15" hidden="false" customHeight="false" outlineLevel="0" collapsed="false">
      <c r="A109" s="0" t="n">
        <f aca="false">A108+1</f>
        <v>107</v>
      </c>
      <c r="B109" s="1" t="n">
        <f aca="false">B108-H109*1</f>
        <v>13.4108</v>
      </c>
      <c r="C109" s="1" t="n">
        <f aca="false">B109*$K$1</f>
        <v>29.9999596</v>
      </c>
      <c r="D109" s="1" t="n">
        <v>16.4008950096896</v>
      </c>
      <c r="E109" s="1" t="n">
        <f aca="false">D109*$K$1</f>
        <v>36.6888021366756</v>
      </c>
      <c r="F109" s="2" t="n">
        <v>1.5</v>
      </c>
      <c r="G109" s="0" t="n">
        <f aca="false">B109*F109+5</f>
        <v>25.1162</v>
      </c>
      <c r="H109" s="3" t="n">
        <v>1.49</v>
      </c>
      <c r="I109" s="3" t="n">
        <v>0</v>
      </c>
      <c r="J109" s="4" t="n">
        <v>26.4677891034564</v>
      </c>
    </row>
    <row r="110" customFormat="false" ht="15" hidden="false" customHeight="false" outlineLevel="0" collapsed="false">
      <c r="A110" s="0" t="n">
        <f aca="false">A109+1</f>
        <v>108</v>
      </c>
      <c r="B110" s="1" t="n">
        <f aca="false">B109-H110*1</f>
        <v>11.9208</v>
      </c>
      <c r="C110" s="1" t="n">
        <f aca="false">B110*$K$1</f>
        <v>26.6668296</v>
      </c>
      <c r="D110" s="1" t="n">
        <v>15.2931154301901</v>
      </c>
      <c r="E110" s="1" t="n">
        <f aca="false">D110*$K$1</f>
        <v>34.2106992173353</v>
      </c>
      <c r="F110" s="2" t="n">
        <v>1.5</v>
      </c>
      <c r="G110" s="0" t="n">
        <f aca="false">B110*F110+5</f>
        <v>22.8812</v>
      </c>
      <c r="H110" s="3" t="n">
        <v>1.49</v>
      </c>
      <c r="I110" s="3" t="n">
        <v>0</v>
      </c>
      <c r="J110" s="4" t="n">
        <v>23.2583426734698</v>
      </c>
    </row>
    <row r="111" customFormat="false" ht="15" hidden="false" customHeight="false" outlineLevel="0" collapsed="false">
      <c r="A111" s="0" t="n">
        <f aca="false">A110+1</f>
        <v>109</v>
      </c>
      <c r="B111" s="1" t="n">
        <f aca="false">B110-H111*1</f>
        <v>10.4308</v>
      </c>
      <c r="C111" s="1" t="n">
        <f aca="false">B111*$K$1</f>
        <v>23.3336996</v>
      </c>
      <c r="D111" s="1" t="n">
        <v>13.8763066339172</v>
      </c>
      <c r="E111" s="1" t="n">
        <f aca="false">D111*$K$1</f>
        <v>31.0412979400728</v>
      </c>
      <c r="F111" s="2" t="n">
        <v>1.5</v>
      </c>
      <c r="G111" s="0" t="n">
        <f aca="false">B111*F111+5</f>
        <v>20.6462</v>
      </c>
      <c r="H111" s="3" t="n">
        <v>1.49</v>
      </c>
      <c r="I111" s="3" t="n">
        <v>0</v>
      </c>
      <c r="J111" s="4" t="n">
        <v>19.8301200671515</v>
      </c>
    </row>
    <row r="112" customFormat="false" ht="15" hidden="false" customHeight="false" outlineLevel="0" collapsed="false">
      <c r="A112" s="0" t="n">
        <f aca="false">A111+1</f>
        <v>110</v>
      </c>
      <c r="B112" s="1" t="n">
        <f aca="false">B111-H112*1</f>
        <v>8.9408</v>
      </c>
      <c r="C112" s="1" t="n">
        <f aca="false">B112*$K$1</f>
        <v>20.0005696</v>
      </c>
      <c r="D112" s="1" t="n">
        <v>12.2406039378027</v>
      </c>
      <c r="E112" s="1" t="n">
        <f aca="false">D112*$K$1</f>
        <v>27.3822310088646</v>
      </c>
      <c r="F112" s="2" t="n">
        <v>1.5</v>
      </c>
      <c r="G112" s="0" t="n">
        <f aca="false">B112*F112+5</f>
        <v>18.4112</v>
      </c>
      <c r="H112" s="3" t="n">
        <v>1.49</v>
      </c>
      <c r="I112" s="3" t="n">
        <v>0</v>
      </c>
      <c r="J112" s="4" t="n">
        <v>16.4472450650908</v>
      </c>
    </row>
    <row r="113" customFormat="false" ht="15" hidden="false" customHeight="false" outlineLevel="0" collapsed="false">
      <c r="A113" s="0" t="n">
        <f aca="false">A112+1</f>
        <v>111</v>
      </c>
      <c r="B113" s="1" t="n">
        <f aca="false">B112-H113*1</f>
        <v>8.9408</v>
      </c>
      <c r="C113" s="1" t="n">
        <f aca="false">B113*$K$1</f>
        <v>20.0005696</v>
      </c>
      <c r="D113" s="1" t="n">
        <v>10.5958689639248</v>
      </c>
      <c r="E113" s="1" t="n">
        <f aca="false">D113*$K$1</f>
        <v>23.7029588722998</v>
      </c>
      <c r="F113" s="2" t="n">
        <v>1.5</v>
      </c>
      <c r="G113" s="0" t="n">
        <f aca="false">B113*F113+5</f>
        <v>18.4112</v>
      </c>
      <c r="H113" s="3" t="n">
        <v>0</v>
      </c>
      <c r="I113" s="3" t="n">
        <v>0</v>
      </c>
      <c r="J113" s="4" t="n">
        <v>13.9996100354595</v>
      </c>
    </row>
    <row r="114" customFormat="false" ht="15" hidden="false" customHeight="false" outlineLevel="0" collapsed="false">
      <c r="A114" s="0" t="n">
        <f aca="false">A113+1</f>
        <v>112</v>
      </c>
      <c r="B114" s="1" t="n">
        <f aca="false">B113-H114*1</f>
        <v>8.9408</v>
      </c>
      <c r="C114" s="1" t="n">
        <f aca="false">B114*$K$1</f>
        <v>20.0005696</v>
      </c>
      <c r="D114" s="1" t="n">
        <v>9.22724882812541</v>
      </c>
      <c r="E114" s="1" t="n">
        <f aca="false">D114*$K$1</f>
        <v>20.6413556285165</v>
      </c>
      <c r="F114" s="2" t="n">
        <v>1.5</v>
      </c>
      <c r="G114" s="0" t="n">
        <f aca="false">B114*F114+5</f>
        <v>18.4112</v>
      </c>
      <c r="H114" s="3" t="n">
        <v>0</v>
      </c>
      <c r="I114" s="3" t="n">
        <v>0</v>
      </c>
      <c r="J114" s="4" t="n">
        <v>13.0689264543394</v>
      </c>
    </row>
    <row r="115" customFormat="false" ht="15" hidden="false" customHeight="false" outlineLevel="0" collapsed="false">
      <c r="A115" s="0" t="n">
        <f aca="false">A114+1</f>
        <v>113</v>
      </c>
      <c r="B115" s="1" t="n">
        <f aca="false">B114-H115*1</f>
        <v>8.9408</v>
      </c>
      <c r="C115" s="1" t="n">
        <f aca="false">B115*$K$1</f>
        <v>20.0005696</v>
      </c>
      <c r="D115" s="1" t="n">
        <v>8.26388276565125</v>
      </c>
      <c r="E115" s="1" t="n">
        <f aca="false">D115*$K$1</f>
        <v>18.4863057467618</v>
      </c>
      <c r="F115" s="2" t="n">
        <v>1.5</v>
      </c>
      <c r="G115" s="0" t="n">
        <f aca="false">B115*F115+5</f>
        <v>18.4112</v>
      </c>
      <c r="H115" s="3" t="n">
        <v>0</v>
      </c>
      <c r="I115" s="3" t="n">
        <v>0</v>
      </c>
      <c r="J115" s="4" t="n">
        <v>13.3046740913171</v>
      </c>
    </row>
    <row r="116" customFormat="false" ht="15" hidden="false" customHeight="false" outlineLevel="0" collapsed="false">
      <c r="A116" s="0" t="n">
        <f aca="false">A115+1</f>
        <v>114</v>
      </c>
      <c r="B116" s="1" t="n">
        <f aca="false">B115-H116*1</f>
        <v>8.9408</v>
      </c>
      <c r="C116" s="1" t="n">
        <f aca="false">B116*$K$1</f>
        <v>20.0005696</v>
      </c>
      <c r="D116" s="1" t="n">
        <v>7.72712188415046</v>
      </c>
      <c r="E116" s="1" t="n">
        <f aca="false">D116*$K$1</f>
        <v>17.2855716548446</v>
      </c>
      <c r="F116" s="2" t="n">
        <v>1.5</v>
      </c>
      <c r="G116" s="0" t="n">
        <f aca="false">B116*F116+5</f>
        <v>18.4112</v>
      </c>
      <c r="H116" s="3" t="n">
        <v>0</v>
      </c>
      <c r="I116" s="3" t="n">
        <v>0</v>
      </c>
      <c r="J116" s="4" t="n">
        <v>14.2842606759864</v>
      </c>
    </row>
    <row r="117" customFormat="false" ht="15" hidden="false" customHeight="false" outlineLevel="0" collapsed="false">
      <c r="A117" s="0" t="n">
        <f aca="false">A116+1</f>
        <v>115</v>
      </c>
      <c r="B117" s="1" t="n">
        <f aca="false">B116-H117*1</f>
        <v>8.9408</v>
      </c>
      <c r="C117" s="1" t="n">
        <f aca="false">B117*$K$1</f>
        <v>20.0005696</v>
      </c>
      <c r="D117" s="1" t="n">
        <v>7.56264013687684</v>
      </c>
      <c r="E117" s="1" t="n">
        <f aca="false">D117*$K$1</f>
        <v>16.9176259861935</v>
      </c>
      <c r="F117" s="2" t="n">
        <v>1.5</v>
      </c>
      <c r="G117" s="0" t="n">
        <f aca="false">B117*F117+5</f>
        <v>18.4112</v>
      </c>
      <c r="H117" s="3" t="n">
        <v>0</v>
      </c>
      <c r="I117" s="3" t="n">
        <v>0</v>
      </c>
      <c r="J117" s="4" t="n">
        <v>15.604780055975</v>
      </c>
    </row>
    <row r="118" customFormat="false" ht="15" hidden="false" customHeight="false" outlineLevel="0" collapsed="false">
      <c r="A118" s="0" t="n">
        <f aca="false">A117+1</f>
        <v>116</v>
      </c>
      <c r="B118" s="1" t="n">
        <f aca="false">B117-H118*1</f>
        <v>8.9408</v>
      </c>
      <c r="C118" s="1" t="n">
        <f aca="false">B118*$K$1</f>
        <v>20.0005696</v>
      </c>
      <c r="D118" s="1" t="n">
        <v>7.6741314237933</v>
      </c>
      <c r="E118" s="1" t="n">
        <f aca="false">D118*$K$1</f>
        <v>17.1670319950256</v>
      </c>
      <c r="F118" s="2" t="n">
        <v>1.5</v>
      </c>
      <c r="G118" s="0" t="n">
        <f aca="false">B118*F118+5</f>
        <v>18.4112</v>
      </c>
      <c r="H118" s="3" t="n">
        <v>0</v>
      </c>
      <c r="I118" s="3" t="n">
        <v>0</v>
      </c>
      <c r="J118" s="4" t="n">
        <v>16.9413432758684</v>
      </c>
    </row>
    <row r="119" customFormat="false" ht="15" hidden="false" customHeight="false" outlineLevel="0" collapsed="false">
      <c r="A119" s="0" t="n">
        <f aca="false">A118+1</f>
        <v>117</v>
      </c>
      <c r="B119" s="1" t="n">
        <f aca="false">B118-H119*1</f>
        <v>8.9408</v>
      </c>
      <c r="C119" s="1" t="n">
        <f aca="false">B119*$K$1</f>
        <v>20.0005696</v>
      </c>
      <c r="D119" s="1" t="n">
        <v>7.95264826168525</v>
      </c>
      <c r="E119" s="1" t="n">
        <f aca="false">D119*$K$1</f>
        <v>17.7900741613899</v>
      </c>
      <c r="F119" s="2" t="n">
        <v>1.5</v>
      </c>
      <c r="G119" s="0" t="n">
        <f aca="false">B119*F119+5</f>
        <v>18.4112</v>
      </c>
      <c r="H119" s="3" t="n">
        <v>0</v>
      </c>
      <c r="I119" s="3" t="n">
        <v>0</v>
      </c>
      <c r="J119" s="4" t="n">
        <v>18.0736212624172</v>
      </c>
    </row>
    <row r="120" customFormat="false" ht="15" hidden="false" customHeight="false" outlineLevel="0" collapsed="false">
      <c r="A120" s="0" t="n">
        <f aca="false">A119+1</f>
        <v>118</v>
      </c>
      <c r="B120" s="1" t="n">
        <f aca="false">B119-H120*1</f>
        <v>8.9408</v>
      </c>
      <c r="C120" s="1" t="n">
        <f aca="false">B120*$K$1</f>
        <v>20.0005696</v>
      </c>
      <c r="D120" s="1" t="n">
        <v>8.29829907093461</v>
      </c>
      <c r="E120" s="1" t="n">
        <f aca="false">D120*$K$1</f>
        <v>18.5632950216807</v>
      </c>
      <c r="F120" s="2" t="n">
        <v>1.5</v>
      </c>
      <c r="G120" s="0" t="n">
        <f aca="false">B120*F120+5</f>
        <v>18.4112</v>
      </c>
      <c r="H120" s="3" t="n">
        <v>0</v>
      </c>
      <c r="I120" s="3" t="n">
        <v>0</v>
      </c>
      <c r="J120" s="4" t="n">
        <v>18.8868117987374</v>
      </c>
    </row>
    <row r="121" customFormat="false" ht="15" hidden="false" customHeight="false" outlineLevel="0" collapsed="false">
      <c r="A121" s="0" t="n">
        <f aca="false">A120+1</f>
        <v>119</v>
      </c>
      <c r="B121" s="1" t="n">
        <f aca="false">B120-H121*1</f>
        <v>8.9408</v>
      </c>
      <c r="C121" s="1" t="n">
        <f aca="false">B121*$K$1</f>
        <v>20.0005696</v>
      </c>
      <c r="D121" s="1" t="n">
        <v>8.63333318501003</v>
      </c>
      <c r="E121" s="1" t="n">
        <f aca="false">D121*$K$1</f>
        <v>19.3127663348674</v>
      </c>
      <c r="F121" s="2" t="n">
        <v>1.5</v>
      </c>
      <c r="G121" s="0" t="n">
        <f aca="false">B121*F121+5</f>
        <v>18.4112</v>
      </c>
      <c r="H121" s="3" t="n">
        <v>0</v>
      </c>
      <c r="I121" s="3" t="n">
        <v>0</v>
      </c>
      <c r="J121" s="4" t="n">
        <v>19.3553095132388</v>
      </c>
    </row>
    <row r="122" customFormat="false" ht="15" hidden="false" customHeight="false" outlineLevel="0" collapsed="false">
      <c r="A122" s="0" t="n">
        <f aca="false">A121+1</f>
        <v>120</v>
      </c>
      <c r="B122" s="1" t="n">
        <f aca="false">B121-H122*1</f>
        <v>8.9408</v>
      </c>
      <c r="C122" s="1" t="n">
        <f aca="false">B122*$K$1</f>
        <v>20.0005696</v>
      </c>
      <c r="D122" s="1" t="n">
        <v>8.90734848769987</v>
      </c>
      <c r="E122" s="1" t="n">
        <f aca="false">D122*$K$1</f>
        <v>19.9257385669846</v>
      </c>
      <c r="F122" s="2" t="n">
        <v>1.5</v>
      </c>
      <c r="G122" s="0" t="n">
        <f aca="false">B122*F122+5</f>
        <v>18.4112</v>
      </c>
      <c r="H122" s="3" t="n">
        <v>0</v>
      </c>
      <c r="I122" s="3" t="n">
        <v>0</v>
      </c>
      <c r="J122" s="4" t="n">
        <v>19.5174103619836</v>
      </c>
    </row>
    <row r="123" customFormat="false" ht="15" hidden="false" customHeight="false" outlineLevel="0" collapsed="false">
      <c r="A123" s="0" t="n">
        <f aca="false">A122+1</f>
        <v>121</v>
      </c>
      <c r="B123" s="1" t="n">
        <f aca="false">B122-H123*1</f>
        <v>8.9408</v>
      </c>
      <c r="C123" s="1" t="n">
        <f aca="false">B123*$K$1</f>
        <v>20.0005696</v>
      </c>
      <c r="D123" s="1" t="n">
        <v>9.09638160943719</v>
      </c>
      <c r="E123" s="1" t="n">
        <f aca="false">D123*$K$1</f>
        <v>20.348605660311</v>
      </c>
      <c r="F123" s="2" t="n">
        <v>1.5</v>
      </c>
      <c r="G123" s="0" t="n">
        <f aca="false">B123*F123+5</f>
        <v>18.4112</v>
      </c>
      <c r="H123" s="3" t="n">
        <v>0</v>
      </c>
      <c r="I123" s="3" t="n">
        <v>0</v>
      </c>
      <c r="J123" s="4" t="n">
        <v>19.4480769970367</v>
      </c>
    </row>
    <row r="124" customFormat="false" ht="15" hidden="false" customHeight="false" outlineLevel="0" collapsed="false">
      <c r="A124" s="0" t="n">
        <f aca="false">A123+1</f>
        <v>122</v>
      </c>
      <c r="B124" s="1" t="n">
        <f aca="false">B123-H124*1</f>
        <v>8.9408</v>
      </c>
      <c r="C124" s="1" t="n">
        <f aca="false">B124*$K$1</f>
        <v>20.0005696</v>
      </c>
      <c r="D124" s="1" t="n">
        <v>9.19804445608771</v>
      </c>
      <c r="E124" s="1" t="n">
        <f aca="false">D124*$K$1</f>
        <v>20.5760254482682</v>
      </c>
      <c r="F124" s="2" t="n">
        <v>1.5</v>
      </c>
      <c r="G124" s="0" t="n">
        <f aca="false">B124*F124+5</f>
        <v>18.4112</v>
      </c>
      <c r="H124" s="3" t="n">
        <v>0</v>
      </c>
      <c r="I124" s="3" t="n">
        <v>0</v>
      </c>
      <c r="J124" s="4" t="n">
        <v>19.2347862471402</v>
      </c>
    </row>
    <row r="125" customFormat="false" ht="15" hidden="false" customHeight="false" outlineLevel="0" collapsed="false">
      <c r="A125" s="0" t="n">
        <f aca="false">A124+1</f>
        <v>123</v>
      </c>
      <c r="B125" s="1" t="n">
        <f aca="false">B124-H125*1</f>
        <v>8.9408</v>
      </c>
      <c r="C125" s="1" t="n">
        <f aca="false">B125*$K$1</f>
        <v>20.0005696</v>
      </c>
      <c r="D125" s="1" t="n">
        <v>9.2247933803745</v>
      </c>
      <c r="E125" s="1" t="n">
        <f aca="false">D125*$K$1</f>
        <v>20.6358627918978</v>
      </c>
      <c r="F125" s="2" t="n">
        <v>1.5</v>
      </c>
      <c r="G125" s="0" t="n">
        <f aca="false">B125*F125+5</f>
        <v>18.4112</v>
      </c>
      <c r="H125" s="3" t="n">
        <v>0</v>
      </c>
      <c r="I125" s="3" t="n">
        <v>0</v>
      </c>
      <c r="J125" s="4" t="n">
        <v>18.9593281705586</v>
      </c>
    </row>
    <row r="126" customFormat="false" ht="15" hidden="false" customHeight="false" outlineLevel="0" collapsed="false">
      <c r="A126" s="0" t="n">
        <f aca="false">A125+1</f>
        <v>124</v>
      </c>
      <c r="B126" s="1" t="n">
        <f aca="false">B120+H126*1</f>
        <v>10.9408</v>
      </c>
      <c r="C126" s="1" t="n">
        <f aca="false">B126*$K$1</f>
        <v>24.4745696</v>
      </c>
      <c r="D126" s="1" t="n">
        <v>9.35036305776516</v>
      </c>
      <c r="E126" s="1" t="n">
        <f aca="false">D126*$K$1</f>
        <v>20.9167621602207</v>
      </c>
      <c r="F126" s="2" t="n">
        <v>1.5</v>
      </c>
      <c r="G126" s="0" t="n">
        <f aca="false">B126*F126+5</f>
        <v>21.4112</v>
      </c>
      <c r="H126" s="3" t="n">
        <v>2</v>
      </c>
      <c r="I126" s="3" t="n">
        <v>0</v>
      </c>
      <c r="J126" s="4" t="n">
        <v>19.6531889806799</v>
      </c>
    </row>
    <row r="127" customFormat="false" ht="15" hidden="false" customHeight="false" outlineLevel="0" collapsed="false">
      <c r="A127" s="0" t="n">
        <f aca="false">A126+1</f>
        <v>125</v>
      </c>
      <c r="B127" s="1" t="n">
        <f aca="false">B126+H127*1</f>
        <v>12.9408</v>
      </c>
      <c r="C127" s="1" t="n">
        <f aca="false">B127*$K$1</f>
        <v>28.9485696</v>
      </c>
      <c r="D127" s="1" t="n">
        <v>9.86729516736257</v>
      </c>
      <c r="E127" s="1" t="n">
        <f aca="false">D127*$K$1</f>
        <v>22.0731392893901</v>
      </c>
      <c r="F127" s="2" t="n">
        <v>1.5</v>
      </c>
      <c r="G127" s="0" t="n">
        <f aca="false">B127*F127+5</f>
        <v>24.4112</v>
      </c>
      <c r="H127" s="3" t="n">
        <v>2</v>
      </c>
      <c r="I127" s="3" t="n">
        <v>0</v>
      </c>
      <c r="J127" s="4" t="n">
        <v>22.033963243194</v>
      </c>
    </row>
    <row r="128" customFormat="false" ht="15" hidden="false" customHeight="false" outlineLevel="0" collapsed="false">
      <c r="A128" s="0" t="n">
        <f aca="false">A127+1</f>
        <v>126</v>
      </c>
      <c r="B128" s="1" t="n">
        <f aca="false">B127+H128*1</f>
        <v>14.9408</v>
      </c>
      <c r="C128" s="1" t="n">
        <f aca="false">B128*$K$1</f>
        <v>33.4225696</v>
      </c>
      <c r="D128" s="1" t="n">
        <v>10.8851362210015</v>
      </c>
      <c r="E128" s="1" t="n">
        <f aca="false">D128*$K$1</f>
        <v>24.3500497263804</v>
      </c>
      <c r="F128" s="2" t="n">
        <v>1.5</v>
      </c>
      <c r="G128" s="0" t="n">
        <f aca="false">B128*F128+5</f>
        <v>27.4112</v>
      </c>
      <c r="H128" s="3" t="n">
        <v>2</v>
      </c>
      <c r="I128" s="3" t="n">
        <v>0</v>
      </c>
      <c r="J128" s="4" t="n">
        <v>25.6449709293429</v>
      </c>
    </row>
    <row r="129" customFormat="false" ht="15" hidden="false" customHeight="false" outlineLevel="0" collapsed="false">
      <c r="A129" s="0" t="n">
        <f aca="false">A128+1</f>
        <v>127</v>
      </c>
      <c r="B129" s="1" t="n">
        <f aca="false">B128+H129*1</f>
        <v>16.9408</v>
      </c>
      <c r="C129" s="1" t="n">
        <f aca="false">B129*$K$1</f>
        <v>37.8965696</v>
      </c>
      <c r="D129" s="1" t="n">
        <v>12.3967160418393</v>
      </c>
      <c r="E129" s="1" t="n">
        <f aca="false">D129*$K$1</f>
        <v>27.7314537855945</v>
      </c>
      <c r="F129" s="2" t="n">
        <v>1.5</v>
      </c>
      <c r="G129" s="0" t="n">
        <f aca="false">B129*F129+5</f>
        <v>30.4112</v>
      </c>
      <c r="H129" s="3" t="n">
        <v>2</v>
      </c>
      <c r="I129" s="3" t="n">
        <v>0</v>
      </c>
      <c r="J129" s="4" t="n">
        <v>29.9822040468055</v>
      </c>
    </row>
    <row r="130" customFormat="false" ht="15" hidden="false" customHeight="false" outlineLevel="0" collapsed="false">
      <c r="A130" s="0" t="n">
        <f aca="false">A129+1</f>
        <v>128</v>
      </c>
      <c r="B130" s="1" t="n">
        <f aca="false">B129+H130*1</f>
        <v>18.9408</v>
      </c>
      <c r="C130" s="1" t="n">
        <f aca="false">B130*$K$1</f>
        <v>42.3705696</v>
      </c>
      <c r="D130" s="1" t="n">
        <v>14.3177919363627</v>
      </c>
      <c r="E130" s="1" t="n">
        <f aca="false">D130*$K$1</f>
        <v>32.0289005616434</v>
      </c>
      <c r="F130" s="2" t="n">
        <v>1.5</v>
      </c>
      <c r="G130" s="0" t="n">
        <f aca="false">B130*F130+5</f>
        <v>33.4112</v>
      </c>
      <c r="H130" s="3" t="n">
        <v>2</v>
      </c>
      <c r="I130" s="3" t="n">
        <v>0</v>
      </c>
      <c r="J130" s="4" t="n">
        <v>34.5910236362233</v>
      </c>
    </row>
    <row r="131" customFormat="false" ht="15" hidden="false" customHeight="false" outlineLevel="0" collapsed="false">
      <c r="A131" s="0" t="n">
        <f aca="false">A130+1</f>
        <v>129</v>
      </c>
      <c r="B131" s="1" t="n">
        <f aca="false">B130+H131*1</f>
        <v>18.9408</v>
      </c>
      <c r="C131" s="1" t="n">
        <f aca="false">B131*$K$1</f>
        <v>42.3705696</v>
      </c>
      <c r="D131" s="1" t="n">
        <v>16.3726858776863</v>
      </c>
      <c r="E131" s="1" t="n">
        <f aca="false">D131*$K$1</f>
        <v>36.6256983083843</v>
      </c>
      <c r="F131" s="2" t="n">
        <v>1.5</v>
      </c>
      <c r="G131" s="0" t="n">
        <f aca="false">B131*F131+5</f>
        <v>33.4112</v>
      </c>
      <c r="H131" s="3" t="n">
        <v>0</v>
      </c>
      <c r="I131" s="3" t="n">
        <v>0</v>
      </c>
      <c r="J131" s="4" t="n">
        <v>38.1563586515697</v>
      </c>
    </row>
    <row r="132" customFormat="false" ht="15" hidden="false" customHeight="false" outlineLevel="0" collapsed="false">
      <c r="A132" s="0" t="n">
        <f aca="false">A131+1</f>
        <v>130</v>
      </c>
      <c r="B132" s="1" t="n">
        <f aca="false">B131+H132*1</f>
        <v>18.9408</v>
      </c>
      <c r="C132" s="1" t="n">
        <f aca="false">B132*$K$1</f>
        <v>42.3705696</v>
      </c>
      <c r="D132" s="1" t="n">
        <v>18.1631024891501</v>
      </c>
      <c r="E132" s="1" t="n">
        <f aca="false">D132*$K$1</f>
        <v>40.6308602682288</v>
      </c>
      <c r="F132" s="2" t="n">
        <v>1.5</v>
      </c>
      <c r="G132" s="0" t="n">
        <f aca="false">B132*F132+5</f>
        <v>33.4112</v>
      </c>
      <c r="H132" s="3" t="n">
        <v>0</v>
      </c>
      <c r="I132" s="3" t="n">
        <v>0</v>
      </c>
      <c r="J132" s="4" t="n">
        <v>39.7824821054694</v>
      </c>
    </row>
    <row r="133" customFormat="false" ht="15" hidden="false" customHeight="false" outlineLevel="0" collapsed="false">
      <c r="A133" s="0" t="n">
        <f aca="false">A132+1</f>
        <v>131</v>
      </c>
      <c r="B133" s="1" t="n">
        <f aca="false">B132+H133*1</f>
        <v>18.9408</v>
      </c>
      <c r="C133" s="1" t="n">
        <f aca="false">B133*$K$1</f>
        <v>42.3705696</v>
      </c>
      <c r="D133" s="1" t="n">
        <v>19.4882023776012</v>
      </c>
      <c r="E133" s="1" t="n">
        <f aca="false">D133*$K$1</f>
        <v>43.5951087186939</v>
      </c>
      <c r="F133" s="2" t="n">
        <v>1.5</v>
      </c>
      <c r="G133" s="0" t="n">
        <f aca="false">B133*F133+5</f>
        <v>33.4112</v>
      </c>
      <c r="H133" s="3" t="n">
        <v>0</v>
      </c>
      <c r="I133" s="3" t="n">
        <v>0</v>
      </c>
      <c r="J133" s="4" t="n">
        <v>39.8472776816031</v>
      </c>
    </row>
    <row r="134" customFormat="false" ht="15" hidden="false" customHeight="false" outlineLevel="0" collapsed="false">
      <c r="A134" s="0" t="n">
        <f aca="false">A133+1</f>
        <v>132</v>
      </c>
      <c r="B134" s="1" t="n">
        <f aca="false">B133+H134*1</f>
        <v>18.9408</v>
      </c>
      <c r="C134" s="1" t="n">
        <f aca="false">B134*$K$1</f>
        <v>42.3705696</v>
      </c>
      <c r="D134" s="1" t="n">
        <v>20.288242809198</v>
      </c>
      <c r="E134" s="1" t="n">
        <f aca="false">D134*$K$1</f>
        <v>45.3847991641759</v>
      </c>
      <c r="F134" s="2" t="n">
        <v>1.5</v>
      </c>
      <c r="G134" s="0" t="n">
        <f aca="false">B134*F134+5</f>
        <v>33.4112</v>
      </c>
      <c r="H134" s="3" t="n">
        <v>0</v>
      </c>
      <c r="I134" s="3" t="n">
        <v>0</v>
      </c>
      <c r="J134" s="4" t="n">
        <v>38.855211729634</v>
      </c>
    </row>
    <row r="135" customFormat="false" ht="15" hidden="false" customHeight="false" outlineLevel="0" collapsed="false">
      <c r="A135" s="0" t="n">
        <f aca="false">A134+1</f>
        <v>133</v>
      </c>
      <c r="B135" s="1" t="n">
        <f aca="false">B134+H135*1</f>
        <v>18.9408</v>
      </c>
      <c r="C135" s="1" t="n">
        <f aca="false">B135*$K$1</f>
        <v>42.3705696</v>
      </c>
      <c r="D135" s="1" t="n">
        <v>20.6076591087173</v>
      </c>
      <c r="E135" s="1" t="n">
        <f aca="false">D135*$K$1</f>
        <v>46.0993334262006</v>
      </c>
      <c r="F135" s="2" t="n">
        <v>1.5</v>
      </c>
      <c r="G135" s="0" t="n">
        <f aca="false">B135*F135+5</f>
        <v>33.4112</v>
      </c>
      <c r="H135" s="3" t="n">
        <v>0</v>
      </c>
      <c r="I135" s="3" t="n">
        <v>0</v>
      </c>
      <c r="J135" s="4" t="n">
        <v>37.3144260844354</v>
      </c>
    </row>
    <row r="136" customFormat="false" ht="15" hidden="false" customHeight="false" outlineLevel="0" collapsed="false">
      <c r="A136" s="0" t="n">
        <f aca="false">A135+1</f>
        <v>134</v>
      </c>
      <c r="B136" s="1" t="n">
        <f aca="false">B135+H136*1</f>
        <v>18.9408</v>
      </c>
      <c r="C136" s="1" t="n">
        <f aca="false">B136*$K$1</f>
        <v>42.3705696</v>
      </c>
      <c r="D136" s="1" t="n">
        <v>20.5535599008593</v>
      </c>
      <c r="E136" s="1" t="n">
        <f aca="false">D136*$K$1</f>
        <v>45.9783134982223</v>
      </c>
      <c r="F136" s="2" t="n">
        <v>1.5</v>
      </c>
      <c r="G136" s="0" t="n">
        <f aca="false">B136*F136+5</f>
        <v>33.4112</v>
      </c>
      <c r="H136" s="3" t="n">
        <v>0</v>
      </c>
      <c r="I136" s="3" t="n">
        <v>0</v>
      </c>
      <c r="J136" s="4" t="n">
        <v>35.6537715975353</v>
      </c>
    </row>
    <row r="137" customFormat="false" ht="15" hidden="false" customHeight="false" outlineLevel="0" collapsed="false">
      <c r="A137" s="0" t="n">
        <f aca="false">A136+1</f>
        <v>135</v>
      </c>
      <c r="B137" s="1" t="n">
        <f aca="false">B136+H137*1</f>
        <v>18.9408</v>
      </c>
      <c r="C137" s="1" t="n">
        <f aca="false">B137*$K$1</f>
        <v>42.3705696</v>
      </c>
      <c r="D137" s="1" t="n">
        <v>20.2578262610544</v>
      </c>
      <c r="E137" s="1" t="n">
        <f aca="false">D137*$K$1</f>
        <v>45.3167573459787</v>
      </c>
      <c r="F137" s="2" t="n">
        <v>1.5</v>
      </c>
      <c r="G137" s="0" t="n">
        <f aca="false">B137*F137+5</f>
        <v>33.4112</v>
      </c>
      <c r="H137" s="3" t="n">
        <v>0</v>
      </c>
      <c r="I137" s="3" t="n">
        <v>0</v>
      </c>
      <c r="J137" s="4" t="n">
        <v>34.1799592044006</v>
      </c>
    </row>
    <row r="138" customFormat="false" ht="15" hidden="false" customHeight="false" outlineLevel="0" collapsed="false">
      <c r="A138" s="0" t="n">
        <f aca="false">A137+1</f>
        <v>136</v>
      </c>
      <c r="B138" s="1" t="n">
        <f aca="false">B137+H138*1</f>
        <v>18.9408</v>
      </c>
      <c r="C138" s="1" t="n">
        <f aca="false">B138*$K$1</f>
        <v>42.3705696</v>
      </c>
      <c r="D138" s="1" t="n">
        <v>19.84772411202</v>
      </c>
      <c r="E138" s="1" t="n">
        <f aca="false">D138*$K$1</f>
        <v>44.3993588385887</v>
      </c>
      <c r="F138" s="2" t="n">
        <v>1.5</v>
      </c>
      <c r="G138" s="0" t="n">
        <f aca="false">B138*F138+5</f>
        <v>33.4112</v>
      </c>
      <c r="H138" s="3" t="n">
        <v>0</v>
      </c>
      <c r="I138" s="3" t="n">
        <v>0</v>
      </c>
      <c r="J138" s="4" t="n">
        <v>33.0684925729161</v>
      </c>
    </row>
    <row r="139" customFormat="false" ht="15" hidden="false" customHeight="false" outlineLevel="0" collapsed="false">
      <c r="A139" s="0" t="n">
        <f aca="false">A138+1</f>
        <v>137</v>
      </c>
      <c r="B139" s="1" t="n">
        <f aca="false">B138+H139*1</f>
        <v>18.9408</v>
      </c>
      <c r="C139" s="1" t="n">
        <f aca="false">B139*$K$1</f>
        <v>42.3705696</v>
      </c>
      <c r="D139" s="1" t="n">
        <v>19.4269505256666</v>
      </c>
      <c r="E139" s="1" t="n">
        <f aca="false">D139*$K$1</f>
        <v>43.4580883259162</v>
      </c>
      <c r="F139" s="2" t="n">
        <v>1.5</v>
      </c>
      <c r="G139" s="0" t="n">
        <f aca="false">B139*F139+5</f>
        <v>33.4112</v>
      </c>
      <c r="H139" s="3" t="n">
        <v>0</v>
      </c>
      <c r="I139" s="3" t="n">
        <v>0</v>
      </c>
      <c r="J139" s="4" t="n">
        <v>32.3787007543942</v>
      </c>
    </row>
    <row r="140" customFormat="false" ht="15" hidden="false" customHeight="false" outlineLevel="0" collapsed="false">
      <c r="A140" s="0" t="n">
        <f aca="false">A139+1</f>
        <v>138</v>
      </c>
      <c r="B140" s="1" t="n">
        <f aca="false">B139+H140*1</f>
        <v>18.9408</v>
      </c>
      <c r="C140" s="1" t="n">
        <f aca="false">B140*$K$1</f>
        <v>42.3705696</v>
      </c>
      <c r="D140" s="1" t="n">
        <v>19.0667224996612</v>
      </c>
      <c r="E140" s="1" t="n">
        <f aca="false">D140*$K$1</f>
        <v>42.6522582317421</v>
      </c>
      <c r="F140" s="2" t="n">
        <v>1.5</v>
      </c>
      <c r="G140" s="0" t="n">
        <f aca="false">B140*F140+5</f>
        <v>33.4112</v>
      </c>
      <c r="H140" s="3" t="n">
        <v>0</v>
      </c>
      <c r="I140" s="3" t="n">
        <v>0</v>
      </c>
      <c r="J140" s="4" t="n">
        <v>32.082504605318</v>
      </c>
    </row>
    <row r="141" customFormat="false" ht="15" hidden="false" customHeight="false" outlineLevel="0" collapsed="false">
      <c r="A141" s="0" t="n">
        <f aca="false">A140+1</f>
        <v>139</v>
      </c>
      <c r="B141" s="1" t="n">
        <f aca="false">B140+H141*1</f>
        <v>18.9408</v>
      </c>
      <c r="C141" s="1" t="n">
        <f aca="false">B141*$K$1</f>
        <v>42.3705696</v>
      </c>
      <c r="D141" s="1" t="n">
        <v>18.8050301405085</v>
      </c>
      <c r="E141" s="1" t="n">
        <f aca="false">D141*$K$1</f>
        <v>42.0668524243175</v>
      </c>
      <c r="F141" s="2" t="n">
        <v>1.5</v>
      </c>
      <c r="G141" s="0" t="n">
        <f aca="false">B141*F141+5</f>
        <v>33.4112</v>
      </c>
      <c r="H141" s="3" t="n">
        <v>0</v>
      </c>
      <c r="I141" s="3" t="n">
        <v>0</v>
      </c>
      <c r="J141" s="4" t="n">
        <v>32.0977596897926</v>
      </c>
    </row>
    <row r="142" customFormat="false" ht="15" hidden="false" customHeight="false" outlineLevel="0" collapsed="false">
      <c r="A142" s="0" t="n">
        <f aca="false">A141+1</f>
        <v>140</v>
      </c>
      <c r="B142" s="1" t="n">
        <f aca="false">B141+H142*1</f>
        <v>18.9408</v>
      </c>
      <c r="C142" s="1" t="n">
        <f aca="false">B142*$K$1</f>
        <v>42.3705696</v>
      </c>
      <c r="D142" s="1" t="n">
        <v>18.6514819678568</v>
      </c>
      <c r="E142" s="1" t="n">
        <f aca="false">D142*$K$1</f>
        <v>41.7233651620957</v>
      </c>
      <c r="F142" s="2" t="n">
        <v>1.5</v>
      </c>
      <c r="G142" s="0" t="n">
        <f aca="false">B142*F142+5</f>
        <v>33.4112</v>
      </c>
      <c r="H142" s="3" t="n">
        <v>0</v>
      </c>
      <c r="I142" s="3" t="n">
        <v>0</v>
      </c>
      <c r="J142" s="4" t="n">
        <v>32.3193019385406</v>
      </c>
    </row>
    <row r="143" customFormat="false" ht="15" hidden="false" customHeight="false" outlineLevel="0" collapsed="false">
      <c r="A143" s="0" t="n">
        <f aca="false">A142+1</f>
        <v>141</v>
      </c>
      <c r="B143" s="1" t="n">
        <f aca="false">B142+H143*1</f>
        <v>18.9408</v>
      </c>
      <c r="C143" s="1" t="n">
        <f aca="false">B143*$K$1</f>
        <v>42.3705696</v>
      </c>
      <c r="D143" s="1" t="n">
        <v>18.5951186270911</v>
      </c>
      <c r="E143" s="1" t="n">
        <f aca="false">D143*$K$1</f>
        <v>41.5972803688028</v>
      </c>
      <c r="F143" s="2" t="n">
        <v>1.5</v>
      </c>
      <c r="G143" s="0" t="n">
        <f aca="false">B143*F143+5</f>
        <v>33.4112</v>
      </c>
      <c r="H143" s="3" t="n">
        <v>0</v>
      </c>
      <c r="I143" s="3" t="n">
        <v>0</v>
      </c>
      <c r="J143" s="4" t="n">
        <v>32.6434587427007</v>
      </c>
    </row>
    <row r="144" customFormat="false" ht="15" hidden="false" customHeight="false" outlineLevel="0" collapsed="false">
      <c r="A144" s="0" t="n">
        <f aca="false">A143+1</f>
        <v>142</v>
      </c>
      <c r="B144" s="1" t="n">
        <f aca="false">B138-H144*1</f>
        <v>16.9408</v>
      </c>
      <c r="C144" s="1" t="n">
        <f aca="false">B144*$K$1</f>
        <v>37.8965696</v>
      </c>
      <c r="D144" s="1" t="n">
        <v>18.4596256222548</v>
      </c>
      <c r="E144" s="1" t="n">
        <f aca="false">D144*$K$1</f>
        <v>41.294182516984</v>
      </c>
      <c r="F144" s="2" t="n">
        <v>1.5</v>
      </c>
      <c r="G144" s="0" t="n">
        <f aca="false">B144*F144+5</f>
        <v>30.4112</v>
      </c>
      <c r="H144" s="3" t="n">
        <v>2</v>
      </c>
      <c r="I144" s="3" t="n">
        <v>0</v>
      </c>
      <c r="J144" s="4" t="n">
        <v>32.0175702075078</v>
      </c>
    </row>
    <row r="145" customFormat="false" ht="15" hidden="false" customHeight="false" outlineLevel="0" collapsed="false">
      <c r="A145" s="0" t="n">
        <f aca="false">A144+1</f>
        <v>143</v>
      </c>
      <c r="B145" s="1" t="n">
        <f aca="false">B144-H145*1</f>
        <v>14.9408</v>
      </c>
      <c r="C145" s="1" t="n">
        <f aca="false">B145*$K$1</f>
        <v>33.4225696</v>
      </c>
      <c r="D145" s="1" t="n">
        <v>17.9475641437884</v>
      </c>
      <c r="E145" s="1" t="n">
        <f aca="false">D145*$K$1</f>
        <v>40.1487009896547</v>
      </c>
      <c r="F145" s="2" t="n">
        <v>1.5</v>
      </c>
      <c r="G145" s="0" t="n">
        <f aca="false">B145*F145+5</f>
        <v>27.4112</v>
      </c>
      <c r="H145" s="3" t="n">
        <v>2</v>
      </c>
      <c r="I145" s="3" t="n">
        <v>0</v>
      </c>
      <c r="J145" s="4" t="n">
        <v>29.7067497958683</v>
      </c>
    </row>
    <row r="146" customFormat="false" ht="15" hidden="false" customHeight="false" outlineLevel="0" collapsed="false">
      <c r="A146" s="0" t="n">
        <f aca="false">A145+1</f>
        <v>144</v>
      </c>
      <c r="B146" s="1" t="n">
        <f aca="false">B145-H146*1</f>
        <v>12.9408</v>
      </c>
      <c r="C146" s="1" t="n">
        <f aca="false">B146*$K$1</f>
        <v>28.9485696</v>
      </c>
      <c r="D146" s="1" t="n">
        <v>16.9437253306423</v>
      </c>
      <c r="E146" s="1" t="n">
        <f aca="false">D146*$K$1</f>
        <v>37.9031135646468</v>
      </c>
      <c r="F146" s="2" t="n">
        <v>1.5</v>
      </c>
      <c r="G146" s="0" t="n">
        <f aca="false">B146*F146+5</f>
        <v>24.4112</v>
      </c>
      <c r="H146" s="3" t="n">
        <v>2</v>
      </c>
      <c r="I146" s="3" t="n">
        <v>0</v>
      </c>
      <c r="J146" s="4" t="n">
        <v>26.1557692594877</v>
      </c>
    </row>
    <row r="147" customFormat="false" ht="15" hidden="false" customHeight="false" outlineLevel="0" collapsed="false">
      <c r="A147" s="0" t="n">
        <f aca="false">A146+1</f>
        <v>145</v>
      </c>
      <c r="B147" s="1" t="n">
        <f aca="false">B146-H147*1</f>
        <v>10.9408</v>
      </c>
      <c r="C147" s="1" t="n">
        <f aca="false">B147*$K$1</f>
        <v>24.4745696</v>
      </c>
      <c r="D147" s="1" t="n">
        <v>15.4500151529015</v>
      </c>
      <c r="E147" s="1" t="n">
        <f aca="false">D147*$K$1</f>
        <v>34.5616838970407</v>
      </c>
      <c r="F147" s="2" t="n">
        <v>1.5</v>
      </c>
      <c r="G147" s="0" t="n">
        <f aca="false">B147*F147+5</f>
        <v>21.4112</v>
      </c>
      <c r="H147" s="3" t="n">
        <v>2</v>
      </c>
      <c r="I147" s="3" t="n">
        <v>0</v>
      </c>
      <c r="J147" s="4" t="n">
        <v>21.8622524946893</v>
      </c>
    </row>
    <row r="148" customFormat="false" ht="15" hidden="false" customHeight="false" outlineLevel="0" collapsed="false">
      <c r="A148" s="0" t="n">
        <f aca="false">A147+1</f>
        <v>146</v>
      </c>
      <c r="B148" s="1" t="n">
        <f aca="false">B147-H148*1</f>
        <v>8.9408</v>
      </c>
      <c r="C148" s="1" t="n">
        <f aca="false">B148*$K$1</f>
        <v>20.0005696</v>
      </c>
      <c r="D148" s="1" t="n">
        <v>13.54652589362</v>
      </c>
      <c r="E148" s="1" t="n">
        <f aca="false">D148*$K$1</f>
        <v>30.3035784240279</v>
      </c>
      <c r="F148" s="2" t="n">
        <v>1.5</v>
      </c>
      <c r="G148" s="0" t="n">
        <f aca="false">B148*F148+5</f>
        <v>18.4112</v>
      </c>
      <c r="H148" s="3" t="n">
        <v>2</v>
      </c>
      <c r="I148" s="3" t="n">
        <v>0</v>
      </c>
      <c r="J148" s="4" t="n">
        <v>17.2791839238478</v>
      </c>
    </row>
    <row r="149" customFormat="false" ht="15" hidden="false" customHeight="false" outlineLevel="0" collapsed="false">
      <c r="A149" s="0" t="n">
        <f aca="false">A148+1</f>
        <v>147</v>
      </c>
      <c r="B149" s="1" t="n">
        <f aca="false">B148-H149*1</f>
        <v>8.9408</v>
      </c>
      <c r="C149" s="1" t="n">
        <f aca="false">B149*$K$1</f>
        <v>20.0005696</v>
      </c>
      <c r="D149" s="1" t="n">
        <v>11.5061994151814</v>
      </c>
      <c r="E149" s="1" t="n">
        <f aca="false">D149*$K$1</f>
        <v>25.7393680917608</v>
      </c>
      <c r="F149" s="2" t="n">
        <v>1.5</v>
      </c>
      <c r="G149" s="0" t="n">
        <f aca="false">B149*F149+5</f>
        <v>18.4112</v>
      </c>
      <c r="H149" s="3" t="n">
        <v>0</v>
      </c>
      <c r="I149" s="3" t="n">
        <v>0</v>
      </c>
      <c r="J149" s="4" t="n">
        <v>13.7234161081758</v>
      </c>
    </row>
    <row r="150" customFormat="false" ht="15" hidden="false" customHeight="false" outlineLevel="0" collapsed="false">
      <c r="A150" s="0" t="n">
        <f aca="false">A149+1</f>
        <v>148</v>
      </c>
      <c r="B150" s="1" t="n">
        <f aca="false">B149-H150*1</f>
        <v>8.9408</v>
      </c>
      <c r="C150" s="1" t="n">
        <f aca="false">B150*$K$1</f>
        <v>20.0005696</v>
      </c>
      <c r="D150" s="1" t="n">
        <v>9.72598300727866</v>
      </c>
      <c r="E150" s="1" t="n">
        <f aca="false">D150*$K$1</f>
        <v>21.7570239872824</v>
      </c>
      <c r="F150" s="2" t="n">
        <v>1.5</v>
      </c>
      <c r="G150" s="0" t="n">
        <f aca="false">B150*F150+5</f>
        <v>18.4112</v>
      </c>
      <c r="H150" s="3" t="n">
        <v>0</v>
      </c>
      <c r="I150" s="3" t="n">
        <v>0</v>
      </c>
      <c r="J150" s="4" t="n">
        <v>12.0944738427568</v>
      </c>
    </row>
    <row r="151" customFormat="false" ht="15" hidden="false" customHeight="false" outlineLevel="0" collapsed="false">
      <c r="A151" s="0" t="n">
        <f aca="false">A150+1</f>
        <v>149</v>
      </c>
      <c r="B151" s="1" t="n">
        <f aca="false">B150-H151*1</f>
        <v>8.9408</v>
      </c>
      <c r="C151" s="1" t="n">
        <f aca="false">B151*$K$1</f>
        <v>20.0005696</v>
      </c>
      <c r="D151" s="1" t="n">
        <v>8.40651518872216</v>
      </c>
      <c r="E151" s="1" t="n">
        <f aca="false">D151*$K$1</f>
        <v>18.8053744771715</v>
      </c>
      <c r="F151" s="2" t="n">
        <v>1.5</v>
      </c>
      <c r="G151" s="0" t="n">
        <f aca="false">B151*F151+5</f>
        <v>18.4112</v>
      </c>
      <c r="H151" s="3" t="n">
        <v>0</v>
      </c>
      <c r="I151" s="3" t="n">
        <v>0</v>
      </c>
      <c r="J151" s="4" t="n">
        <v>12.0190115906103</v>
      </c>
    </row>
    <row r="152" customFormat="false" ht="15" hidden="false" customHeight="false" outlineLevel="0" collapsed="false">
      <c r="A152" s="0" t="n">
        <f aca="false">A151+1</f>
        <v>150</v>
      </c>
      <c r="B152" s="1" t="n">
        <f aca="false">B151-H152*1</f>
        <v>8.9408</v>
      </c>
      <c r="C152" s="1" t="n">
        <f aca="false">B152*$K$1</f>
        <v>20.0005696</v>
      </c>
      <c r="D152" s="1" t="n">
        <v>7.60813902485525</v>
      </c>
      <c r="E152" s="1" t="n">
        <f aca="false">D152*$K$1</f>
        <v>17.0194069986012</v>
      </c>
      <c r="F152" s="2" t="n">
        <v>1.5</v>
      </c>
      <c r="G152" s="0" t="n">
        <f aca="false">B152*F152+5</f>
        <v>18.4112</v>
      </c>
      <c r="H152" s="3" t="n">
        <v>0</v>
      </c>
      <c r="I152" s="3" t="n">
        <v>0</v>
      </c>
      <c r="J152" s="4" t="n">
        <v>12.9968672030379</v>
      </c>
    </row>
    <row r="153" customFormat="false" ht="15" hidden="false" customHeight="false" outlineLevel="0" collapsed="false">
      <c r="A153" s="0" t="n">
        <f aca="false">A152+1</f>
        <v>151</v>
      </c>
      <c r="B153" s="1" t="n">
        <f aca="false">B152-H153*1</f>
        <v>8.9408</v>
      </c>
      <c r="C153" s="1" t="n">
        <f aca="false">B153*$K$1</f>
        <v>20.0005696</v>
      </c>
      <c r="D153" s="1" t="n">
        <v>7.28745992169576</v>
      </c>
      <c r="E153" s="1" t="n">
        <f aca="false">D153*$K$1</f>
        <v>16.3020478448334</v>
      </c>
      <c r="F153" s="2" t="n">
        <v>1.5</v>
      </c>
      <c r="G153" s="0" t="n">
        <f aca="false">B153*F153+5</f>
        <v>18.4112</v>
      </c>
      <c r="H153" s="3" t="n">
        <v>0</v>
      </c>
      <c r="I153" s="3" t="n">
        <v>0</v>
      </c>
      <c r="J153" s="4" t="n">
        <v>14.5233537523895</v>
      </c>
    </row>
    <row r="154" customFormat="false" ht="15" hidden="false" customHeight="false" outlineLevel="0" collapsed="false">
      <c r="A154" s="0" t="n">
        <f aca="false">A153+1</f>
        <v>152</v>
      </c>
      <c r="B154" s="1" t="n">
        <f aca="false">B153-H154*1</f>
        <v>8.9408</v>
      </c>
      <c r="C154" s="1" t="n">
        <f aca="false">B154*$K$1</f>
        <v>20.0005696</v>
      </c>
      <c r="D154" s="1" t="n">
        <v>7.33853770870982</v>
      </c>
      <c r="E154" s="1" t="n">
        <f aca="false">D154*$K$1</f>
        <v>16.4163088543839</v>
      </c>
      <c r="F154" s="2" t="n">
        <v>1.5</v>
      </c>
      <c r="G154" s="0" t="n">
        <f aca="false">B154*F154+5</f>
        <v>18.4112</v>
      </c>
      <c r="H154" s="3" t="n">
        <v>0</v>
      </c>
      <c r="I154" s="3" t="n">
        <v>0</v>
      </c>
      <c r="J154" s="4" t="n">
        <v>16.1719502226372</v>
      </c>
    </row>
    <row r="155" customFormat="false" ht="15" hidden="false" customHeight="false" outlineLevel="0" collapsed="false">
      <c r="A155" s="0" t="n">
        <f aca="false">A154+1</f>
        <v>153</v>
      </c>
      <c r="B155" s="1" t="n">
        <f aca="false">B154-H155*1</f>
        <v>8.9408</v>
      </c>
      <c r="C155" s="1" t="n">
        <f aca="false">B155*$K$1</f>
        <v>20.0005696</v>
      </c>
      <c r="D155" s="1" t="n">
        <v>7.63055737638282</v>
      </c>
      <c r="E155" s="1" t="n">
        <f aca="false">D155*$K$1</f>
        <v>17.0695568509684</v>
      </c>
      <c r="F155" s="2" t="n">
        <v>1.5</v>
      </c>
      <c r="G155" s="0" t="n">
        <f aca="false">B155*F155+5</f>
        <v>18.4112</v>
      </c>
      <c r="H155" s="3" t="n">
        <v>0</v>
      </c>
      <c r="I155" s="3" t="n">
        <v>0</v>
      </c>
      <c r="J155" s="4" t="n">
        <v>17.637146621099</v>
      </c>
    </row>
    <row r="156" customFormat="false" ht="15" hidden="false" customHeight="false" outlineLevel="0" collapsed="false">
      <c r="A156" s="0" t="n">
        <f aca="false">A155+1</f>
        <v>154</v>
      </c>
      <c r="B156" s="1" t="n">
        <f aca="false">B155-H156*1</f>
        <v>8.9408</v>
      </c>
      <c r="C156" s="1" t="n">
        <f aca="false">B156*$K$1</f>
        <v>20.0005696</v>
      </c>
      <c r="D156" s="1" t="n">
        <v>8.03707892687186</v>
      </c>
      <c r="E156" s="1" t="n">
        <f aca="false">D156*$K$1</f>
        <v>17.9789455594124</v>
      </c>
      <c r="F156" s="2" t="n">
        <v>1.5</v>
      </c>
      <c r="G156" s="0" t="n">
        <f aca="false">B156*F156+5</f>
        <v>18.4112</v>
      </c>
      <c r="H156" s="3" t="n">
        <v>0</v>
      </c>
      <c r="I156" s="3" t="n">
        <v>0</v>
      </c>
      <c r="J156" s="4" t="n">
        <v>18.7436903953401</v>
      </c>
    </row>
    <row r="157" customFormat="false" ht="15" hidden="false" customHeight="false" outlineLevel="0" collapsed="false">
      <c r="A157" s="0" t="n">
        <f aca="false">A156+1</f>
        <v>155</v>
      </c>
      <c r="B157" s="1" t="n">
        <f aca="false">B156-H157*1</f>
        <v>8.9408</v>
      </c>
      <c r="C157" s="1" t="n">
        <f aca="false">B157*$K$1</f>
        <v>20.0005696</v>
      </c>
      <c r="D157" s="1" t="n">
        <v>8.45493738314291</v>
      </c>
      <c r="E157" s="1" t="n">
        <f aca="false">D157*$K$1</f>
        <v>18.9136949260907</v>
      </c>
      <c r="F157" s="2" t="n">
        <v>1.5</v>
      </c>
      <c r="G157" s="0" t="n">
        <f aca="false">B157*F157+5</f>
        <v>18.4112</v>
      </c>
      <c r="H157" s="3" t="n">
        <v>0</v>
      </c>
      <c r="I157" s="3" t="n">
        <v>0</v>
      </c>
      <c r="J157" s="4" t="n">
        <v>19.4318266124258</v>
      </c>
    </row>
    <row r="158" customFormat="false" ht="15" hidden="false" customHeight="false" outlineLevel="0" collapsed="false">
      <c r="A158" s="0" t="n">
        <f aca="false">A157+1</f>
        <v>156</v>
      </c>
      <c r="B158" s="1" t="n">
        <f aca="false">B157-H158*1</f>
        <v>8.9408</v>
      </c>
      <c r="C158" s="1" t="n">
        <f aca="false">B158*$K$1</f>
        <v>20.0005696</v>
      </c>
      <c r="D158" s="1" t="n">
        <v>8.81316530285807</v>
      </c>
      <c r="E158" s="1" t="n">
        <f aca="false">D158*$K$1</f>
        <v>19.7150507824935</v>
      </c>
      <c r="F158" s="2" t="n">
        <v>1.5</v>
      </c>
      <c r="G158" s="0" t="n">
        <f aca="false">B158*F158+5</f>
        <v>18.4112</v>
      </c>
      <c r="H158" s="3" t="n">
        <v>0</v>
      </c>
      <c r="I158" s="3" t="n">
        <v>0</v>
      </c>
      <c r="J158" s="4" t="n">
        <v>19.7288233153888</v>
      </c>
    </row>
    <row r="159" customFormat="false" ht="15" hidden="false" customHeight="false" outlineLevel="0" collapsed="false">
      <c r="A159" s="0" t="n">
        <f aca="false">A158+1</f>
        <v>157</v>
      </c>
      <c r="B159" s="1" t="n">
        <f aca="false">B158-H159*1</f>
        <v>8.9408</v>
      </c>
      <c r="C159" s="1" t="n">
        <f aca="false">B159*$K$1</f>
        <v>20.0005696</v>
      </c>
      <c r="D159" s="1" t="n">
        <v>9.07379261987843</v>
      </c>
      <c r="E159" s="1" t="n">
        <f aca="false">D159*$K$1</f>
        <v>20.298074090668</v>
      </c>
      <c r="F159" s="2" t="n">
        <v>1.5</v>
      </c>
      <c r="G159" s="0" t="n">
        <f aca="false">B159*F159+5</f>
        <v>18.4112</v>
      </c>
      <c r="H159" s="3" t="n">
        <v>0</v>
      </c>
      <c r="I159" s="3" t="n">
        <v>0</v>
      </c>
      <c r="J159" s="4" t="n">
        <v>19.7158861544544</v>
      </c>
    </row>
    <row r="160" customFormat="false" ht="15" hidden="false" customHeight="false" outlineLevel="0" collapsed="false">
      <c r="A160" s="0" t="n">
        <f aca="false">A159+1</f>
        <v>158</v>
      </c>
      <c r="B160" s="1" t="n">
        <f aca="false">B159-H160*1</f>
        <v>8.9408</v>
      </c>
      <c r="C160" s="1" t="n">
        <f aca="false">B160*$K$1</f>
        <v>20.0005696</v>
      </c>
      <c r="D160" s="1" t="n">
        <v>9.22707380462097</v>
      </c>
      <c r="E160" s="1" t="n">
        <f aca="false">D160*$K$1</f>
        <v>20.6409641009371</v>
      </c>
      <c r="F160" s="2" t="n">
        <v>1.5</v>
      </c>
      <c r="G160" s="0" t="n">
        <f aca="false">B160*F160+5</f>
        <v>18.4112</v>
      </c>
      <c r="H160" s="3" t="n">
        <v>0</v>
      </c>
      <c r="I160" s="3" t="n">
        <v>0</v>
      </c>
      <c r="J160" s="4" t="n">
        <v>19.4973058759649</v>
      </c>
    </row>
    <row r="161" customFormat="false" ht="15" hidden="false" customHeight="false" outlineLevel="0" collapsed="false">
      <c r="A161" s="0" t="n">
        <f aca="false">A160+1</f>
        <v>159</v>
      </c>
      <c r="B161" s="1" t="n">
        <f aca="false">B155-H161*1</f>
        <v>8.04672</v>
      </c>
      <c r="C161" s="1" t="n">
        <f aca="false">B161*$K$1</f>
        <v>18.00051264</v>
      </c>
      <c r="D161" s="1" t="n">
        <v>9.2152018532072</v>
      </c>
      <c r="E161" s="1" t="n">
        <f aca="false">D161*$K$1</f>
        <v>20.6144065456245</v>
      </c>
      <c r="F161" s="2" t="n">
        <v>1.5</v>
      </c>
      <c r="G161" s="0" t="n">
        <f aca="false">B161*F161+5</f>
        <v>17.07008</v>
      </c>
      <c r="H161" s="3" t="n">
        <v>0.89408</v>
      </c>
      <c r="I161" s="3" t="n">
        <v>0</v>
      </c>
      <c r="J161" s="4" t="n">
        <v>18.7439274817154</v>
      </c>
    </row>
    <row r="162" customFormat="false" ht="15" hidden="false" customHeight="false" outlineLevel="0" collapsed="false">
      <c r="A162" s="0" t="n">
        <f aca="false">A161+1</f>
        <v>160</v>
      </c>
      <c r="B162" s="1" t="n">
        <f aca="false">B161-H162*1</f>
        <v>7.15264</v>
      </c>
      <c r="C162" s="1" t="n">
        <f aca="false">B162*$K$1</f>
        <v>16.00045568</v>
      </c>
      <c r="D162" s="1" t="n">
        <v>8.94017285161032</v>
      </c>
      <c r="E162" s="1" t="n">
        <f aca="false">D162*$K$1</f>
        <v>19.9991666690523</v>
      </c>
      <c r="F162" s="2" t="n">
        <v>1.5</v>
      </c>
      <c r="G162" s="0" t="n">
        <f aca="false">B162*F162+5</f>
        <v>15.72896</v>
      </c>
      <c r="H162" s="3" t="n">
        <v>0.89408</v>
      </c>
      <c r="I162" s="3" t="n">
        <v>0</v>
      </c>
      <c r="J162" s="4" t="n">
        <v>17.2397264297558</v>
      </c>
    </row>
    <row r="163" customFormat="false" ht="15" hidden="false" customHeight="false" outlineLevel="0" collapsed="false">
      <c r="A163" s="0" t="n">
        <f aca="false">A162+1</f>
        <v>161</v>
      </c>
      <c r="B163" s="1" t="n">
        <f aca="false">B162-H163*1</f>
        <v>6.25856</v>
      </c>
      <c r="C163" s="1" t="n">
        <f aca="false">B163*$K$1</f>
        <v>14.00039872</v>
      </c>
      <c r="D163" s="1" t="n">
        <v>8.38917171974767</v>
      </c>
      <c r="E163" s="1" t="n">
        <f aca="false">D163*$K$1</f>
        <v>18.7665771370755</v>
      </c>
      <c r="F163" s="2" t="n">
        <v>1.5</v>
      </c>
      <c r="G163" s="0" t="n">
        <f aca="false">B163*F163+5</f>
        <v>14.38784</v>
      </c>
      <c r="H163" s="3" t="n">
        <v>0.89408</v>
      </c>
      <c r="I163" s="3" t="n">
        <v>0</v>
      </c>
      <c r="J163" s="4" t="n">
        <v>15.2585452768994</v>
      </c>
    </row>
    <row r="164" customFormat="false" ht="15" hidden="false" customHeight="false" outlineLevel="0" collapsed="false">
      <c r="A164" s="0" t="n">
        <f aca="false">A163+1</f>
        <v>162</v>
      </c>
      <c r="B164" s="1" t="n">
        <f aca="false">B163-H164*1</f>
        <v>5.36448</v>
      </c>
      <c r="C164" s="1" t="n">
        <f aca="false">B164*$K$1</f>
        <v>12.00034176</v>
      </c>
      <c r="D164" s="1" t="n">
        <v>7.598010355571</v>
      </c>
      <c r="E164" s="1" t="n">
        <f aca="false">D164*$K$1</f>
        <v>16.9967491654123</v>
      </c>
      <c r="F164" s="2" t="n">
        <v>1.5</v>
      </c>
      <c r="G164" s="0" t="n">
        <f aca="false">B164*F164+5</f>
        <v>13.04672</v>
      </c>
      <c r="H164" s="3" t="n">
        <v>0.89408</v>
      </c>
      <c r="I164" s="3" t="n">
        <v>0</v>
      </c>
      <c r="J164" s="4" t="n">
        <v>13.0606601885684</v>
      </c>
    </row>
    <row r="165" customFormat="false" ht="15" hidden="false" customHeight="false" outlineLevel="0" collapsed="false">
      <c r="A165" s="0" t="n">
        <f aca="false">A164+1</f>
        <v>163</v>
      </c>
      <c r="B165" s="1" t="n">
        <f aca="false">B164-H165*1</f>
        <v>4.4704</v>
      </c>
      <c r="C165" s="1" t="n">
        <f aca="false">B165*$K$1</f>
        <v>10.0002848</v>
      </c>
      <c r="D165" s="1" t="n">
        <v>6.62932980183982</v>
      </c>
      <c r="E165" s="1" t="n">
        <f aca="false">D165*$K$1</f>
        <v>14.8298107667157</v>
      </c>
      <c r="F165" s="2" t="n">
        <v>1.5</v>
      </c>
      <c r="G165" s="0" t="n">
        <f aca="false">B165*F165+5</f>
        <v>11.7056</v>
      </c>
      <c r="H165" s="3" t="n">
        <v>0.89408</v>
      </c>
      <c r="I165" s="3" t="n">
        <v>0</v>
      </c>
      <c r="J165" s="4" t="n">
        <v>10.8553792901394</v>
      </c>
    </row>
    <row r="166" customFormat="false" ht="15" hidden="false" customHeight="false" outlineLevel="0" collapsed="false">
      <c r="A166" s="0" t="n">
        <f aca="false">A165+1</f>
        <v>164</v>
      </c>
      <c r="B166" s="1" t="n">
        <f aca="false">B165-H166*1</f>
        <v>3.57632</v>
      </c>
      <c r="C166" s="1" t="n">
        <f aca="false">B166*$K$1</f>
        <v>8.00022783999999</v>
      </c>
      <c r="D166" s="1" t="n">
        <v>5.55367434259866</v>
      </c>
      <c r="E166" s="1" t="n">
        <f aca="false">D166*$K$1</f>
        <v>12.4235695043932</v>
      </c>
      <c r="F166" s="2" t="n">
        <v>1.5</v>
      </c>
      <c r="G166" s="0" t="n">
        <f aca="false">B166*F166+5</f>
        <v>10.36448</v>
      </c>
      <c r="H166" s="3" t="n">
        <v>0.89408</v>
      </c>
      <c r="I166" s="3" t="n">
        <v>0</v>
      </c>
      <c r="J166" s="4" t="n">
        <v>8.78417544220088</v>
      </c>
    </row>
    <row r="167" customFormat="false" ht="15" hidden="false" customHeight="false" outlineLevel="0" collapsed="false">
      <c r="A167" s="0" t="n">
        <f aca="false">A166+1</f>
        <v>165</v>
      </c>
      <c r="B167" s="1" t="n">
        <f aca="false">B166-H167*1</f>
        <v>2.68224</v>
      </c>
      <c r="C167" s="1" t="n">
        <f aca="false">B167*$K$1</f>
        <v>6.00017087999999</v>
      </c>
      <c r="D167" s="1" t="n">
        <v>4.43553539835134</v>
      </c>
      <c r="E167" s="1" t="n">
        <f aca="false">D167*$K$1</f>
        <v>9.92229268611195</v>
      </c>
      <c r="F167" s="2" t="n">
        <v>1.5</v>
      </c>
      <c r="G167" s="0" t="n">
        <f aca="false">B167*F167+5</f>
        <v>9.02336</v>
      </c>
      <c r="H167" s="3" t="n">
        <v>0.89408</v>
      </c>
      <c r="I167" s="3" t="n">
        <v>0</v>
      </c>
      <c r="J167" s="4" t="n">
        <v>6.92029539208193</v>
      </c>
    </row>
    <row r="168" customFormat="false" ht="15" hidden="false" customHeight="false" outlineLevel="0" collapsed="false">
      <c r="A168" s="0" t="n">
        <f aca="false">A167+1</f>
        <v>166</v>
      </c>
      <c r="B168" s="1" t="n">
        <f aca="false">B167-H168*1</f>
        <v>1.78816</v>
      </c>
      <c r="C168" s="1" t="n">
        <f aca="false">B168*$K$1</f>
        <v>4.00011391999999</v>
      </c>
      <c r="D168" s="1" t="n">
        <v>3.32497167296107</v>
      </c>
      <c r="E168" s="1" t="n">
        <f aca="false">D168*$K$1</f>
        <v>7.43796163241391</v>
      </c>
      <c r="F168" s="2" t="n">
        <v>1.5</v>
      </c>
      <c r="G168" s="0" t="n">
        <f aca="false">B168*F168+5</f>
        <v>7.68224</v>
      </c>
      <c r="H168" s="3" t="n">
        <v>0.89408</v>
      </c>
      <c r="I168" s="3" t="n">
        <v>0</v>
      </c>
      <c r="J168" s="4" t="n">
        <v>5.27947464207614</v>
      </c>
    </row>
    <row r="169" customFormat="false" ht="15" hidden="false" customHeight="false" outlineLevel="0" collapsed="false">
      <c r="A169" s="0" t="n">
        <f aca="false">A168+1</f>
        <v>167</v>
      </c>
      <c r="B169" s="1" t="n">
        <f aca="false">B168-H169*1</f>
        <v>0.894079999999997</v>
      </c>
      <c r="C169" s="1" t="n">
        <f aca="false">B169*$K$1</f>
        <v>2.00005695999999</v>
      </c>
      <c r="D169" s="1" t="n">
        <v>2.25431485362754</v>
      </c>
      <c r="E169" s="1" t="n">
        <f aca="false">D169*$K$1</f>
        <v>5.04290232756481</v>
      </c>
      <c r="F169" s="2" t="n">
        <v>1.5</v>
      </c>
      <c r="G169" s="0" t="n">
        <f aca="false">B169*F169+5</f>
        <v>6.34112</v>
      </c>
      <c r="H169" s="3" t="n">
        <v>0.89408</v>
      </c>
      <c r="I169" s="3" t="n">
        <v>0</v>
      </c>
      <c r="J169" s="4" t="n">
        <v>3.83637171254713</v>
      </c>
    </row>
    <row r="170" customFormat="false" ht="15" hidden="false" customHeight="false" outlineLevel="0" collapsed="false">
      <c r="A170" s="0" t="n">
        <f aca="false">A169+1</f>
        <v>168</v>
      </c>
      <c r="B170" s="1" t="n">
        <f aca="false">B169-H170*1</f>
        <v>-3.33066907387547E-015</v>
      </c>
      <c r="C170" s="1" t="n">
        <f aca="false">B170*$K$1</f>
        <v>-7.45070671825942E-015</v>
      </c>
      <c r="D170" s="1" t="n">
        <v>1.2388137778195</v>
      </c>
      <c r="E170" s="1" t="n">
        <f aca="false">D170*$K$1</f>
        <v>2.77122642098222</v>
      </c>
      <c r="F170" s="2" t="n">
        <v>1.5</v>
      </c>
      <c r="G170" s="0" t="n">
        <f aca="false">B170*F170+5</f>
        <v>5</v>
      </c>
      <c r="H170" s="3" t="n">
        <v>0.89408</v>
      </c>
      <c r="I170" s="3" t="n">
        <v>0</v>
      </c>
      <c r="J170" s="4" t="n">
        <v>2.54219158024853</v>
      </c>
    </row>
    <row r="171" customFormat="false" ht="15" hidden="false" customHeight="false" outlineLevel="0" collapsed="false">
      <c r="A171" s="0" t="n">
        <f aca="false">A170+1</f>
        <v>169</v>
      </c>
      <c r="B171" s="0" t="n">
        <v>0</v>
      </c>
      <c r="C171" s="1" t="n">
        <f aca="false">B171*$K$1</f>
        <v>0</v>
      </c>
      <c r="D171" s="1" t="n">
        <v>0.348360742313196</v>
      </c>
      <c r="E171" s="1" t="n">
        <f aca="false">D171*$K$1</f>
        <v>0.77928298055462</v>
      </c>
      <c r="F171" s="2" t="n">
        <v>1.5</v>
      </c>
      <c r="G171" s="0" t="n">
        <f aca="false">B171*F171+5</f>
        <v>5</v>
      </c>
      <c r="H171" s="3" t="n">
        <v>0.89408</v>
      </c>
      <c r="I171" s="3" t="n">
        <v>0</v>
      </c>
      <c r="J171" s="4" t="n">
        <v>1.77240937955685</v>
      </c>
    </row>
    <row r="172" customFormat="false" ht="15" hidden="false" customHeight="false" outlineLevel="0" collapsed="false">
      <c r="A172" s="0" t="n">
        <f aca="false">A171+1</f>
        <v>170</v>
      </c>
      <c r="B172" s="0" t="n">
        <v>0</v>
      </c>
      <c r="C172" s="1" t="n">
        <f aca="false">B172*$K$1</f>
        <v>0</v>
      </c>
      <c r="D172" s="1" t="n">
        <v>-0.304488042691642</v>
      </c>
      <c r="E172" s="1" t="n">
        <f aca="false">D172*$K$1</f>
        <v>-0.681139751501203</v>
      </c>
      <c r="F172" s="2" t="n">
        <v>1.5</v>
      </c>
      <c r="G172" s="0" t="n">
        <f aca="false">B172*F172+5</f>
        <v>5</v>
      </c>
      <c r="H172" s="3" t="n">
        <v>0.89408</v>
      </c>
      <c r="I172" s="3" t="n">
        <v>0</v>
      </c>
      <c r="J172" s="4" t="n">
        <v>1.77576771109352</v>
      </c>
    </row>
    <row r="173" customFormat="false" ht="15" hidden="false" customHeight="false" outlineLevel="0" collapsed="false">
      <c r="A173" s="0" t="n">
        <f aca="false">A172+1</f>
        <v>171</v>
      </c>
      <c r="B173" s="0" t="n">
        <v>0</v>
      </c>
      <c r="C173" s="1" t="n">
        <f aca="false">B173*$K$1</f>
        <v>0</v>
      </c>
      <c r="D173" s="1" t="n">
        <v>-0.693053063284046</v>
      </c>
      <c r="E173" s="1" t="n">
        <f aca="false">D173*$K$1</f>
        <v>-1.55035970256641</v>
      </c>
      <c r="F173" s="2" t="n">
        <v>1.5</v>
      </c>
      <c r="G173" s="0" t="n">
        <f aca="false">B173*F173+5</f>
        <v>5</v>
      </c>
      <c r="H173" s="3" t="n">
        <v>0.89408</v>
      </c>
      <c r="I173" s="3" t="n">
        <v>0</v>
      </c>
      <c r="J173" s="4" t="n">
        <v>2.29676169000072</v>
      </c>
    </row>
    <row r="174" customFormat="false" ht="15" hidden="false" customHeight="false" outlineLevel="0" collapsed="false">
      <c r="A174" s="0" t="n">
        <f aca="false">A173+1</f>
        <v>172</v>
      </c>
      <c r="B174" s="0" t="n">
        <v>0</v>
      </c>
      <c r="C174" s="1" t="n">
        <f aca="false">B174*$K$1</f>
        <v>0</v>
      </c>
      <c r="D174" s="1" t="n">
        <v>-0.84197343757051</v>
      </c>
      <c r="E174" s="1" t="n">
        <f aca="false">D174*$K$1</f>
        <v>-1.88349457984523</v>
      </c>
      <c r="F174" s="2" t="n">
        <v>1.5</v>
      </c>
      <c r="G174" s="0" t="n">
        <f aca="false">B174*F174+5</f>
        <v>5</v>
      </c>
      <c r="H174" s="3" t="n">
        <v>0.89408</v>
      </c>
      <c r="I174" s="3" t="n">
        <v>0</v>
      </c>
      <c r="J174" s="4" t="n">
        <v>3.080864440406</v>
      </c>
    </row>
    <row r="175" customFormat="false" ht="15" hidden="false" customHeight="false" outlineLevel="0" collapsed="false">
      <c r="A175" s="0" t="n">
        <f aca="false">A174+1</f>
        <v>173</v>
      </c>
      <c r="B175" s="0" t="n">
        <v>0</v>
      </c>
      <c r="C175" s="1" t="n">
        <f aca="false">B175*$K$1</f>
        <v>0</v>
      </c>
      <c r="D175" s="1" t="n">
        <v>-0.806319010914271</v>
      </c>
      <c r="E175" s="1" t="n">
        <f aca="false">D175*$K$1</f>
        <v>-1.80373562741522</v>
      </c>
      <c r="F175" s="2" t="n">
        <v>1.5</v>
      </c>
      <c r="G175" s="0" t="n">
        <f aca="false">B175*F175+5</f>
        <v>5</v>
      </c>
      <c r="H175" s="3" t="n">
        <v>0.89408</v>
      </c>
      <c r="I175" s="3" t="n">
        <v>0</v>
      </c>
      <c r="J175" s="4" t="n">
        <v>3.91515511604348</v>
      </c>
    </row>
    <row r="176" customFormat="false" ht="15" hidden="false" customHeight="false" outlineLevel="0" collapsed="false">
      <c r="A176" s="0" t="n">
        <f aca="false">A175+1</f>
        <v>174</v>
      </c>
      <c r="B176" s="0" t="n">
        <v>0</v>
      </c>
      <c r="C176" s="1" t="n">
        <f aca="false">B176*$K$1</f>
        <v>0</v>
      </c>
      <c r="D176" s="1" t="n">
        <v>-0.652694852092676</v>
      </c>
      <c r="E176" s="1" t="n">
        <f aca="false">D176*$K$1</f>
        <v>-1.46007838413132</v>
      </c>
      <c r="F176" s="2" t="n">
        <v>1.5</v>
      </c>
      <c r="G176" s="0" t="n">
        <f aca="false">B176*F176+5</f>
        <v>5</v>
      </c>
      <c r="H176" s="3" t="n">
        <v>0.89408</v>
      </c>
      <c r="I176" s="3" t="n">
        <v>0</v>
      </c>
      <c r="J176" s="4" t="n">
        <v>4.64885475464507</v>
      </c>
    </row>
    <row r="177" customFormat="false" ht="15" hidden="false" customHeight="false" outlineLevel="0" collapsed="false">
      <c r="A177" s="0" t="n">
        <f aca="false">A176+1</f>
        <v>175</v>
      </c>
      <c r="B177" s="0" t="n">
        <v>0</v>
      </c>
      <c r="C177" s="1" t="n">
        <f aca="false">B177*$K$1</f>
        <v>0</v>
      </c>
      <c r="D177" s="1" t="n">
        <v>-0.444721177443546</v>
      </c>
      <c r="E177" s="1" t="n">
        <f aca="false">D177*$K$1</f>
        <v>-0.994841273941212</v>
      </c>
      <c r="F177" s="2" t="n">
        <v>1.5</v>
      </c>
      <c r="G177" s="0" t="n">
        <f aca="false">B177*F177+5</f>
        <v>5</v>
      </c>
      <c r="H177" s="3" t="n">
        <v>0.89408</v>
      </c>
      <c r="I177" s="3" t="n">
        <v>0</v>
      </c>
      <c r="J177" s="4" t="n">
        <v>5.19709192523601</v>
      </c>
    </row>
    <row r="178" customFormat="false" ht="15" hidden="false" customHeight="false" outlineLevel="0" collapsed="false">
      <c r="A178" s="0" t="n">
        <f aca="false">A177+1</f>
        <v>176</v>
      </c>
      <c r="B178" s="0" t="n">
        <v>0</v>
      </c>
      <c r="C178" s="1" t="n">
        <f aca="false">B178*$K$1</f>
        <v>0</v>
      </c>
      <c r="D178" s="1" t="n">
        <v>-0.233781902952248</v>
      </c>
      <c r="E178" s="1" t="n">
        <f aca="false">D178*$K$1</f>
        <v>-0.522970116904179</v>
      </c>
      <c r="F178" s="2" t="n">
        <v>1.5</v>
      </c>
      <c r="G178" s="0" t="n">
        <f aca="false">B178*F178+5</f>
        <v>5</v>
      </c>
      <c r="H178" s="3" t="n">
        <v>0.89408</v>
      </c>
      <c r="I178" s="3" t="n">
        <v>0</v>
      </c>
      <c r="J178" s="4" t="n">
        <v>5.53282275915399</v>
      </c>
    </row>
    <row r="179" customFormat="false" ht="15" hidden="false" customHeight="false" outlineLevel="0" collapsed="false">
      <c r="A179" s="0" t="n">
        <f aca="false">A178+1</f>
        <v>177</v>
      </c>
      <c r="B179" s="0" t="n">
        <v>0</v>
      </c>
      <c r="C179" s="1" t="n">
        <f aca="false">B179*$K$1</f>
        <v>0</v>
      </c>
      <c r="D179" s="1" t="n">
        <v>-0.0547928030404417</v>
      </c>
      <c r="E179" s="1" t="n">
        <f aca="false">D179*$K$1</f>
        <v>-0.122571500401468</v>
      </c>
      <c r="F179" s="2" t="n">
        <v>1.5</v>
      </c>
      <c r="G179" s="0" t="n">
        <f aca="false">B179*F179+5</f>
        <v>5</v>
      </c>
      <c r="H179" s="3" t="n">
        <v>0.89408</v>
      </c>
      <c r="I179" s="3" t="n">
        <v>0</v>
      </c>
      <c r="J179" s="4" t="n">
        <v>5.67211176303613</v>
      </c>
    </row>
    <row r="180" customFormat="false" ht="15" hidden="false" customHeight="false" outlineLevel="0" collapsed="false">
      <c r="A180" s="0" t="n">
        <f aca="false">A179+1</f>
        <v>178</v>
      </c>
      <c r="B180" s="0" t="n">
        <v>0</v>
      </c>
      <c r="C180" s="1" t="n">
        <f aca="false">B180*$K$1</f>
        <v>0</v>
      </c>
      <c r="D180" s="1" t="n">
        <v>0.0739852224562894</v>
      </c>
      <c r="E180" s="1" t="n">
        <f aca="false">D180*$K$1</f>
        <v>0.165504942634719</v>
      </c>
      <c r="F180" s="2" t="n">
        <v>1.5</v>
      </c>
      <c r="G180" s="0" t="n">
        <f aca="false">B180*F180+5</f>
        <v>5</v>
      </c>
      <c r="H180" s="3" t="n">
        <v>0.89408</v>
      </c>
      <c r="I180" s="3" t="n">
        <v>0</v>
      </c>
      <c r="J180" s="4" t="n">
        <v>5.65733103398497</v>
      </c>
    </row>
    <row r="181" customFormat="false" ht="15" hidden="false" customHeight="false" outlineLevel="0" collapsed="false">
      <c r="A181" s="0" t="n">
        <f aca="false">A180+1</f>
        <v>179</v>
      </c>
      <c r="B181" s="0" t="n">
        <v>0</v>
      </c>
      <c r="C181" s="1" t="n">
        <f aca="false">B181*$K$1</f>
        <v>0</v>
      </c>
      <c r="D181" s="1" t="n">
        <v>0.148391716642886</v>
      </c>
      <c r="E181" s="1" t="n">
        <f aca="false">D181*$K$1</f>
        <v>0.331952270130136</v>
      </c>
      <c r="F181" s="2" t="n">
        <v>1.5</v>
      </c>
      <c r="G181" s="0" t="n">
        <f aca="false">B181*F181+5</f>
        <v>5</v>
      </c>
      <c r="H181" s="3" t="n">
        <v>0.89408</v>
      </c>
      <c r="I181" s="3" t="n">
        <v>0</v>
      </c>
      <c r="J181" s="4" t="n">
        <v>5.54166740122423</v>
      </c>
    </row>
    <row r="182" customFormat="false" ht="15" hidden="false" customHeight="false" outlineLevel="0" collapsed="false">
      <c r="A182" s="0" t="n">
        <f aca="false">A181+1</f>
        <v>180</v>
      </c>
      <c r="B182" s="0" t="n">
        <v>0</v>
      </c>
      <c r="C182" s="1" t="n">
        <f aca="false">B182*$K$1</f>
        <v>0</v>
      </c>
      <c r="D182" s="1" t="n">
        <v>0.1743860241134</v>
      </c>
      <c r="E182" s="1" t="n">
        <f aca="false">D182*$K$1</f>
        <v>0.390101535941676</v>
      </c>
      <c r="F182" s="2" t="n">
        <v>1.5</v>
      </c>
      <c r="G182" s="0" t="n">
        <f aca="false">B182*F182+5</f>
        <v>5</v>
      </c>
      <c r="H182" s="3" t="n">
        <v>0.89408</v>
      </c>
      <c r="I182" s="3" t="n">
        <v>0</v>
      </c>
      <c r="J182" s="4" t="n">
        <v>5.37699879791467</v>
      </c>
    </row>
    <row r="183" customFormat="false" ht="15" hidden="false" customHeight="false" outlineLevel="0" collapsed="false">
      <c r="A183" s="0" t="n">
        <f aca="false">A182+1</f>
        <v>181</v>
      </c>
      <c r="B183" s="0" t="n">
        <v>0</v>
      </c>
      <c r="C183" s="1" t="n">
        <f aca="false">B183*$K$1</f>
        <v>0</v>
      </c>
      <c r="D183" s="1" t="n">
        <v>0.163751212974039</v>
      </c>
      <c r="E183" s="1" t="n">
        <f aca="false">D183*$K$1</f>
        <v>0.366311463422925</v>
      </c>
      <c r="F183" s="2" t="n">
        <v>1.5</v>
      </c>
      <c r="G183" s="0" t="n">
        <f aca="false">B183*F183+5</f>
        <v>5</v>
      </c>
      <c r="H183" s="3" t="n">
        <v>0.89408</v>
      </c>
      <c r="I183" s="3" t="n">
        <v>0</v>
      </c>
      <c r="J183" s="4" t="n">
        <v>5.2059793229655</v>
      </c>
    </row>
    <row r="184" customFormat="false" ht="15" hidden="false" customHeight="false" outlineLevel="0" collapsed="false">
      <c r="A184" s="0" t="n">
        <f aca="false">A183+1</f>
        <v>182</v>
      </c>
      <c r="B184" s="0" t="n">
        <v>0</v>
      </c>
      <c r="C184" s="1" t="n">
        <f aca="false">B184*$K$1</f>
        <v>0</v>
      </c>
      <c r="D184" s="1" t="n">
        <v>0.130277775509724</v>
      </c>
      <c r="E184" s="1" t="n">
        <f aca="false">D184*$K$1</f>
        <v>0.291431383815253</v>
      </c>
      <c r="F184" s="2" t="n">
        <v>1.5</v>
      </c>
      <c r="G184" s="0" t="n">
        <f aca="false">B184*F184+5</f>
        <v>5</v>
      </c>
      <c r="H184" s="3" t="n">
        <v>0.89408</v>
      </c>
      <c r="I184" s="3" t="n">
        <v>0</v>
      </c>
      <c r="J184" s="4" t="n">
        <v>5.05821848601568</v>
      </c>
    </row>
    <row r="185" customFormat="false" ht="15" hidden="false" customHeight="false" outlineLevel="0" collapsed="false">
      <c r="A185" s="0" t="n">
        <f aca="false">A184+1</f>
        <v>183</v>
      </c>
      <c r="B185" s="0" t="n">
        <v>0</v>
      </c>
      <c r="C185" s="1" t="n">
        <f aca="false">B185*$K$1</f>
        <v>0</v>
      </c>
      <c r="D185" s="1" t="n">
        <v>0.0868828873182809</v>
      </c>
      <c r="E185" s="1" t="n">
        <f aca="false">D185*$K$1</f>
        <v>0.194357018930994</v>
      </c>
      <c r="F185" s="2" t="n">
        <v>1.5</v>
      </c>
      <c r="G185" s="0" t="n">
        <f aca="false">B185*F185+5</f>
        <v>5</v>
      </c>
      <c r="H185" s="3" t="n">
        <v>0.89408</v>
      </c>
      <c r="I185" s="3" t="n">
        <v>0</v>
      </c>
      <c r="J185" s="4" t="n">
        <v>4.94981918198982</v>
      </c>
    </row>
    <row r="186" customFormat="false" ht="15" hidden="false" customHeight="false" outlineLevel="0" collapsed="false">
      <c r="A186" s="0" t="n">
        <f aca="false">A185+1</f>
        <v>184</v>
      </c>
      <c r="B186" s="0" t="n">
        <v>0</v>
      </c>
      <c r="C186" s="1" t="n">
        <f aca="false">B186*$K$1</f>
        <v>0</v>
      </c>
      <c r="D186" s="1" t="n">
        <v>0.0438201777174145</v>
      </c>
      <c r="E186" s="1" t="n">
        <f aca="false">D186*$K$1</f>
        <v>0.0980257375538562</v>
      </c>
      <c r="F186" s="2" t="n">
        <v>1.5</v>
      </c>
      <c r="G186" s="0" t="n">
        <f aca="false">B186*F186+5</f>
        <v>5</v>
      </c>
      <c r="H186" s="3" t="n">
        <v>0.89408</v>
      </c>
      <c r="I186" s="3" t="n">
        <v>0</v>
      </c>
      <c r="J186" s="4" t="n">
        <v>4.88524109561149</v>
      </c>
    </row>
    <row r="187" customFormat="false" ht="15" hidden="false" customHeight="false" outlineLevel="0" collapsed="false">
      <c r="A187" s="0" t="n">
        <f aca="false">A186+1</f>
        <v>185</v>
      </c>
      <c r="B187" s="0" t="n">
        <v>0</v>
      </c>
      <c r="C187" s="1" t="n">
        <f aca="false">B187*$K$1</f>
        <v>0</v>
      </c>
      <c r="D187" s="1" t="n">
        <v>0.00790841308993206</v>
      </c>
      <c r="E187" s="1" t="n">
        <f aca="false">D187*$K$1</f>
        <v>0.017691120082178</v>
      </c>
      <c r="F187" s="2" t="n">
        <v>1.5</v>
      </c>
      <c r="G187" s="0" t="n">
        <f aca="false">B187*F187+5</f>
        <v>5</v>
      </c>
      <c r="H187" s="3" t="n">
        <v>0.89408</v>
      </c>
      <c r="I187" s="3" t="n">
        <v>0</v>
      </c>
      <c r="J187" s="4" t="n">
        <v>4.86042285966937</v>
      </c>
    </row>
    <row r="188" customFormat="false" ht="15" hidden="false" customHeight="false" outlineLevel="0" collapsed="false">
      <c r="A188" s="0" t="n">
        <f aca="false">A187+1</f>
        <v>186</v>
      </c>
      <c r="B188" s="0" t="n">
        <v>0</v>
      </c>
      <c r="C188" s="1" t="n">
        <f aca="false">B188*$K$1</f>
        <v>0</v>
      </c>
      <c r="D188" s="1" t="n">
        <v>-0.0174328253975337</v>
      </c>
      <c r="E188" s="1" t="n">
        <f aca="false">D188*$K$1</f>
        <v>-0.0389972304142829</v>
      </c>
      <c r="F188" s="2" t="n">
        <v>1.5</v>
      </c>
      <c r="G188" s="0" t="n">
        <f aca="false">B188*F188+5</f>
        <v>5</v>
      </c>
      <c r="H188" s="3" t="n">
        <v>0.89408</v>
      </c>
      <c r="I188" s="3" t="n">
        <v>0</v>
      </c>
      <c r="J188" s="4" t="n">
        <v>4.86624553744673</v>
      </c>
    </row>
    <row r="189" customFormat="false" ht="15" hidden="false" customHeight="false" outlineLevel="0" collapsed="false">
      <c r="A189" s="0" t="n">
        <f aca="false">A188+1</f>
        <v>187</v>
      </c>
      <c r="B189" s="0" t="n">
        <v>0</v>
      </c>
      <c r="C189" s="1" t="n">
        <f aca="false">B189*$K$1</f>
        <v>0</v>
      </c>
      <c r="D189" s="1" t="n">
        <v>-0.0316123386620556</v>
      </c>
      <c r="E189" s="1" t="n">
        <f aca="false">D189*$K$1</f>
        <v>-0.0707168015870184</v>
      </c>
      <c r="F189" s="2" t="n">
        <v>1.5</v>
      </c>
      <c r="G189" s="0" t="n">
        <f aca="false">B189*F189+5</f>
        <v>5</v>
      </c>
      <c r="H189" s="3" t="n">
        <v>0.89408</v>
      </c>
      <c r="I189" s="3" t="n">
        <v>0</v>
      </c>
      <c r="J189" s="4" t="n">
        <v>4.89166763235016</v>
      </c>
    </row>
    <row r="190" customFormat="false" ht="15" hidden="false" customHeight="false" outlineLevel="0" collapsed="false">
      <c r="A190" s="0" t="n">
        <f aca="false">A189+1</f>
        <v>188</v>
      </c>
      <c r="B190" s="0" t="n">
        <v>0</v>
      </c>
      <c r="C190" s="1" t="n">
        <f aca="false">B190*$K$1</f>
        <v>0</v>
      </c>
      <c r="D190" s="1" t="n">
        <v>-0.0360296895096937</v>
      </c>
      <c r="E190" s="1" t="n">
        <f aca="false">D190*$K$1</f>
        <v>-0.0805984154331848</v>
      </c>
      <c r="F190" s="2" t="n">
        <v>1.5</v>
      </c>
      <c r="G190" s="0" t="n">
        <f aca="false">B190*F190+5</f>
        <v>5</v>
      </c>
      <c r="H190" s="3" t="n">
        <v>0.89408</v>
      </c>
      <c r="I190" s="3" t="n">
        <v>0</v>
      </c>
      <c r="J190" s="4" t="n">
        <v>4.92613555955177</v>
      </c>
    </row>
    <row r="191" customFormat="false" ht="15" hidden="false" customHeight="false" outlineLevel="0" collapsed="false">
      <c r="A191" s="0" t="n">
        <f aca="false">A190+1</f>
        <v>189</v>
      </c>
      <c r="B191" s="0" t="n">
        <v>0</v>
      </c>
      <c r="C191" s="1" t="n">
        <f aca="false">B191*$K$1</f>
        <v>0</v>
      </c>
      <c r="D191" s="1" t="n">
        <v>-0.0331935194989015</v>
      </c>
      <c r="E191" s="1" t="n">
        <f aca="false">D191*$K$1</f>
        <v>-0.0742539031190427</v>
      </c>
      <c r="F191" s="2" t="n">
        <v>1.5</v>
      </c>
      <c r="G191" s="0" t="n">
        <f aca="false">B191*F191+5</f>
        <v>5</v>
      </c>
      <c r="H191" s="3" t="n">
        <v>0.89408</v>
      </c>
      <c r="I191" s="3" t="n">
        <v>0</v>
      </c>
      <c r="J191" s="4" t="n">
        <v>4.96112069806827</v>
      </c>
    </row>
    <row r="192" customFormat="false" ht="15" hidden="false" customHeight="false" outlineLevel="0" collapsed="false">
      <c r="A192" s="0" t="n">
        <f aca="false">A191+1</f>
        <v>190</v>
      </c>
      <c r="B192" s="0" t="n">
        <v>0</v>
      </c>
      <c r="C192" s="1" t="n">
        <f aca="false">B192*$K$1</f>
        <v>0</v>
      </c>
      <c r="D192" s="1" t="n">
        <v>-0.0259521868611804</v>
      </c>
      <c r="E192" s="1" t="n">
        <f aca="false">D192*$K$1</f>
        <v>-0.0580550420084606</v>
      </c>
      <c r="F192" s="2" t="n">
        <v>1.5</v>
      </c>
      <c r="G192" s="0" t="n">
        <f aca="false">B192*F192+5</f>
        <v>5</v>
      </c>
      <c r="H192" s="3" t="n">
        <v>0.89408</v>
      </c>
      <c r="I192" s="3" t="n">
        <v>0</v>
      </c>
      <c r="J192" s="4" t="n">
        <v>4.99082376303818</v>
      </c>
    </row>
    <row r="193" customFormat="false" ht="15" hidden="false" customHeight="false" outlineLevel="0" collapsed="false">
      <c r="A193" s="0" t="n">
        <f aca="false">A192+1</f>
        <v>191</v>
      </c>
      <c r="B193" s="0" t="n">
        <v>0</v>
      </c>
      <c r="C193" s="1" t="n">
        <f aca="false">B193*$K$1</f>
        <v>0</v>
      </c>
      <c r="D193" s="1" t="n">
        <v>-0.0169234663005371</v>
      </c>
      <c r="E193" s="1" t="n">
        <f aca="false">D193*$K$1</f>
        <v>-0.0378577941143015</v>
      </c>
      <c r="F193" s="2" t="n">
        <v>1.5</v>
      </c>
      <c r="G193" s="0" t="n">
        <f aca="false">B193*F193+5</f>
        <v>5</v>
      </c>
      <c r="H193" s="3" t="n">
        <v>0.89408</v>
      </c>
      <c r="I193" s="3" t="n">
        <v>0</v>
      </c>
      <c r="J193" s="4" t="n">
        <v>5.01220777181811</v>
      </c>
    </row>
    <row r="194" customFormat="false" ht="15" hidden="false" customHeight="false" outlineLevel="0" collapsed="false">
      <c r="A194" s="0" t="n">
        <f aca="false">A193+1</f>
        <v>192</v>
      </c>
      <c r="B194" s="0" t="n">
        <v>0</v>
      </c>
      <c r="C194" s="1" t="n">
        <f aca="false">B194*$K$1</f>
        <v>0</v>
      </c>
      <c r="D194" s="1" t="n">
        <v>-0.00814941945332389</v>
      </c>
      <c r="E194" s="1" t="n">
        <f aca="false">D194*$K$1</f>
        <v>-0.0182302513170855</v>
      </c>
      <c r="F194" s="2" t="n">
        <v>1.5</v>
      </c>
      <c r="G194" s="0" t="n">
        <f aca="false">B194*F194+5</f>
        <v>5</v>
      </c>
      <c r="H194" s="3" t="n">
        <v>0.89408</v>
      </c>
      <c r="I194" s="3" t="n">
        <v>0</v>
      </c>
      <c r="J194" s="4" t="n">
        <v>5.02457571485888</v>
      </c>
    </row>
    <row r="195" customFormat="false" ht="15" hidden="false" customHeight="false" outlineLevel="0" collapsed="false">
      <c r="A195" s="0" t="n">
        <f aca="false">A194+1</f>
        <v>193</v>
      </c>
      <c r="B195" s="0" t="n">
        <v>0</v>
      </c>
      <c r="C195" s="1" t="n">
        <f aca="false">B195*$K$1</f>
        <v>0</v>
      </c>
      <c r="D195" s="1" t="n">
        <v>-0.000957707236573551</v>
      </c>
      <c r="E195" s="1" t="n">
        <f aca="false">D195*$K$1</f>
        <v>-0.00214239108821503</v>
      </c>
      <c r="F195" s="2" t="n">
        <v>1.5</v>
      </c>
      <c r="G195" s="0" t="n">
        <f aca="false">B195*F195+5</f>
        <v>5</v>
      </c>
      <c r="H195" s="3" t="n">
        <v>0.89408</v>
      </c>
      <c r="I195" s="3" t="n">
        <v>0</v>
      </c>
      <c r="J195" s="4" t="n">
        <v>5.02891102567082</v>
      </c>
    </row>
    <row r="196" customFormat="false" ht="15" hidden="false" customHeight="false" outlineLevel="0" collapsed="false">
      <c r="A196" s="0" t="n">
        <f aca="false">A195+1</f>
        <v>194</v>
      </c>
      <c r="B196" s="0" t="n">
        <v>0</v>
      </c>
      <c r="C196" s="1" t="n">
        <f aca="false">B196*$K$1</f>
        <v>0</v>
      </c>
      <c r="D196" s="1" t="n">
        <v>0.00401642256009413</v>
      </c>
      <c r="E196" s="1" t="n">
        <f aca="false">D196*$K$1</f>
        <v>0.00898473726693057</v>
      </c>
      <c r="F196" s="2" t="n">
        <v>1.5</v>
      </c>
      <c r="G196" s="0" t="n">
        <f aca="false">B196*F196+5</f>
        <v>5</v>
      </c>
      <c r="H196" s="3" t="n">
        <v>0.89408</v>
      </c>
      <c r="I196" s="3" t="n">
        <v>0</v>
      </c>
      <c r="J196" s="4" t="n">
        <v>5.0271651845203</v>
      </c>
    </row>
    <row r="197" customFormat="false" ht="15" hidden="false" customHeight="false" outlineLevel="0" collapsed="false">
      <c r="A197" s="0" t="n">
        <f aca="false">A196+1</f>
        <v>195</v>
      </c>
      <c r="B197" s="0" t="n">
        <v>0</v>
      </c>
      <c r="C197" s="1" t="n">
        <f aca="false">B197*$K$1</f>
        <v>0</v>
      </c>
      <c r="D197" s="1" t="n">
        <v>0.00670399712302983</v>
      </c>
      <c r="E197" s="1" t="n">
        <f aca="false">D197*$K$1</f>
        <v>0.0149968415642177</v>
      </c>
      <c r="F197" s="2" t="n">
        <v>1.5</v>
      </c>
      <c r="G197" s="0" t="n">
        <f aca="false">B197*F197+5</f>
        <v>5</v>
      </c>
      <c r="H197" s="3" t="n">
        <v>0.89408</v>
      </c>
      <c r="I197" s="3" t="n">
        <v>0</v>
      </c>
      <c r="J197" s="4" t="n">
        <v>5.02162450663082</v>
      </c>
    </row>
    <row r="198" customFormat="false" ht="15" hidden="false" customHeight="false" outlineLevel="0" collapsed="false">
      <c r="A198" s="0" t="n">
        <f aca="false">A197+1</f>
        <v>196</v>
      </c>
      <c r="B198" s="0" t="n">
        <v>0</v>
      </c>
      <c r="C198" s="1" t="n">
        <f aca="false">B198*$K$1</f>
        <v>0</v>
      </c>
      <c r="D198" s="1" t="n">
        <v>0.00742667067074735</v>
      </c>
      <c r="E198" s="1" t="n">
        <f aca="false">D198*$K$1</f>
        <v>0.0166134622904618</v>
      </c>
      <c r="F198" s="2" t="n">
        <v>1.5</v>
      </c>
      <c r="G198" s="0" t="n">
        <f aca="false">B198*F198+5</f>
        <v>5</v>
      </c>
      <c r="H198" s="3" t="n">
        <v>0.89408</v>
      </c>
      <c r="I198" s="3" t="n">
        <v>0</v>
      </c>
      <c r="J198" s="4" t="n">
        <v>5.01443187833866</v>
      </c>
    </row>
    <row r="199" customFormat="false" ht="15" hidden="false" customHeight="false" outlineLevel="0" collapsed="false">
      <c r="A199" s="0" t="n">
        <f aca="false">A198+1</f>
        <v>197</v>
      </c>
      <c r="B199" s="0" t="n">
        <v>0</v>
      </c>
      <c r="C199" s="1" t="n">
        <f aca="false">B199*$K$1</f>
        <v>0</v>
      </c>
      <c r="D199" s="1" t="n">
        <v>0.00671615374949657</v>
      </c>
      <c r="E199" s="1" t="n">
        <f aca="false">D199*$K$1</f>
        <v>0.0150240359376238</v>
      </c>
      <c r="F199" s="2" t="n">
        <v>1.5</v>
      </c>
      <c r="G199" s="0" t="n">
        <f aca="false">B199*F199+5</f>
        <v>5</v>
      </c>
      <c r="H199" s="3" t="n">
        <v>0.89408</v>
      </c>
      <c r="I199" s="3" t="n">
        <v>0</v>
      </c>
      <c r="J199" s="4" t="n">
        <v>5.00728929015054</v>
      </c>
    </row>
    <row r="200" customFormat="false" ht="15" hidden="false" customHeight="false" outlineLevel="0" collapsed="false">
      <c r="A200" s="0" t="n">
        <f aca="false">A199+1</f>
        <v>198</v>
      </c>
      <c r="B200" s="0" t="n">
        <v>0</v>
      </c>
      <c r="C200" s="1" t="n">
        <f aca="false">B200*$K$1</f>
        <v>0</v>
      </c>
      <c r="D200" s="1" t="n">
        <v>0.00515939500525678</v>
      </c>
      <c r="E200" s="1" t="n">
        <f aca="false">D200*$K$1</f>
        <v>0.0115415666267594</v>
      </c>
      <c r="F200" s="2" t="n">
        <v>1.5</v>
      </c>
      <c r="G200" s="0" t="n">
        <f aca="false">B200*F200+5</f>
        <v>5</v>
      </c>
      <c r="H200" s="3" t="n">
        <v>0.89408</v>
      </c>
      <c r="I200" s="3" t="n">
        <v>0</v>
      </c>
      <c r="J200" s="4" t="n">
        <v>5.00132940302956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J2" activeCellId="0" sqref="J2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6.14"/>
    <col collapsed="false" customWidth="true" hidden="false" outlineLevel="0" max="3" min="3" style="1" width="16.43"/>
    <col collapsed="false" customWidth="true" hidden="false" outlineLevel="0" max="5" min="4" style="1" width="22.28"/>
    <col collapsed="false" customWidth="true" hidden="false" outlineLevel="0" max="6" min="6" style="2" width="11.28"/>
    <col collapsed="false" customWidth="true" hidden="false" outlineLevel="0" max="7" min="7" style="0" width="20"/>
    <col collapsed="false" customWidth="true" hidden="false" outlineLevel="0" max="9" min="8" style="3" width="17.57"/>
    <col collapsed="false" customWidth="true" hidden="false" outlineLevel="0" max="10" min="10" style="4" width="17.57"/>
  </cols>
  <sheetData>
    <row r="1" customFormat="false" ht="15.75" hidden="false" customHeight="fals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5" t="s">
        <v>6</v>
      </c>
      <c r="H1" s="8" t="s">
        <v>7</v>
      </c>
      <c r="I1" s="8" t="s">
        <v>8</v>
      </c>
      <c r="J1" s="9" t="s">
        <v>9</v>
      </c>
      <c r="K1" s="0" t="n">
        <v>2.237</v>
      </c>
      <c r="L1" s="0" t="s">
        <v>10</v>
      </c>
      <c r="M1" s="0" t="n">
        <v>0.5</v>
      </c>
    </row>
    <row r="2" customFormat="false" ht="15" hidden="false" customHeight="false" outlineLevel="0" collapsed="false">
      <c r="A2" s="0" t="n">
        <v>0</v>
      </c>
      <c r="B2" s="1" t="n">
        <v>0</v>
      </c>
      <c r="C2" s="1" t="n">
        <f aca="false">B2*$K$1</f>
        <v>0</v>
      </c>
      <c r="D2" s="1" t="n">
        <v>0</v>
      </c>
      <c r="E2" s="1" t="n">
        <f aca="false">D2*$K$1</f>
        <v>0</v>
      </c>
      <c r="F2" s="2" t="n">
        <v>2</v>
      </c>
      <c r="G2" s="12" t="n">
        <f aca="false">B2*F2+5</f>
        <v>5</v>
      </c>
      <c r="H2" s="3" t="n">
        <v>0</v>
      </c>
      <c r="I2" s="3" t="n">
        <v>0</v>
      </c>
      <c r="J2" s="4" t="n">
        <v>5</v>
      </c>
      <c r="L2" s="0" t="s">
        <v>11</v>
      </c>
      <c r="M2" s="0" t="n">
        <v>0.2</v>
      </c>
    </row>
    <row r="3" customFormat="false" ht="15" hidden="false" customHeight="false" outlineLevel="0" collapsed="false">
      <c r="A3" s="0" t="n">
        <f aca="false">A2+1</f>
        <v>1</v>
      </c>
      <c r="B3" s="1" t="n">
        <v>0</v>
      </c>
      <c r="C3" s="1" t="n">
        <f aca="false">B3*$K$1</f>
        <v>0</v>
      </c>
      <c r="D3" s="1" t="n">
        <v>0</v>
      </c>
      <c r="E3" s="1" t="n">
        <f aca="false">D3*$K$1</f>
        <v>0</v>
      </c>
      <c r="F3" s="2" t="n">
        <v>2</v>
      </c>
      <c r="G3" s="12" t="n">
        <f aca="false">B3*F3+5</f>
        <v>5</v>
      </c>
      <c r="H3" s="3" t="n">
        <v>0</v>
      </c>
      <c r="I3" s="3" t="n">
        <v>0</v>
      </c>
      <c r="J3" s="4" t="n">
        <v>5</v>
      </c>
      <c r="K3" s="0" t="n">
        <f aca="false">20/K1</f>
        <v>8.94054537326777</v>
      </c>
      <c r="L3" s="0" t="s">
        <v>12</v>
      </c>
      <c r="M3" s="0" t="n">
        <v>0.4</v>
      </c>
    </row>
    <row r="4" customFormat="false" ht="15" hidden="false" customHeight="false" outlineLevel="0" collapsed="false">
      <c r="A4" s="0" t="n">
        <f aca="false">A3+1</f>
        <v>2</v>
      </c>
      <c r="B4" s="1" t="n">
        <v>0</v>
      </c>
      <c r="C4" s="1" t="n">
        <f aca="false">B4*$K$1</f>
        <v>0</v>
      </c>
      <c r="D4" s="1" t="n">
        <v>0</v>
      </c>
      <c r="E4" s="1" t="n">
        <f aca="false">D4*$K$1</f>
        <v>0</v>
      </c>
      <c r="F4" s="2" t="n">
        <v>2</v>
      </c>
      <c r="G4" s="12" t="n">
        <f aca="false">B4*F4+5</f>
        <v>5</v>
      </c>
      <c r="H4" s="3" t="n">
        <v>0</v>
      </c>
      <c r="I4" s="3" t="n">
        <v>0</v>
      </c>
      <c r="J4" s="4" t="n">
        <v>5</v>
      </c>
    </row>
    <row r="5" customFormat="false" ht="15" hidden="false" customHeight="false" outlineLevel="0" collapsed="false">
      <c r="A5" s="0" t="n">
        <f aca="false">A4+1</f>
        <v>3</v>
      </c>
      <c r="B5" s="1" t="n">
        <v>0</v>
      </c>
      <c r="C5" s="1" t="n">
        <f aca="false">B5*$K$1</f>
        <v>0</v>
      </c>
      <c r="D5" s="1" t="n">
        <v>0</v>
      </c>
      <c r="E5" s="1" t="n">
        <f aca="false">D5*$K$1</f>
        <v>0</v>
      </c>
      <c r="F5" s="2" t="n">
        <v>2</v>
      </c>
      <c r="G5" s="12" t="n">
        <f aca="false">B5*F5+5</f>
        <v>5</v>
      </c>
      <c r="H5" s="3" t="n">
        <v>0</v>
      </c>
      <c r="I5" s="3" t="n">
        <v>0</v>
      </c>
      <c r="J5" s="4" t="n">
        <v>5</v>
      </c>
    </row>
    <row r="6" customFormat="false" ht="15" hidden="false" customHeight="false" outlineLevel="0" collapsed="false">
      <c r="A6" s="0" t="n">
        <f aca="false">A5+1</f>
        <v>4</v>
      </c>
      <c r="B6" s="1" t="n">
        <v>0</v>
      </c>
      <c r="C6" s="1" t="n">
        <f aca="false">B6*$K$1</f>
        <v>0</v>
      </c>
      <c r="D6" s="1" t="n">
        <v>0</v>
      </c>
      <c r="E6" s="1" t="n">
        <f aca="false">D6*$K$1</f>
        <v>0</v>
      </c>
      <c r="F6" s="2" t="n">
        <v>2</v>
      </c>
      <c r="G6" s="12" t="n">
        <f aca="false">B6*F6+5</f>
        <v>5</v>
      </c>
      <c r="H6" s="3" t="n">
        <v>0</v>
      </c>
      <c r="I6" s="3" t="n">
        <v>0</v>
      </c>
      <c r="J6" s="4" t="n">
        <v>5</v>
      </c>
    </row>
    <row r="7" customFormat="false" ht="15" hidden="false" customHeight="false" outlineLevel="0" collapsed="false">
      <c r="A7" s="0" t="n">
        <f aca="false">A6+1</f>
        <v>5</v>
      </c>
      <c r="B7" s="1" t="n">
        <v>0</v>
      </c>
      <c r="C7" s="1" t="n">
        <f aca="false">B7*$K$1</f>
        <v>0</v>
      </c>
      <c r="D7" s="1" t="n">
        <v>0</v>
      </c>
      <c r="E7" s="1" t="n">
        <f aca="false">D7*$K$1</f>
        <v>0</v>
      </c>
      <c r="F7" s="2" t="n">
        <v>2</v>
      </c>
      <c r="G7" s="12" t="n">
        <f aca="false">B7*F7+5</f>
        <v>5</v>
      </c>
      <c r="H7" s="3" t="n">
        <v>0</v>
      </c>
      <c r="I7" s="3" t="n">
        <v>0</v>
      </c>
      <c r="J7" s="4" t="n">
        <v>5</v>
      </c>
    </row>
    <row r="8" customFormat="false" ht="15" hidden="false" customHeight="false" outlineLevel="0" collapsed="false">
      <c r="A8" s="0" t="n">
        <f aca="false">A7+1</f>
        <v>6</v>
      </c>
      <c r="B8" s="1" t="n">
        <v>0</v>
      </c>
      <c r="C8" s="1" t="n">
        <f aca="false">B8*$K$1</f>
        <v>0</v>
      </c>
      <c r="D8" s="1" t="n">
        <v>0</v>
      </c>
      <c r="E8" s="1" t="n">
        <f aca="false">D8*$K$1</f>
        <v>0</v>
      </c>
      <c r="F8" s="2" t="n">
        <v>2</v>
      </c>
      <c r="G8" s="12" t="n">
        <f aca="false">B8*F8+5</f>
        <v>5</v>
      </c>
      <c r="H8" s="3" t="n">
        <v>0</v>
      </c>
      <c r="I8" s="3" t="n">
        <v>0</v>
      </c>
      <c r="J8" s="4" t="n">
        <v>5</v>
      </c>
    </row>
    <row r="9" customFormat="false" ht="15" hidden="false" customHeight="false" outlineLevel="0" collapsed="false">
      <c r="A9" s="0" t="n">
        <f aca="false">A8+1</f>
        <v>7</v>
      </c>
      <c r="B9" s="1" t="n">
        <v>0</v>
      </c>
      <c r="C9" s="1" t="n">
        <f aca="false">B9*$K$1</f>
        <v>0</v>
      </c>
      <c r="D9" s="1" t="n">
        <v>0</v>
      </c>
      <c r="E9" s="1" t="n">
        <f aca="false">D9*$K$1</f>
        <v>0</v>
      </c>
      <c r="F9" s="2" t="n">
        <v>2</v>
      </c>
      <c r="G9" s="12" t="n">
        <f aca="false">B9*F9+5</f>
        <v>5</v>
      </c>
      <c r="H9" s="3" t="n">
        <v>0</v>
      </c>
      <c r="I9" s="3" t="n">
        <v>0</v>
      </c>
      <c r="J9" s="4" t="n">
        <v>5</v>
      </c>
    </row>
    <row r="10" customFormat="false" ht="15" hidden="false" customHeight="false" outlineLevel="0" collapsed="false">
      <c r="A10" s="0" t="n">
        <f aca="false">A9+1</f>
        <v>8</v>
      </c>
      <c r="B10" s="1" t="n">
        <v>0</v>
      </c>
      <c r="C10" s="1" t="n">
        <f aca="false">B10*$K$1</f>
        <v>0</v>
      </c>
      <c r="D10" s="1" t="n">
        <v>0</v>
      </c>
      <c r="E10" s="1" t="n">
        <f aca="false">D10*$K$1</f>
        <v>0</v>
      </c>
      <c r="F10" s="2" t="n">
        <v>2</v>
      </c>
      <c r="G10" s="12" t="n">
        <f aca="false">B10*F10+5</f>
        <v>5</v>
      </c>
      <c r="H10" s="3" t="n">
        <v>0</v>
      </c>
      <c r="I10" s="3" t="n">
        <v>0</v>
      </c>
      <c r="J10" s="4" t="n">
        <v>5</v>
      </c>
    </row>
    <row r="11" customFormat="false" ht="15" hidden="false" customHeight="false" outlineLevel="0" collapsed="false">
      <c r="A11" s="0" t="n">
        <f aca="false">A10+1</f>
        <v>9</v>
      </c>
      <c r="B11" s="1" t="n">
        <v>0</v>
      </c>
      <c r="C11" s="1" t="n">
        <f aca="false">B11*$K$1</f>
        <v>0</v>
      </c>
      <c r="D11" s="1" t="n">
        <v>0</v>
      </c>
      <c r="E11" s="1" t="n">
        <f aca="false">D11*$K$1</f>
        <v>0</v>
      </c>
      <c r="F11" s="2" t="n">
        <v>2</v>
      </c>
      <c r="G11" s="12" t="n">
        <f aca="false">B11*F11+5</f>
        <v>5</v>
      </c>
      <c r="H11" s="3" t="n">
        <v>0</v>
      </c>
      <c r="I11" s="3" t="n">
        <v>0</v>
      </c>
      <c r="J11" s="4" t="n">
        <v>5</v>
      </c>
    </row>
    <row r="12" customFormat="false" ht="15" hidden="false" customHeight="false" outlineLevel="0" collapsed="false">
      <c r="A12" s="0" t="n">
        <f aca="false">A11+1</f>
        <v>10</v>
      </c>
      <c r="B12" s="1" t="n">
        <v>0</v>
      </c>
      <c r="C12" s="1" t="n">
        <f aca="false">B12*$K$1</f>
        <v>0</v>
      </c>
      <c r="D12" s="1" t="n">
        <v>0</v>
      </c>
      <c r="E12" s="1" t="n">
        <f aca="false">D12*$K$1</f>
        <v>0</v>
      </c>
      <c r="F12" s="2" t="n">
        <v>2</v>
      </c>
      <c r="G12" s="12" t="n">
        <f aca="false">B12*F12+5</f>
        <v>5</v>
      </c>
      <c r="H12" s="3" t="n">
        <v>0</v>
      </c>
      <c r="I12" s="3" t="n">
        <v>0</v>
      </c>
      <c r="J12" s="4" t="n">
        <v>5</v>
      </c>
    </row>
    <row r="13" customFormat="false" ht="15" hidden="false" customHeight="false" outlineLevel="0" collapsed="false">
      <c r="A13" s="0" t="n">
        <f aca="false">A12+1</f>
        <v>11</v>
      </c>
      <c r="B13" s="1" t="n">
        <f aca="false">B12+H13*1</f>
        <v>0.89408</v>
      </c>
      <c r="C13" s="1" t="n">
        <f aca="false">B13*$K$1</f>
        <v>2.00005696</v>
      </c>
      <c r="D13" s="1" t="n">
        <v>0.0298026666666667</v>
      </c>
      <c r="E13" s="1" t="n">
        <f aca="false">D13*$K$1</f>
        <v>0.0666685653333334</v>
      </c>
      <c r="F13" s="2" t="n">
        <v>2</v>
      </c>
      <c r="G13" s="12" t="n">
        <f aca="false">B13*F13+5</f>
        <v>6.78816</v>
      </c>
      <c r="H13" s="3" t="n">
        <v>0.89408</v>
      </c>
      <c r="I13" s="3" t="n">
        <v>0</v>
      </c>
      <c r="J13" s="4" t="n">
        <v>5.44704</v>
      </c>
    </row>
    <row r="14" customFormat="false" ht="15" hidden="false" customHeight="false" outlineLevel="0" collapsed="false">
      <c r="A14" s="0" t="n">
        <f aca="false">A13+1</f>
        <v>12</v>
      </c>
      <c r="B14" s="1" t="n">
        <f aca="false">B13+H14*1</f>
        <v>1.78816</v>
      </c>
      <c r="C14" s="1" t="n">
        <f aca="false">B14*$K$1</f>
        <v>4.00011392</v>
      </c>
      <c r="D14" s="1" t="n">
        <v>0.195982336</v>
      </c>
      <c r="E14" s="1" t="n">
        <f aca="false">D14*$K$1</f>
        <v>0.438412485632</v>
      </c>
      <c r="F14" s="2" t="n">
        <v>2</v>
      </c>
      <c r="G14" s="12" t="n">
        <f aca="false">B14*F14+5</f>
        <v>8.57632</v>
      </c>
      <c r="H14" s="3" t="n">
        <v>0.89408</v>
      </c>
      <c r="I14" s="3" t="n">
        <v>0</v>
      </c>
      <c r="J14" s="4" t="n">
        <v>6.69597041777778</v>
      </c>
    </row>
    <row r="15" customFormat="false" ht="15" hidden="false" customHeight="false" outlineLevel="0" collapsed="false">
      <c r="A15" s="0" t="n">
        <f aca="false">A14+1</f>
        <v>13</v>
      </c>
      <c r="B15" s="1" t="n">
        <f aca="false">B14+H15*1</f>
        <v>2.68224</v>
      </c>
      <c r="C15" s="1" t="n">
        <f aca="false">B15*$K$1</f>
        <v>6.00017088</v>
      </c>
      <c r="D15" s="1" t="n">
        <v>0.570675978543408</v>
      </c>
      <c r="E15" s="1" t="n">
        <f aca="false">D15*$K$1</f>
        <v>1.2766021640016</v>
      </c>
      <c r="F15" s="2" t="n">
        <v>2</v>
      </c>
      <c r="G15" s="12" t="n">
        <f aca="false">B15*F15+5</f>
        <v>10.36448</v>
      </c>
      <c r="H15" s="3" t="n">
        <v>0.89408</v>
      </c>
      <c r="I15" s="3" t="n">
        <v>0</v>
      </c>
      <c r="J15" s="4" t="n">
        <v>8.56910166167704</v>
      </c>
    </row>
    <row r="16" customFormat="false" ht="15" hidden="false" customHeight="false" outlineLevel="0" collapsed="false">
      <c r="A16" s="0" t="n">
        <f aca="false">A15+1</f>
        <v>14</v>
      </c>
      <c r="B16" s="1" t="n">
        <f aca="false">B15+H16*1</f>
        <v>3.57632</v>
      </c>
      <c r="C16" s="1" t="n">
        <f aca="false">B16*$K$1</f>
        <v>8.00022784</v>
      </c>
      <c r="D16" s="1" t="n">
        <v>1.16868381353129</v>
      </c>
      <c r="E16" s="1" t="n">
        <f aca="false">D16*$K$1</f>
        <v>2.6143456908695</v>
      </c>
      <c r="F16" s="2" t="n">
        <v>2</v>
      </c>
      <c r="G16" s="12" t="n">
        <f aca="false">B16*F16+5</f>
        <v>12.15264</v>
      </c>
      <c r="H16" s="3" t="n">
        <v>0.89408</v>
      </c>
      <c r="I16" s="3" t="n">
        <v>0</v>
      </c>
      <c r="J16" s="4" t="n">
        <v>10.8469152413539</v>
      </c>
    </row>
    <row r="17" customFormat="false" ht="15" hidden="false" customHeight="false" outlineLevel="0" collapsed="false">
      <c r="A17" s="0" t="n">
        <f aca="false">A16+1</f>
        <v>15</v>
      </c>
      <c r="B17" s="1" t="n">
        <f aca="false">B16+H17*1</f>
        <v>4.4704</v>
      </c>
      <c r="C17" s="1" t="n">
        <f aca="false">B17*$K$1</f>
        <v>10.0002848</v>
      </c>
      <c r="D17" s="1" t="n">
        <v>1.96399650449281</v>
      </c>
      <c r="E17" s="1" t="n">
        <f aca="false">D17*$K$1</f>
        <v>4.39346018055042</v>
      </c>
      <c r="F17" s="2" t="n">
        <v>2</v>
      </c>
      <c r="G17" s="12" t="n">
        <f aca="false">B17*F17+5</f>
        <v>13.9408</v>
      </c>
      <c r="H17" s="3" t="n">
        <v>0.89408</v>
      </c>
      <c r="I17" s="3" t="n">
        <v>0</v>
      </c>
      <c r="J17" s="4" t="n">
        <v>13.3171760950351</v>
      </c>
    </row>
    <row r="18" customFormat="false" ht="15" hidden="false" customHeight="false" outlineLevel="0" collapsed="false">
      <c r="A18" s="0" t="n">
        <f aca="false">A17+1</f>
        <v>16</v>
      </c>
      <c r="B18" s="1" t="n">
        <f aca="false">B17+H18*1</f>
        <v>5.36448</v>
      </c>
      <c r="C18" s="1" t="n">
        <f aca="false">B18*$K$1</f>
        <v>12.00034176</v>
      </c>
      <c r="D18" s="1" t="n">
        <v>2.90743785708995</v>
      </c>
      <c r="E18" s="1" t="n">
        <f aca="false">D18*$K$1</f>
        <v>6.50393848631022</v>
      </c>
      <c r="F18" s="2" t="n">
        <v>2</v>
      </c>
      <c r="G18" s="12" t="n">
        <f aca="false">B18*F18+5</f>
        <v>15.72896</v>
      </c>
      <c r="H18" s="3" t="n">
        <v>0.89408</v>
      </c>
      <c r="I18" s="3" t="n">
        <v>0</v>
      </c>
      <c r="J18" s="4" t="n">
        <v>15.8066769399011</v>
      </c>
    </row>
    <row r="19" customFormat="false" ht="15" hidden="false" customHeight="false" outlineLevel="0" collapsed="false">
      <c r="A19" s="0" t="n">
        <f aca="false">A18+1</f>
        <v>17</v>
      </c>
      <c r="B19" s="1" t="n">
        <f aca="false">B18+H19*1</f>
        <v>6.25856</v>
      </c>
      <c r="C19" s="1" t="n">
        <f aca="false">B19*$K$1</f>
        <v>14.00039872</v>
      </c>
      <c r="D19" s="1" t="n">
        <v>3.94221663728992</v>
      </c>
      <c r="E19" s="1" t="n">
        <f aca="false">D19*$K$1</f>
        <v>8.81873861761755</v>
      </c>
      <c r="F19" s="2" t="n">
        <v>2</v>
      </c>
      <c r="G19" s="12" t="n">
        <f aca="false">B19*F19+5</f>
        <v>17.51712</v>
      </c>
      <c r="H19" s="3" t="n">
        <v>0.89408</v>
      </c>
      <c r="I19" s="3" t="n">
        <v>0</v>
      </c>
      <c r="J19" s="4" t="n">
        <v>18.1962349051516</v>
      </c>
    </row>
    <row r="20" customFormat="false" ht="15" hidden="false" customHeight="false" outlineLevel="0" collapsed="false">
      <c r="A20" s="0" t="n">
        <f aca="false">A19+1</f>
        <v>18</v>
      </c>
      <c r="B20" s="1" t="n">
        <f aca="false">B19+H20*1</f>
        <v>7.15264</v>
      </c>
      <c r="C20" s="1" t="n">
        <f aca="false">B20*$K$1</f>
        <v>16.00045568</v>
      </c>
      <c r="D20" s="1" t="n">
        <v>5.01557492077552</v>
      </c>
      <c r="E20" s="1" t="n">
        <f aca="false">D20*$K$1</f>
        <v>11.2198410977748</v>
      </c>
      <c r="F20" s="2" t="n">
        <v>2</v>
      </c>
      <c r="G20" s="12" t="n">
        <f aca="false">B20*F20+5</f>
        <v>19.30528</v>
      </c>
      <c r="H20" s="3" t="n">
        <v>0.89408</v>
      </c>
      <c r="I20" s="3" t="n">
        <v>0</v>
      </c>
      <c r="J20" s="4" t="n">
        <v>20.4220506811218</v>
      </c>
    </row>
    <row r="21" customFormat="false" ht="15" hidden="false" customHeight="false" outlineLevel="0" collapsed="false">
      <c r="A21" s="0" t="n">
        <f aca="false">A20+1</f>
        <v>19</v>
      </c>
      <c r="B21" s="1" t="n">
        <f aca="false">B20+H21*1</f>
        <v>8.04672</v>
      </c>
      <c r="C21" s="1" t="n">
        <f aca="false">B21*$K$1</f>
        <v>18.00051264</v>
      </c>
      <c r="D21" s="1" t="n">
        <v>6.08594616085354</v>
      </c>
      <c r="E21" s="1" t="n">
        <f aca="false">D21*$K$1</f>
        <v>13.6142615618294</v>
      </c>
      <c r="F21" s="2" t="n">
        <v>2</v>
      </c>
      <c r="G21" s="12" t="n">
        <f aca="false">B21*F21+5</f>
        <v>21.09344</v>
      </c>
      <c r="H21" s="3" t="n">
        <v>0.89408</v>
      </c>
      <c r="I21" s="3" t="n">
        <v>0</v>
      </c>
      <c r="J21" s="4" t="n">
        <v>22.4677088516094</v>
      </c>
    </row>
    <row r="22" customFormat="false" ht="15" hidden="false" customHeight="false" outlineLevel="0" collapsed="false">
      <c r="A22" s="0" t="n">
        <f aca="false">A21+1</f>
        <v>20</v>
      </c>
      <c r="B22" s="1" t="n">
        <f aca="false">B21+H22*1</f>
        <v>8.9408</v>
      </c>
      <c r="C22" s="1" t="n">
        <f aca="false">B22*$K$1</f>
        <v>20.0005696</v>
      </c>
      <c r="D22" s="1" t="n">
        <v>7.12595211632406</v>
      </c>
      <c r="E22" s="1" t="n">
        <f aca="false">D22*$K$1</f>
        <v>15.9407548842169</v>
      </c>
      <c r="F22" s="2" t="n">
        <v>2</v>
      </c>
      <c r="G22" s="12" t="n">
        <f aca="false">B22*F22+5</f>
        <v>22.8816</v>
      </c>
      <c r="H22" s="3" t="n">
        <v>0.89408</v>
      </c>
      <c r="I22" s="3" t="n">
        <v>0</v>
      </c>
      <c r="J22" s="4" t="n">
        <v>24.3511927968594</v>
      </c>
    </row>
    <row r="23" customFormat="false" ht="15" hidden="false" customHeight="false" outlineLevel="0" collapsed="false">
      <c r="A23" s="0" t="n">
        <f aca="false">A22+1</f>
        <v>21</v>
      </c>
      <c r="B23" s="1" t="n">
        <f aca="false">B22+H23*1</f>
        <v>8.9408</v>
      </c>
      <c r="C23" s="1" t="n">
        <f aca="false">B23*$K$1</f>
        <v>20.0005696</v>
      </c>
      <c r="D23" s="1" t="n">
        <v>8.09232605176416</v>
      </c>
      <c r="E23" s="1" t="n">
        <f aca="false">D23*$K$1</f>
        <v>18.1025333777964</v>
      </c>
      <c r="F23" s="2" t="n">
        <v>2</v>
      </c>
      <c r="G23" s="12" t="n">
        <f aca="false">B23*F23+5</f>
        <v>22.8816</v>
      </c>
      <c r="H23" s="3" t="n">
        <v>0</v>
      </c>
      <c r="I23" s="3" t="n">
        <v>0</v>
      </c>
      <c r="J23" s="4" t="n">
        <v>25.6636074088478</v>
      </c>
    </row>
    <row r="24" customFormat="false" ht="15" hidden="false" customHeight="false" outlineLevel="0" collapsed="false">
      <c r="A24" s="0" t="n">
        <f aca="false">A23+1</f>
        <v>22</v>
      </c>
      <c r="B24" s="1" t="n">
        <f aca="false">B23+H24*1</f>
        <v>8.9408</v>
      </c>
      <c r="C24" s="1" t="n">
        <f aca="false">B24*$K$1</f>
        <v>20.0005696</v>
      </c>
      <c r="D24" s="1" t="n">
        <v>8.8765213690553</v>
      </c>
      <c r="E24" s="1" t="n">
        <f aca="false">D24*$K$1</f>
        <v>19.8567783025767</v>
      </c>
      <c r="F24" s="2" t="n">
        <v>2</v>
      </c>
      <c r="G24" s="12" t="n">
        <f aca="false">B24*F24+5</f>
        <v>22.8816</v>
      </c>
      <c r="H24" s="3" t="n">
        <v>0</v>
      </c>
      <c r="I24" s="3" t="n">
        <v>0</v>
      </c>
      <c r="J24" s="4" t="n">
        <v>26.0956227656814</v>
      </c>
    </row>
    <row r="25" customFormat="false" ht="15" hidden="false" customHeight="false" outlineLevel="0" collapsed="false">
      <c r="A25" s="0" t="n">
        <f aca="false">A24+1</f>
        <v>23</v>
      </c>
      <c r="B25" s="1" t="n">
        <f aca="false">B24+H25*1</f>
        <v>8.9408</v>
      </c>
      <c r="C25" s="1" t="n">
        <f aca="false">B25*$K$1</f>
        <v>20.0005696</v>
      </c>
      <c r="D25" s="1" t="n">
        <v>9.41244821477842</v>
      </c>
      <c r="E25" s="1" t="n">
        <f aca="false">D25*$K$1</f>
        <v>21.0556466564593</v>
      </c>
      <c r="F25" s="2" t="n">
        <v>2</v>
      </c>
      <c r="G25" s="12" t="n">
        <f aca="false">B25*F25+5</f>
        <v>22.8816</v>
      </c>
      <c r="H25" s="3" t="n">
        <v>0</v>
      </c>
      <c r="I25" s="3" t="n">
        <v>0</v>
      </c>
      <c r="J25" s="4" t="n">
        <v>25.8680685065385</v>
      </c>
    </row>
    <row r="26" customFormat="false" ht="15" hidden="false" customHeight="false" outlineLevel="0" collapsed="false">
      <c r="A26" s="0" t="n">
        <f aca="false">A25+1</f>
        <v>24</v>
      </c>
      <c r="B26" s="1" t="n">
        <f aca="false">B25+H26*1</f>
        <v>8.9408</v>
      </c>
      <c r="C26" s="1" t="n">
        <f aca="false">B26*$K$1</f>
        <v>20.0005696</v>
      </c>
      <c r="D26" s="1" t="n">
        <v>9.69575533904538</v>
      </c>
      <c r="E26" s="1" t="n">
        <f aca="false">D26*$K$1</f>
        <v>21.6894046934445</v>
      </c>
      <c r="F26" s="2" t="n">
        <v>2</v>
      </c>
      <c r="G26" s="12" t="n">
        <f aca="false">B26*F26+5</f>
        <v>22.8816</v>
      </c>
      <c r="H26" s="3" t="n">
        <v>0</v>
      </c>
      <c r="I26" s="3" t="n">
        <v>0</v>
      </c>
      <c r="J26" s="4" t="n">
        <v>25.235066985581</v>
      </c>
    </row>
    <row r="27" customFormat="false" ht="15" hidden="false" customHeight="false" outlineLevel="0" collapsed="false">
      <c r="A27" s="0" t="n">
        <f aca="false">A26+1</f>
        <v>25</v>
      </c>
      <c r="B27" s="1" t="n">
        <f aca="false">B26+H27*1</f>
        <v>8.9408</v>
      </c>
      <c r="C27" s="1" t="n">
        <f aca="false">B27*$K$1</f>
        <v>20.0005696</v>
      </c>
      <c r="D27" s="1" t="n">
        <v>9.76417014378323</v>
      </c>
      <c r="E27" s="1" t="n">
        <f aca="false">D27*$K$1</f>
        <v>21.8424486116431</v>
      </c>
      <c r="F27" s="2" t="n">
        <v>2</v>
      </c>
      <c r="G27" s="12" t="n">
        <f aca="false">B27*F27+5</f>
        <v>22.8816</v>
      </c>
      <c r="H27" s="3" t="n">
        <v>0</v>
      </c>
      <c r="I27" s="3" t="n">
        <v>0</v>
      </c>
      <c r="J27" s="4" t="n">
        <v>24.4321686111879</v>
      </c>
    </row>
    <row r="28" customFormat="false" ht="15" hidden="false" customHeight="false" outlineLevel="0" collapsed="false">
      <c r="A28" s="0" t="n">
        <f aca="false">A27+1</f>
        <v>26</v>
      </c>
      <c r="B28" s="1" t="n">
        <f aca="false">B27+H28*1</f>
        <v>8.9408</v>
      </c>
      <c r="C28" s="1" t="n">
        <f aca="false">B28*$K$1</f>
        <v>20.0005696</v>
      </c>
      <c r="D28" s="1" t="n">
        <v>9.67755215866996</v>
      </c>
      <c r="E28" s="1" t="n">
        <f aca="false">D28*$K$1</f>
        <v>21.6486841789447</v>
      </c>
      <c r="F28" s="2" t="n">
        <v>2</v>
      </c>
      <c r="G28" s="12" t="n">
        <f aca="false">B28*F28+5</f>
        <v>22.8816</v>
      </c>
      <c r="H28" s="3" t="n">
        <v>0</v>
      </c>
      <c r="I28" s="3" t="n">
        <v>0</v>
      </c>
      <c r="J28" s="4" t="n">
        <v>23.6445790174836</v>
      </c>
    </row>
    <row r="29" customFormat="false" ht="15" hidden="false" customHeight="false" outlineLevel="0" collapsed="false">
      <c r="A29" s="0" t="n">
        <f aca="false">A28+1</f>
        <v>27</v>
      </c>
      <c r="B29" s="1" t="n">
        <f aca="false">B28+H29*1</f>
        <v>8.9408</v>
      </c>
      <c r="C29" s="1" t="n">
        <f aca="false">B29*$K$1</f>
        <v>20.0005696</v>
      </c>
      <c r="D29" s="1" t="n">
        <v>9.50096362400803</v>
      </c>
      <c r="E29" s="1" t="n">
        <f aca="false">D29*$K$1</f>
        <v>21.253655626906</v>
      </c>
      <c r="F29" s="2" t="n">
        <v>2</v>
      </c>
      <c r="G29" s="12" t="n">
        <f aca="false">B29*F29+5</f>
        <v>22.8816</v>
      </c>
      <c r="H29" s="3" t="n">
        <v>0</v>
      </c>
      <c r="I29" s="3" t="n">
        <v>0</v>
      </c>
      <c r="J29" s="4" t="n">
        <v>22.9939641234235</v>
      </c>
    </row>
    <row r="30" customFormat="false" ht="15" hidden="false" customHeight="false" outlineLevel="0" collapsed="false">
      <c r="A30" s="0" t="n">
        <f aca="false">A29+1</f>
        <v>28</v>
      </c>
      <c r="B30" s="1" t="n">
        <f aca="false">B29+H30*1</f>
        <v>8.9408</v>
      </c>
      <c r="C30" s="1" t="n">
        <f aca="false">B30*$K$1</f>
        <v>20.0005696</v>
      </c>
      <c r="D30" s="1" t="n">
        <v>9.29248596082532</v>
      </c>
      <c r="E30" s="1" t="n">
        <f aca="false">D30*$K$1</f>
        <v>20.7872910943662</v>
      </c>
      <c r="F30" s="2" t="n">
        <v>2</v>
      </c>
      <c r="G30" s="12" t="n">
        <f aca="false">B30*F30+5</f>
        <v>22.8816</v>
      </c>
      <c r="H30" s="3" t="n">
        <v>0</v>
      </c>
      <c r="I30" s="3" t="n">
        <v>0</v>
      </c>
      <c r="J30" s="4" t="n">
        <v>22.5398294243471</v>
      </c>
    </row>
    <row r="31" customFormat="false" ht="15" hidden="false" customHeight="false" outlineLevel="0" collapsed="false">
      <c r="A31" s="0" t="n">
        <f aca="false">A30+1</f>
        <v>29</v>
      </c>
      <c r="B31" s="1" t="n">
        <f aca="false">B30+H31*1</f>
        <v>8.9408</v>
      </c>
      <c r="C31" s="1" t="n">
        <f aca="false">B31*$K$1</f>
        <v>20.0005696</v>
      </c>
      <c r="D31" s="1" t="n">
        <v>9.0961772346483</v>
      </c>
      <c r="E31" s="1" t="n">
        <f aca="false">D31*$K$1</f>
        <v>20.3481484739082</v>
      </c>
      <c r="F31" s="2" t="n">
        <v>2</v>
      </c>
      <c r="G31" s="12" t="n">
        <f aca="false">B31*F31+5</f>
        <v>22.8816</v>
      </c>
      <c r="H31" s="3" t="n">
        <v>0</v>
      </c>
      <c r="I31" s="3" t="n">
        <v>0</v>
      </c>
      <c r="J31" s="4" t="n">
        <v>22.2904453453156</v>
      </c>
    </row>
    <row r="32" customFormat="false" ht="15" hidden="false" customHeight="false" outlineLevel="0" collapsed="false">
      <c r="A32" s="0" t="n">
        <f aca="false">A31+1</f>
        <v>30</v>
      </c>
      <c r="B32" s="1" t="n">
        <f aca="false">B31+H32*1</f>
        <v>8.9408</v>
      </c>
      <c r="C32" s="1" t="n">
        <f aca="false">B32*$K$1</f>
        <v>20.0005696</v>
      </c>
      <c r="D32" s="1" t="n">
        <v>8.93960829330714</v>
      </c>
      <c r="E32" s="1" t="n">
        <f aca="false">D32*$K$1</f>
        <v>19.9979037521281</v>
      </c>
      <c r="F32" s="2" t="n">
        <v>2</v>
      </c>
      <c r="G32" s="12" t="n">
        <f aca="false">B32*F32+5</f>
        <v>22.8816</v>
      </c>
      <c r="H32" s="3" t="n">
        <v>0</v>
      </c>
      <c r="I32" s="3" t="n">
        <v>0</v>
      </c>
      <c r="J32" s="4" t="n">
        <v>22.218412809234</v>
      </c>
    </row>
    <row r="33" customFormat="false" ht="15" hidden="false" customHeight="false" outlineLevel="0" collapsed="false">
      <c r="A33" s="0" t="n">
        <f aca="false">A32+1</f>
        <v>31</v>
      </c>
      <c r="B33" s="1" t="n">
        <f aca="false">B32+H33*1</f>
        <v>8.9408</v>
      </c>
      <c r="C33" s="1" t="n">
        <f aca="false">B33*$K$1</f>
        <v>20.0005696</v>
      </c>
      <c r="D33" s="1" t="n">
        <v>8.83486404187618</v>
      </c>
      <c r="E33" s="1" t="n">
        <f aca="false">D33*$K$1</f>
        <v>19.763590861677</v>
      </c>
      <c r="F33" s="2" t="n">
        <v>2</v>
      </c>
      <c r="G33" s="12" t="n">
        <f aca="false">B33*F33+5</f>
        <v>22.8816</v>
      </c>
      <c r="H33" s="3" t="n">
        <v>0</v>
      </c>
      <c r="I33" s="3" t="n">
        <v>0</v>
      </c>
      <c r="J33" s="4" t="n">
        <v>22.2768344530767</v>
      </c>
    </row>
    <row r="34" customFormat="false" ht="15" hidden="false" customHeight="false" outlineLevel="0" collapsed="false">
      <c r="A34" s="0" t="n">
        <f aca="false">A33+1</f>
        <v>32</v>
      </c>
      <c r="B34" s="1" t="n">
        <f aca="false">B33+H34*1</f>
        <v>8.9408</v>
      </c>
      <c r="C34" s="1" t="n">
        <f aca="false">B34*$K$1</f>
        <v>20.0005696</v>
      </c>
      <c r="D34" s="1" t="n">
        <v>8.78170603551303</v>
      </c>
      <c r="E34" s="1" t="n">
        <f aca="false">D34*$K$1</f>
        <v>19.6446764014426</v>
      </c>
      <c r="F34" s="2" t="n">
        <v>2</v>
      </c>
      <c r="G34" s="12" t="n">
        <f aca="false">B34*F34+5</f>
        <v>22.8816</v>
      </c>
      <c r="H34" s="3" t="n">
        <v>0</v>
      </c>
      <c r="I34" s="3" t="n">
        <v>0</v>
      </c>
      <c r="J34" s="4" t="n">
        <v>22.4132899939216</v>
      </c>
    </row>
    <row r="35" customFormat="false" ht="15" hidden="false" customHeight="false" outlineLevel="0" collapsed="false">
      <c r="A35" s="0" t="n">
        <f aca="false">A34+1</f>
        <v>33</v>
      </c>
      <c r="B35" s="1" t="n">
        <f aca="false">B34+H35*1</f>
        <v>8.9408</v>
      </c>
      <c r="C35" s="1" t="n">
        <f aca="false">B35*$K$1</f>
        <v>20.0005696</v>
      </c>
      <c r="D35" s="1" t="n">
        <v>8.77167480953466</v>
      </c>
      <c r="E35" s="1" t="n">
        <f aca="false">D35*$K$1</f>
        <v>19.622236548929</v>
      </c>
      <c r="F35" s="2" t="n">
        <v>2</v>
      </c>
      <c r="G35" s="12" t="n">
        <f aca="false">B35*F35+5</f>
        <v>22.8816</v>
      </c>
      <c r="H35" s="3" t="n">
        <v>0</v>
      </c>
      <c r="I35" s="3" t="n">
        <v>0</v>
      </c>
      <c r="J35" s="4" t="n">
        <v>22.5800914062747</v>
      </c>
    </row>
    <row r="36" customFormat="false" ht="15" hidden="false" customHeight="false" outlineLevel="0" collapsed="false">
      <c r="A36" s="0" t="n">
        <f aca="false">A35+1</f>
        <v>34</v>
      </c>
      <c r="B36" s="1" t="n">
        <f aca="false">B35+H36*1</f>
        <v>8.9408</v>
      </c>
      <c r="C36" s="1" t="n">
        <f aca="false">B36*$K$1</f>
        <v>20.0005696</v>
      </c>
      <c r="D36" s="1" t="n">
        <v>8.79216202294491</v>
      </c>
      <c r="E36" s="1" t="n">
        <f aca="false">D36*$K$1</f>
        <v>19.6680664453278</v>
      </c>
      <c r="F36" s="2" t="n">
        <v>2</v>
      </c>
      <c r="G36" s="12" t="n">
        <f aca="false">B36*F36+5</f>
        <v>22.8816</v>
      </c>
      <c r="H36" s="3" t="n">
        <v>0</v>
      </c>
      <c r="I36" s="3" t="n">
        <v>0</v>
      </c>
      <c r="J36" s="4" t="n">
        <v>22.7403948021667</v>
      </c>
    </row>
    <row r="37" customFormat="false" ht="15" hidden="false" customHeight="false" outlineLevel="0" collapsed="false">
      <c r="A37" s="0" t="n">
        <f aca="false">A36+1</f>
        <v>35</v>
      </c>
      <c r="B37" s="1" t="n">
        <f aca="false">B36+H37*1</f>
        <v>8.9408</v>
      </c>
      <c r="C37" s="1" t="n">
        <f aca="false">B37*$K$1</f>
        <v>20.0005696</v>
      </c>
      <c r="D37" s="1" t="n">
        <v>8.82980720761895</v>
      </c>
      <c r="E37" s="1" t="n">
        <f aca="false">D37*$K$1</f>
        <v>19.7522787234436</v>
      </c>
      <c r="F37" s="2" t="n">
        <v>2</v>
      </c>
      <c r="G37" s="12" t="n">
        <f aca="false">B37*F37+5</f>
        <v>22.8816</v>
      </c>
      <c r="H37" s="3" t="n">
        <v>0</v>
      </c>
      <c r="I37" s="3" t="n">
        <v>0</v>
      </c>
      <c r="J37" s="4" t="n">
        <v>22.870552047776</v>
      </c>
    </row>
    <row r="38" customFormat="false" ht="15" hidden="false" customHeight="false" outlineLevel="0" collapsed="false">
      <c r="A38" s="0" t="n">
        <f aca="false">A37+1</f>
        <v>36</v>
      </c>
      <c r="B38" s="1" t="n">
        <f aca="false">B37+H38*1</f>
        <v>9.83488</v>
      </c>
      <c r="C38" s="1" t="n">
        <f aca="false">B38*$K$1</f>
        <v>22.00062656</v>
      </c>
      <c r="D38" s="1" t="n">
        <v>8.90269802065468</v>
      </c>
      <c r="E38" s="1" t="n">
        <f aca="false">D38*$K$1</f>
        <v>19.9153354722045</v>
      </c>
      <c r="F38" s="2" t="n">
        <v>2</v>
      </c>
      <c r="G38" s="12" t="n">
        <f aca="false">B38*F38+5</f>
        <v>24.66976</v>
      </c>
      <c r="H38" s="3" t="n">
        <v>0.89408</v>
      </c>
      <c r="I38" s="3" t="n">
        <v>0</v>
      </c>
      <c r="J38" s="4" t="n">
        <v>23.4066038189243</v>
      </c>
    </row>
    <row r="39" customFormat="false" ht="15" hidden="false" customHeight="false" outlineLevel="0" collapsed="false">
      <c r="A39" s="0" t="n">
        <f aca="false">A38+1</f>
        <v>37</v>
      </c>
      <c r="B39" s="1" t="n">
        <f aca="false">B38+H39*1</f>
        <v>10.72896</v>
      </c>
      <c r="C39" s="1" t="n">
        <f aca="false">B39*$K$1</f>
        <v>24.00068352</v>
      </c>
      <c r="D39" s="1" t="n">
        <v>9.10868142624618</v>
      </c>
      <c r="E39" s="1" t="n">
        <f aca="false">D39*$K$1</f>
        <v>20.3761203505127</v>
      </c>
      <c r="F39" s="2" t="n">
        <v>2</v>
      </c>
      <c r="G39" s="12" t="n">
        <f aca="false">B39*F39+5</f>
        <v>26.45792</v>
      </c>
      <c r="H39" s="3" t="n">
        <v>0.89408</v>
      </c>
      <c r="I39" s="3" t="n">
        <v>0</v>
      </c>
      <c r="J39" s="4" t="n">
        <v>24.7026483915649</v>
      </c>
    </row>
    <row r="40" customFormat="false" ht="15" hidden="false" customHeight="false" outlineLevel="0" collapsed="false">
      <c r="A40" s="0" t="n">
        <f aca="false">A39+1</f>
        <v>38</v>
      </c>
      <c r="B40" s="1" t="n">
        <f aca="false">B39+H40*1</f>
        <v>11.62304</v>
      </c>
      <c r="C40" s="1" t="n">
        <f aca="false">B40*$K$1</f>
        <v>26.00074048</v>
      </c>
      <c r="D40" s="1" t="n">
        <v>9.51457354150435</v>
      </c>
      <c r="E40" s="1" t="n">
        <f aca="false">D40*$K$1</f>
        <v>21.2841010123452</v>
      </c>
      <c r="F40" s="2" t="n">
        <v>2</v>
      </c>
      <c r="G40" s="12" t="n">
        <f aca="false">B40*F40+5</f>
        <v>28.24608</v>
      </c>
      <c r="H40" s="3" t="n">
        <v>0.89408</v>
      </c>
      <c r="I40" s="3" t="n">
        <v>0</v>
      </c>
      <c r="J40" s="4" t="n">
        <v>26.5872329328073</v>
      </c>
    </row>
    <row r="41" customFormat="false" ht="15" hidden="false" customHeight="false" outlineLevel="0" collapsed="false">
      <c r="A41" s="0" t="n">
        <f aca="false">A40+1</f>
        <v>39</v>
      </c>
      <c r="B41" s="1" t="n">
        <f aca="false">B40+H41*1</f>
        <v>12.51712</v>
      </c>
      <c r="C41" s="1" t="n">
        <f aca="false">B41*$K$1</f>
        <v>28.00079744</v>
      </c>
      <c r="D41" s="1" t="n">
        <v>10.132992922742</v>
      </c>
      <c r="E41" s="1" t="n">
        <f aca="false">D41*$K$1</f>
        <v>22.6675051681739</v>
      </c>
      <c r="F41" s="2" t="n">
        <v>2</v>
      </c>
      <c r="G41" s="12" t="n">
        <f aca="false">B41*F41+5</f>
        <v>30.03424</v>
      </c>
      <c r="H41" s="3" t="n">
        <v>0.89408</v>
      </c>
      <c r="I41" s="3" t="n">
        <v>0</v>
      </c>
      <c r="J41" s="4" t="n">
        <v>28.8507564023705</v>
      </c>
    </row>
    <row r="42" customFormat="false" ht="15" hidden="false" customHeight="false" outlineLevel="0" collapsed="false">
      <c r="A42" s="0" t="n">
        <f aca="false">A41+1</f>
        <v>40</v>
      </c>
      <c r="B42" s="1" t="n">
        <f aca="false">B41+H42*1</f>
        <v>13.4112</v>
      </c>
      <c r="C42" s="1" t="n">
        <f aca="false">B42*$K$1</f>
        <v>30.0008544</v>
      </c>
      <c r="D42" s="1" t="n">
        <v>10.9382035311304</v>
      </c>
      <c r="E42" s="1" t="n">
        <f aca="false">D42*$K$1</f>
        <v>24.4687612991387</v>
      </c>
      <c r="F42" s="2" t="n">
        <v>2</v>
      </c>
      <c r="G42" s="12" t="n">
        <f aca="false">B42*F42+5</f>
        <v>31.8224</v>
      </c>
      <c r="H42" s="3" t="n">
        <v>0.89408</v>
      </c>
      <c r="I42" s="3" t="n">
        <v>0</v>
      </c>
      <c r="J42" s="4" t="n">
        <v>31.2917724621231</v>
      </c>
    </row>
    <row r="43" customFormat="false" ht="15" hidden="false" customHeight="false" outlineLevel="0" collapsed="false">
      <c r="A43" s="0" t="n">
        <f aca="false">A42+1</f>
        <v>41</v>
      </c>
      <c r="B43" s="1" t="n">
        <f aca="false">B42+H43*1</f>
        <v>14.30528</v>
      </c>
      <c r="C43" s="1" t="n">
        <f aca="false">B43*$K$1</f>
        <v>32.00091136</v>
      </c>
      <c r="D43" s="1" t="n">
        <v>11.8829038685439</v>
      </c>
      <c r="E43" s="1" t="n">
        <f aca="false">D43*$K$1</f>
        <v>26.5820559539327</v>
      </c>
      <c r="F43" s="2" t="n">
        <v>2</v>
      </c>
      <c r="G43" s="12" t="n">
        <f aca="false">B43*F43+5</f>
        <v>33.61056</v>
      </c>
      <c r="H43" s="3" t="n">
        <v>0.89408</v>
      </c>
      <c r="I43" s="3" t="n">
        <v>0</v>
      </c>
      <c r="J43" s="4" t="n">
        <v>33.7467107140423</v>
      </c>
    </row>
    <row r="44" customFormat="false" ht="15" hidden="false" customHeight="false" outlineLevel="0" collapsed="false">
      <c r="A44" s="0" t="n">
        <f aca="false">A43+1</f>
        <v>42</v>
      </c>
      <c r="B44" s="1" t="n">
        <f aca="false">B43+H44*1</f>
        <v>15.19936</v>
      </c>
      <c r="C44" s="1" t="n">
        <f aca="false">B44*$K$1</f>
        <v>34.00096832</v>
      </c>
      <c r="D44" s="1" t="n">
        <v>12.9129490722802</v>
      </c>
      <c r="E44" s="1" t="n">
        <f aca="false">D44*$K$1</f>
        <v>28.8862670746908</v>
      </c>
      <c r="F44" s="2" t="n">
        <v>2</v>
      </c>
      <c r="G44" s="12" t="n">
        <f aca="false">B44*F44+5</f>
        <v>35.39872</v>
      </c>
      <c r="H44" s="3" t="n">
        <v>0.89408</v>
      </c>
      <c r="I44" s="3" t="n">
        <v>0</v>
      </c>
      <c r="J44" s="4" t="n">
        <v>36.1037027164471</v>
      </c>
    </row>
    <row r="45" customFormat="false" ht="15" hidden="false" customHeight="false" outlineLevel="0" collapsed="false">
      <c r="A45" s="0" t="n">
        <f aca="false">A44+1</f>
        <v>43</v>
      </c>
      <c r="B45" s="1" t="n">
        <f aca="false">B44+H45*1</f>
        <v>16.09344</v>
      </c>
      <c r="C45" s="1" t="n">
        <f aca="false">B45*$K$1</f>
        <v>36.00102528</v>
      </c>
      <c r="D45" s="1" t="n">
        <v>13.9783190114219</v>
      </c>
      <c r="E45" s="1" t="n">
        <f aca="false">D45*$K$1</f>
        <v>31.2694996285508</v>
      </c>
      <c r="F45" s="2" t="n">
        <v>2</v>
      </c>
      <c r="G45" s="12" t="n">
        <f aca="false">B45*F45+5</f>
        <v>37.18688</v>
      </c>
      <c r="H45" s="3" t="n">
        <v>0.89408</v>
      </c>
      <c r="I45" s="3" t="n">
        <v>0</v>
      </c>
      <c r="J45" s="4" t="n">
        <v>38.3035302170128</v>
      </c>
    </row>
    <row r="46" customFormat="false" ht="15" hidden="false" customHeight="false" outlineLevel="0" collapsed="false">
      <c r="A46" s="0" t="n">
        <f aca="false">A45+1</f>
        <v>44</v>
      </c>
      <c r="B46" s="1" t="n">
        <f aca="false">B45+H46*1</f>
        <v>16.98752</v>
      </c>
      <c r="C46" s="1" t="n">
        <f aca="false">B46*$K$1</f>
        <v>38.00108224</v>
      </c>
      <c r="D46" s="1" t="n">
        <v>15.0398057252402</v>
      </c>
      <c r="E46" s="1" t="n">
        <f aca="false">D46*$K$1</f>
        <v>33.6440454073623</v>
      </c>
      <c r="F46" s="2" t="n">
        <v>2</v>
      </c>
      <c r="G46" s="12" t="n">
        <f aca="false">B46*F46+5</f>
        <v>38.97504</v>
      </c>
      <c r="H46" s="3" t="n">
        <v>0.89408</v>
      </c>
      <c r="I46" s="3" t="n">
        <v>0</v>
      </c>
      <c r="J46" s="4" t="n">
        <v>40.3317898491436</v>
      </c>
    </row>
    <row r="47" customFormat="false" ht="15" hidden="false" customHeight="false" outlineLevel="0" collapsed="false">
      <c r="A47" s="0" t="n">
        <f aca="false">A46+1</f>
        <v>45</v>
      </c>
      <c r="B47" s="1" t="n">
        <f aca="false">B46+H47*1</f>
        <v>17.8816</v>
      </c>
      <c r="C47" s="1" t="n">
        <f aca="false">B47*$K$1</f>
        <v>40.0011392</v>
      </c>
      <c r="D47" s="1" t="n">
        <v>16.0717559349739</v>
      </c>
      <c r="E47" s="1" t="n">
        <f aca="false">D47*$K$1</f>
        <v>35.9525180265366</v>
      </c>
      <c r="F47" s="2" t="n">
        <v>2</v>
      </c>
      <c r="G47" s="12" t="n">
        <f aca="false">B47*F47+5</f>
        <v>40.7632</v>
      </c>
      <c r="H47" s="3" t="n">
        <v>0.89408</v>
      </c>
      <c r="I47" s="3" t="n">
        <v>0</v>
      </c>
      <c r="J47" s="4" t="n">
        <v>42.2064315201939</v>
      </c>
    </row>
    <row r="48" customFormat="false" ht="15" hidden="false" customHeight="false" outlineLevel="0" collapsed="false">
      <c r="A48" s="0" t="n">
        <f aca="false">A47+1</f>
        <v>46</v>
      </c>
      <c r="B48" s="1" t="n">
        <f aca="false">B47+H48*1</f>
        <v>17.8816</v>
      </c>
      <c r="C48" s="1" t="n">
        <f aca="false">B48*$K$1</f>
        <v>40.0011392</v>
      </c>
      <c r="D48" s="1" t="n">
        <v>17.0319256717819</v>
      </c>
      <c r="E48" s="1" t="n">
        <f aca="false">D48*$K$1</f>
        <v>38.1004177277761</v>
      </c>
      <c r="F48" s="2" t="n">
        <v>2</v>
      </c>
      <c r="G48" s="12" t="n">
        <f aca="false">B48*F48+5</f>
        <v>40.7632</v>
      </c>
      <c r="H48" s="3" t="n">
        <v>0</v>
      </c>
      <c r="I48" s="3" t="n">
        <v>0</v>
      </c>
      <c r="J48" s="4" t="n">
        <v>43.5171610800311</v>
      </c>
    </row>
    <row r="49" customFormat="false" ht="15" hidden="false" customHeight="false" outlineLevel="0" collapsed="false">
      <c r="A49" s="0" t="n">
        <f aca="false">A48+1</f>
        <v>47</v>
      </c>
      <c r="B49" s="1" t="n">
        <f aca="false">B48+H49*1</f>
        <v>17.8816</v>
      </c>
      <c r="C49" s="1" t="n">
        <f aca="false">B49*$K$1</f>
        <v>40.0011392</v>
      </c>
      <c r="D49" s="1" t="n">
        <v>17.8121559250803</v>
      </c>
      <c r="E49" s="1" t="n">
        <f aca="false">D49*$K$1</f>
        <v>39.8457928044046</v>
      </c>
      <c r="F49" s="2" t="n">
        <v>2</v>
      </c>
      <c r="G49" s="12" t="n">
        <f aca="false">B49*F49+5</f>
        <v>40.7632</v>
      </c>
      <c r="H49" s="3" t="n">
        <v>0</v>
      </c>
      <c r="I49" s="3" t="n">
        <v>0</v>
      </c>
      <c r="J49" s="4" t="n">
        <v>43.9525594201481</v>
      </c>
    </row>
    <row r="50" customFormat="false" ht="15" hidden="false" customHeight="false" outlineLevel="0" collapsed="false">
      <c r="A50" s="0" t="n">
        <f aca="false">A49+1</f>
        <v>48</v>
      </c>
      <c r="B50" s="1" t="n">
        <f aca="false">B49+H50*1</f>
        <v>17.8816</v>
      </c>
      <c r="C50" s="1" t="n">
        <f aca="false">B50*$K$1</f>
        <v>40.0011392</v>
      </c>
      <c r="D50" s="1" t="n">
        <v>18.3462563593447</v>
      </c>
      <c r="E50" s="1" t="n">
        <f aca="false">D50*$K$1</f>
        <v>41.0405754758541</v>
      </c>
      <c r="F50" s="2" t="n">
        <v>2</v>
      </c>
      <c r="G50" s="12" t="n">
        <f aca="false">B50*F50+5</f>
        <v>40.7632</v>
      </c>
      <c r="H50" s="3" t="n">
        <v>0</v>
      </c>
      <c r="I50" s="3" t="n">
        <v>0</v>
      </c>
      <c r="J50" s="4" t="n">
        <v>43.7312405698383</v>
      </c>
    </row>
    <row r="51" customFormat="false" ht="15" hidden="false" customHeight="false" outlineLevel="0" collapsed="false">
      <c r="A51" s="0" t="n">
        <f aca="false">A50+1</f>
        <v>49</v>
      </c>
      <c r="B51" s="1" t="n">
        <f aca="false">B50+H51*1</f>
        <v>17.8816</v>
      </c>
      <c r="C51" s="1" t="n">
        <f aca="false">B51*$K$1</f>
        <v>40.0011392</v>
      </c>
      <c r="D51" s="1" t="n">
        <v>18.6294642939171</v>
      </c>
      <c r="E51" s="1" t="n">
        <f aca="false">D51*$K$1</f>
        <v>41.6741116254926</v>
      </c>
      <c r="F51" s="2" t="n">
        <v>2</v>
      </c>
      <c r="G51" s="12" t="n">
        <f aca="false">B51*F51+5</f>
        <v>40.7632</v>
      </c>
      <c r="H51" s="3" t="n">
        <v>0</v>
      </c>
      <c r="I51" s="3" t="n">
        <v>0</v>
      </c>
      <c r="J51" s="4" t="n">
        <v>43.1053830087055</v>
      </c>
    </row>
    <row r="52" customFormat="false" ht="15" hidden="false" customHeight="false" outlineLevel="0" collapsed="false">
      <c r="A52" s="0" t="n">
        <f aca="false">A51+1</f>
        <v>50</v>
      </c>
      <c r="B52" s="1" t="n">
        <f aca="false">B51+H52*1</f>
        <v>17.8816</v>
      </c>
      <c r="C52" s="1" t="n">
        <f aca="false">B52*$K$1</f>
        <v>40.0011392</v>
      </c>
      <c r="D52" s="1" t="n">
        <v>18.6989534898892</v>
      </c>
      <c r="E52" s="1" t="n">
        <f aca="false">D52*$K$1</f>
        <v>41.8295589568821</v>
      </c>
      <c r="F52" s="2" t="n">
        <v>2</v>
      </c>
      <c r="G52" s="12" t="n">
        <f aca="false">B52*F52+5</f>
        <v>40.7632</v>
      </c>
      <c r="H52" s="3" t="n">
        <v>0</v>
      </c>
      <c r="I52" s="3" t="n">
        <v>0</v>
      </c>
      <c r="J52" s="4" t="n">
        <v>42.3090881414435</v>
      </c>
    </row>
    <row r="53" customFormat="false" ht="15" hidden="false" customHeight="false" outlineLevel="0" collapsed="false">
      <c r="A53" s="0" t="n">
        <f aca="false">A52+1</f>
        <v>51</v>
      </c>
      <c r="B53" s="1" t="n">
        <f aca="false">B52+H53*1</f>
        <v>17.8816</v>
      </c>
      <c r="C53" s="1" t="n">
        <f aca="false">B53*$K$1</f>
        <v>40.0011392</v>
      </c>
      <c r="D53" s="1" t="n">
        <v>18.6140235984163</v>
      </c>
      <c r="E53" s="1" t="n">
        <f aca="false">D53*$K$1</f>
        <v>41.6395707896573</v>
      </c>
      <c r="F53" s="2" t="n">
        <v>2</v>
      </c>
      <c r="G53" s="12" t="n">
        <f aca="false">B53*F53+5</f>
        <v>40.7632</v>
      </c>
      <c r="H53" s="3" t="n">
        <v>0</v>
      </c>
      <c r="I53" s="3" t="n">
        <v>0</v>
      </c>
      <c r="J53" s="4" t="n">
        <v>41.5266774005395</v>
      </c>
    </row>
    <row r="54" customFormat="false" ht="15" hidden="false" customHeight="false" outlineLevel="0" collapsed="false">
      <c r="A54" s="0" t="n">
        <f aca="false">A53+1</f>
        <v>52</v>
      </c>
      <c r="B54" s="1" t="n">
        <f aca="false">B53+H54*1</f>
        <v>17.8816</v>
      </c>
      <c r="C54" s="1" t="n">
        <f aca="false">B54*$K$1</f>
        <v>40.0011392</v>
      </c>
      <c r="D54" s="1" t="n">
        <v>18.4392628788751</v>
      </c>
      <c r="E54" s="1" t="n">
        <f aca="false">D54*$K$1</f>
        <v>41.2486310600436</v>
      </c>
      <c r="F54" s="2" t="n">
        <v>2</v>
      </c>
      <c r="G54" s="12" t="n">
        <f aca="false">B54*F54+5</f>
        <v>40.7632</v>
      </c>
      <c r="H54" s="3" t="n">
        <v>0</v>
      </c>
      <c r="I54" s="3" t="n">
        <v>0</v>
      </c>
      <c r="J54" s="4" t="n">
        <v>40.8794533044158</v>
      </c>
    </row>
    <row r="55" customFormat="false" ht="15" hidden="false" customHeight="false" outlineLevel="0" collapsed="false">
      <c r="A55" s="0" t="n">
        <f aca="false">A54+1</f>
        <v>53</v>
      </c>
      <c r="B55" s="1" t="n">
        <f aca="false">B54+H55*1</f>
        <v>17.8816</v>
      </c>
      <c r="C55" s="1" t="n">
        <f aca="false">B55*$K$1</f>
        <v>40.0011392</v>
      </c>
      <c r="D55" s="1" t="n">
        <v>18.2324126001102</v>
      </c>
      <c r="E55" s="1" t="n">
        <f aca="false">D55*$K$1</f>
        <v>40.7859069864465</v>
      </c>
      <c r="F55" s="2" t="n">
        <v>2</v>
      </c>
      <c r="G55" s="12" t="n">
        <f aca="false">B55*F55+5</f>
        <v>40.7632</v>
      </c>
      <c r="H55" s="3" t="n">
        <v>0</v>
      </c>
      <c r="I55" s="3" t="n">
        <v>0</v>
      </c>
      <c r="J55" s="4" t="n">
        <v>40.4269654674588</v>
      </c>
    </row>
    <row r="56" customFormat="false" ht="15" hidden="false" customHeight="false" outlineLevel="0" collapsed="false">
      <c r="A56" s="0" t="n">
        <f aca="false">A55+1</f>
        <v>54</v>
      </c>
      <c r="B56" s="1" t="n">
        <f aca="false">B55+H56*1</f>
        <v>17.8816</v>
      </c>
      <c r="C56" s="1" t="n">
        <f aca="false">B56*$K$1</f>
        <v>40.0011392</v>
      </c>
      <c r="D56" s="1" t="n">
        <v>18.0373350971691</v>
      </c>
      <c r="E56" s="1" t="n">
        <f aca="false">D56*$K$1</f>
        <v>40.3495186123673</v>
      </c>
      <c r="F56" s="2" t="n">
        <v>2</v>
      </c>
      <c r="G56" s="12" t="n">
        <f aca="false">B56*F56+5</f>
        <v>40.7632</v>
      </c>
      <c r="H56" s="3" t="n">
        <v>0</v>
      </c>
      <c r="I56" s="3" t="n">
        <v>0</v>
      </c>
      <c r="J56" s="4" t="n">
        <v>40.1777944641917</v>
      </c>
    </row>
    <row r="57" customFormat="false" ht="15" hidden="false" customHeight="false" outlineLevel="0" collapsed="false">
      <c r="A57" s="0" t="n">
        <f aca="false">A56+1</f>
        <v>55</v>
      </c>
      <c r="B57" s="1" t="n">
        <f aca="false">B56+H57*1</f>
        <v>17.8816</v>
      </c>
      <c r="C57" s="1" t="n">
        <f aca="false">B57*$K$1</f>
        <v>40.0011392</v>
      </c>
      <c r="D57" s="1" t="n">
        <v>17.8815337728979</v>
      </c>
      <c r="E57" s="1" t="n">
        <f aca="false">D57*$K$1</f>
        <v>40.0009910499726</v>
      </c>
      <c r="F57" s="2" t="n">
        <v>2</v>
      </c>
      <c r="G57" s="12" t="n">
        <f aca="false">B57*F57+5</f>
        <v>40.7632</v>
      </c>
      <c r="H57" s="3" t="n">
        <v>0</v>
      </c>
      <c r="I57" s="3" t="n">
        <v>0</v>
      </c>
      <c r="J57" s="4" t="n">
        <v>40.1049797668742</v>
      </c>
    </row>
    <row r="58" customFormat="false" ht="15" hidden="false" customHeight="false" outlineLevel="0" collapsed="false">
      <c r="A58" s="0" t="n">
        <f aca="false">A57+1</f>
        <v>56</v>
      </c>
      <c r="B58" s="1" t="n">
        <f aca="false">B57+H58*1</f>
        <v>17.8816</v>
      </c>
      <c r="C58" s="1" t="n">
        <f aca="false">B58*$K$1</f>
        <v>40.0011392</v>
      </c>
      <c r="D58" s="1" t="n">
        <v>17.7771229183245</v>
      </c>
      <c r="E58" s="1" t="n">
        <f aca="false">D58*$K$1</f>
        <v>39.7674239682919</v>
      </c>
      <c r="F58" s="2" t="n">
        <v>2</v>
      </c>
      <c r="G58" s="12" t="n">
        <f aca="false">B58*F58+5</f>
        <v>40.7632</v>
      </c>
      <c r="H58" s="3" t="n">
        <v>0</v>
      </c>
      <c r="I58" s="3" t="n">
        <v>0</v>
      </c>
      <c r="J58" s="4" t="n">
        <v>40.1620780605794</v>
      </c>
    </row>
    <row r="59" customFormat="false" ht="15" hidden="false" customHeight="false" outlineLevel="0" collapsed="false">
      <c r="A59" s="0" t="n">
        <f aca="false">A58+1</f>
        <v>57</v>
      </c>
      <c r="B59" s="1" t="n">
        <f aca="false">B58+H59*1</f>
        <v>17.8816</v>
      </c>
      <c r="C59" s="1" t="n">
        <f aca="false">B59*$K$1</f>
        <v>40.0011392</v>
      </c>
      <c r="D59" s="1" t="n">
        <v>17.7239536449333</v>
      </c>
      <c r="E59" s="1" t="n">
        <f aca="false">D59*$K$1</f>
        <v>39.6484843037158</v>
      </c>
      <c r="F59" s="2" t="n">
        <v>2</v>
      </c>
      <c r="G59" s="12" t="n">
        <f aca="false">B59*F59+5</f>
        <v>40.7632</v>
      </c>
      <c r="H59" s="3" t="n">
        <v>0</v>
      </c>
      <c r="I59" s="3" t="n">
        <v>0</v>
      </c>
      <c r="J59" s="4" t="n">
        <v>40.2970604467918</v>
      </c>
    </row>
    <row r="60" customFormat="false" ht="15" hidden="false" customHeight="false" outlineLevel="0" collapsed="false">
      <c r="A60" s="0" t="n">
        <f aca="false">A59+1</f>
        <v>58</v>
      </c>
      <c r="B60" s="1" t="n">
        <f aca="false">B59+H60*1</f>
        <v>17.8816</v>
      </c>
      <c r="C60" s="1" t="n">
        <f aca="false">B60*$K$1</f>
        <v>40.0011392</v>
      </c>
      <c r="D60" s="1" t="n">
        <v>17.7136819632712</v>
      </c>
      <c r="E60" s="1" t="n">
        <f aca="false">D60*$K$1</f>
        <v>39.6255065518377</v>
      </c>
      <c r="F60" s="2" t="n">
        <v>2</v>
      </c>
      <c r="G60" s="12" t="n">
        <f aca="false">B60*F60+5</f>
        <v>40.7632</v>
      </c>
      <c r="H60" s="3" t="n">
        <v>0</v>
      </c>
      <c r="I60" s="3" t="n">
        <v>0</v>
      </c>
      <c r="J60" s="4" t="n">
        <v>40.4625253164228</v>
      </c>
    </row>
    <row r="61" customFormat="false" ht="15" hidden="false" customHeight="false" outlineLevel="0" collapsed="false">
      <c r="A61" s="0" t="n">
        <f aca="false">A60+1</f>
        <v>59</v>
      </c>
      <c r="B61" s="1" t="n">
        <f aca="false">B60+H61*1</f>
        <v>17.8816</v>
      </c>
      <c r="C61" s="1" t="n">
        <f aca="false">B61*$K$1</f>
        <v>40.0011392</v>
      </c>
      <c r="D61" s="1" t="n">
        <v>17.7338138003154</v>
      </c>
      <c r="E61" s="1" t="n">
        <f aca="false">D61*$K$1</f>
        <v>39.6705414713055</v>
      </c>
      <c r="F61" s="2" t="n">
        <v>2</v>
      </c>
      <c r="G61" s="12" t="n">
        <f aca="false">B61*F61+5</f>
        <v>40.7632</v>
      </c>
      <c r="H61" s="3" t="n">
        <v>0</v>
      </c>
      <c r="I61" s="3" t="n">
        <v>0</v>
      </c>
      <c r="J61" s="4" t="n">
        <v>40.6217987648043</v>
      </c>
    </row>
    <row r="62" customFormat="false" ht="15" hidden="false" customHeight="false" outlineLevel="0" collapsed="false">
      <c r="A62" s="0" t="n">
        <f aca="false">A61+1</f>
        <v>60</v>
      </c>
      <c r="B62" s="1" t="n">
        <f aca="false">B61+H62*1</f>
        <v>17.8816</v>
      </c>
      <c r="C62" s="1" t="n">
        <f aca="false">B62*$K$1</f>
        <v>40.0011392</v>
      </c>
      <c r="D62" s="1" t="n">
        <v>17.7710837623369</v>
      </c>
      <c r="E62" s="1" t="n">
        <f aca="false">D62*$K$1</f>
        <v>39.7539143763476</v>
      </c>
      <c r="F62" s="2" t="n">
        <v>2</v>
      </c>
      <c r="G62" s="12" t="n">
        <f aca="false">B62*F62+5</f>
        <v>40.7632</v>
      </c>
      <c r="H62" s="3" t="n">
        <v>0</v>
      </c>
      <c r="I62" s="3" t="n">
        <v>0</v>
      </c>
      <c r="J62" s="4" t="n">
        <v>40.7512972569378</v>
      </c>
    </row>
    <row r="63" customFormat="false" ht="15" hidden="false" customHeight="false" outlineLevel="0" collapsed="false">
      <c r="A63" s="0" t="n">
        <f aca="false">A62+1</f>
        <v>61</v>
      </c>
      <c r="B63" s="1" t="n">
        <f aca="false">B57-H63*1</f>
        <v>16.98752</v>
      </c>
      <c r="C63" s="1" t="n">
        <f aca="false">B63*$K$1</f>
        <v>38.00108224</v>
      </c>
      <c r="D63" s="1" t="n">
        <v>17.7840410871203</v>
      </c>
      <c r="E63" s="1" t="n">
        <f aca="false">D63*$K$1</f>
        <v>39.7828999118881</v>
      </c>
      <c r="F63" s="2" t="n">
        <v>2</v>
      </c>
      <c r="G63" s="12" t="n">
        <f aca="false">B63*F63+5</f>
        <v>38.97504</v>
      </c>
      <c r="H63" s="3" t="n">
        <v>0.89408</v>
      </c>
      <c r="I63" s="3" t="n">
        <v>0</v>
      </c>
      <c r="J63" s="4" t="n">
        <v>40.392965043216</v>
      </c>
    </row>
    <row r="64" customFormat="false" ht="15" hidden="false" customHeight="false" outlineLevel="0" collapsed="false">
      <c r="A64" s="0" t="n">
        <f aca="false">A63+1</f>
        <v>62</v>
      </c>
      <c r="B64" s="1" t="n">
        <f aca="false">B63-H64*1</f>
        <v>16.09344</v>
      </c>
      <c r="C64" s="1" t="n">
        <f aca="false">B64*$K$1</f>
        <v>36.00102528</v>
      </c>
      <c r="D64" s="1" t="n">
        <v>17.6574213414473</v>
      </c>
      <c r="E64" s="1" t="n">
        <f aca="false">D64*$K$1</f>
        <v>39.4996515408176</v>
      </c>
      <c r="F64" s="2" t="n">
        <v>2</v>
      </c>
      <c r="G64" s="12" t="n">
        <f aca="false">B64*F64+5</f>
        <v>37.18688</v>
      </c>
      <c r="H64" s="3" t="n">
        <v>0.89408</v>
      </c>
      <c r="I64" s="3" t="n">
        <v>0</v>
      </c>
      <c r="J64" s="4" t="n">
        <v>39.1911314770218</v>
      </c>
    </row>
    <row r="65" customFormat="false" ht="15" hidden="false" customHeight="false" outlineLevel="0" collapsed="false">
      <c r="A65" s="0" t="n">
        <f aca="false">A64+1</f>
        <v>63</v>
      </c>
      <c r="B65" s="1" t="n">
        <f aca="false">B64-H65*1</f>
        <v>15.19936</v>
      </c>
      <c r="C65" s="1" t="n">
        <f aca="false">B65*$K$1</f>
        <v>34.00096832</v>
      </c>
      <c r="D65" s="1" t="n">
        <v>17.3137781138567</v>
      </c>
      <c r="E65" s="1" t="n">
        <f aca="false">D65*$K$1</f>
        <v>38.7309216406974</v>
      </c>
      <c r="F65" s="2" t="n">
        <v>2</v>
      </c>
      <c r="G65" s="12" t="n">
        <f aca="false">B65*F65+5</f>
        <v>35.39872</v>
      </c>
      <c r="H65" s="3" t="n">
        <v>0.89408</v>
      </c>
      <c r="I65" s="3" t="n">
        <v>0</v>
      </c>
      <c r="J65" s="4" t="n">
        <v>37.329631151465</v>
      </c>
    </row>
    <row r="66" customFormat="false" ht="15" hidden="false" customHeight="false" outlineLevel="0" collapsed="false">
      <c r="A66" s="0" t="n">
        <f aca="false">A65+1</f>
        <v>64</v>
      </c>
      <c r="B66" s="1" t="n">
        <f aca="false">B65-H66*1</f>
        <v>14.30528</v>
      </c>
      <c r="C66" s="1" t="n">
        <f aca="false">B66*$K$1</f>
        <v>32.00091136</v>
      </c>
      <c r="D66" s="1" t="n">
        <v>16.7361217652244</v>
      </c>
      <c r="E66" s="1" t="n">
        <f aca="false">D66*$K$1</f>
        <v>37.438704388807</v>
      </c>
      <c r="F66" s="2" t="n">
        <v>2</v>
      </c>
      <c r="G66" s="12" t="n">
        <f aca="false">B66*F66+5</f>
        <v>33.61056</v>
      </c>
      <c r="H66" s="3" t="n">
        <v>0.89408</v>
      </c>
      <c r="I66" s="3" t="n">
        <v>0</v>
      </c>
      <c r="J66" s="4" t="n">
        <v>35.0378071480118</v>
      </c>
    </row>
    <row r="67" customFormat="false" ht="15" hidden="false" customHeight="false" outlineLevel="0" collapsed="false">
      <c r="A67" s="0" t="n">
        <f aca="false">A66+1</f>
        <v>65</v>
      </c>
      <c r="B67" s="1" t="n">
        <f aca="false">B66-H67*1</f>
        <v>13.4112</v>
      </c>
      <c r="C67" s="1" t="n">
        <f aca="false">B67*$K$1</f>
        <v>30.0008544</v>
      </c>
      <c r="D67" s="1" t="n">
        <v>15.9507155728916</v>
      </c>
      <c r="E67" s="1" t="n">
        <f aca="false">D67*$K$1</f>
        <v>35.6817507365585</v>
      </c>
      <c r="F67" s="2" t="n">
        <v>2</v>
      </c>
      <c r="G67" s="12" t="n">
        <f aca="false">B67*F67+5</f>
        <v>31.8224</v>
      </c>
      <c r="H67" s="3" t="n">
        <v>0.89408</v>
      </c>
      <c r="I67" s="3" t="n">
        <v>0</v>
      </c>
      <c r="J67" s="4" t="n">
        <v>32.5386045947728</v>
      </c>
    </row>
    <row r="68" customFormat="false" ht="15" hidden="false" customHeight="false" outlineLevel="0" collapsed="false">
      <c r="A68" s="0" t="n">
        <f aca="false">A67+1</f>
        <v>66</v>
      </c>
      <c r="B68" s="1" t="n">
        <f aca="false">B67-H68*1</f>
        <v>12.51712</v>
      </c>
      <c r="C68" s="1" t="n">
        <f aca="false">B68*$K$1</f>
        <v>28.00079744</v>
      </c>
      <c r="D68" s="1" t="n">
        <v>15.0085864104807</v>
      </c>
      <c r="E68" s="1" t="n">
        <f aca="false">D68*$K$1</f>
        <v>33.5742078002453</v>
      </c>
      <c r="F68" s="2" t="n">
        <v>2</v>
      </c>
      <c r="G68" s="12" t="n">
        <f aca="false">B68*F68+5</f>
        <v>30.03424</v>
      </c>
      <c r="H68" s="3" t="n">
        <v>0.89408</v>
      </c>
      <c r="I68" s="3" t="n">
        <v>0</v>
      </c>
      <c r="J68" s="4" t="n">
        <v>30.0148111753985</v>
      </c>
    </row>
    <row r="69" customFormat="false" ht="15" hidden="false" customHeight="false" outlineLevel="0" collapsed="false">
      <c r="A69" s="0" t="n">
        <f aca="false">A68+1</f>
        <v>67</v>
      </c>
      <c r="B69" s="1" t="n">
        <f aca="false">B68-H69*1</f>
        <v>11.62304</v>
      </c>
      <c r="C69" s="1" t="n">
        <f aca="false">B69*$K$1</f>
        <v>26.00074048</v>
      </c>
      <c r="D69" s="1" t="n">
        <v>13.969148607143</v>
      </c>
      <c r="E69" s="1" t="n">
        <f aca="false">D69*$K$1</f>
        <v>31.2489854341789</v>
      </c>
      <c r="F69" s="2" t="n">
        <v>2</v>
      </c>
      <c r="G69" s="12" t="n">
        <f aca="false">B69*F69+5</f>
        <v>28.24608</v>
      </c>
      <c r="H69" s="3" t="n">
        <v>0.89408</v>
      </c>
      <c r="I69" s="3" t="n">
        <v>0</v>
      </c>
      <c r="J69" s="4" t="n">
        <v>27.5928916545493</v>
      </c>
    </row>
    <row r="70" customFormat="false" ht="15" hidden="false" customHeight="false" outlineLevel="0" collapsed="false">
      <c r="A70" s="0" t="n">
        <f aca="false">A69+1</f>
        <v>68</v>
      </c>
      <c r="B70" s="1" t="n">
        <f aca="false">B69-H70*1</f>
        <v>10.72896</v>
      </c>
      <c r="C70" s="1" t="n">
        <f aca="false">B70*$K$1</f>
        <v>24.00068352</v>
      </c>
      <c r="D70" s="1" t="n">
        <v>12.8878788457124</v>
      </c>
      <c r="E70" s="1" t="n">
        <f aca="false">D70*$K$1</f>
        <v>28.8301849778586</v>
      </c>
      <c r="F70" s="2" t="n">
        <v>2</v>
      </c>
      <c r="G70" s="12" t="n">
        <f aca="false">B70*F70+5</f>
        <v>26.45792</v>
      </c>
      <c r="H70" s="3" t="n">
        <v>0.89408</v>
      </c>
      <c r="I70" s="3" t="n">
        <v>0</v>
      </c>
      <c r="J70" s="4" t="n">
        <v>25.3412151494882</v>
      </c>
    </row>
    <row r="71" customFormat="false" ht="15" hidden="false" customHeight="false" outlineLevel="0" collapsed="false">
      <c r="A71" s="0" t="n">
        <f aca="false">A70+1</f>
        <v>69</v>
      </c>
      <c r="B71" s="1" t="n">
        <f aca="false">B70-H71*1</f>
        <v>9.83488</v>
      </c>
      <c r="C71" s="1" t="n">
        <f aca="false">B71*$K$1</f>
        <v>22.00062656</v>
      </c>
      <c r="D71" s="1" t="n">
        <v>11.8086891290967</v>
      </c>
      <c r="E71" s="1" t="n">
        <f aca="false">D71*$K$1</f>
        <v>26.4160375817893</v>
      </c>
      <c r="F71" s="2" t="n">
        <v>2</v>
      </c>
      <c r="G71" s="12" t="n">
        <f aca="false">B71*F71+5</f>
        <v>24.66976</v>
      </c>
      <c r="H71" s="3" t="n">
        <v>0.89408</v>
      </c>
      <c r="I71" s="3" t="n">
        <v>0</v>
      </c>
      <c r="J71" s="4" t="n">
        <v>23.2782139522674</v>
      </c>
    </row>
    <row r="72" customFormat="false" ht="15" hidden="false" customHeight="false" outlineLevel="0" collapsed="false">
      <c r="A72" s="0" t="n">
        <f aca="false">A71+1</f>
        <v>70</v>
      </c>
      <c r="B72" s="1" t="n">
        <f aca="false">B71-H72*1</f>
        <v>8.9408</v>
      </c>
      <c r="C72" s="1" t="n">
        <f aca="false">B72*$K$1</f>
        <v>20.0005696</v>
      </c>
      <c r="D72" s="1" t="n">
        <v>10.7606756013681</v>
      </c>
      <c r="E72" s="1" t="n">
        <f aca="false">D72*$K$1</f>
        <v>24.0716313202604</v>
      </c>
      <c r="F72" s="2" t="n">
        <v>2</v>
      </c>
      <c r="G72" s="12" t="n">
        <f aca="false">B72*F72+5</f>
        <v>22.8816</v>
      </c>
      <c r="H72" s="3" t="n">
        <v>0.89408</v>
      </c>
      <c r="I72" s="3" t="n">
        <v>0</v>
      </c>
      <c r="J72" s="4" t="n">
        <v>21.3858860339875</v>
      </c>
    </row>
    <row r="73" customFormat="false" ht="15" hidden="false" customHeight="false" outlineLevel="0" collapsed="false">
      <c r="A73" s="0" t="n">
        <f aca="false">A72+1</f>
        <v>71</v>
      </c>
      <c r="B73" s="1" t="n">
        <f aca="false">B72+H73*1</f>
        <v>8.9408</v>
      </c>
      <c r="C73" s="1" t="n">
        <f aca="false">B73*$K$1</f>
        <v>20.0005696</v>
      </c>
      <c r="D73" s="1" t="n">
        <v>9.78812590914139</v>
      </c>
      <c r="E73" s="1" t="n">
        <f aca="false">D73*$K$1</f>
        <v>21.8960376587493</v>
      </c>
      <c r="F73" s="2" t="n">
        <v>2</v>
      </c>
      <c r="G73" s="12" t="n">
        <f aca="false">B73*F73+5</f>
        <v>22.8816</v>
      </c>
      <c r="H73" s="3" t="n">
        <v>0</v>
      </c>
      <c r="I73" s="3" t="n">
        <v>0</v>
      </c>
      <c r="J73" s="4" t="n">
        <v>20.0717466006232</v>
      </c>
    </row>
    <row r="74" customFormat="false" ht="15" hidden="false" customHeight="false" outlineLevel="0" collapsed="false">
      <c r="A74" s="0" t="n">
        <f aca="false">A73+1</f>
        <v>72</v>
      </c>
      <c r="B74" s="1" t="n">
        <f aca="false">B73+H74*1</f>
        <v>8.9408</v>
      </c>
      <c r="C74" s="1" t="n">
        <f aca="false">B74*$K$1</f>
        <v>20.0005696</v>
      </c>
      <c r="D74" s="1" t="n">
        <v>8.99997616914716</v>
      </c>
      <c r="E74" s="1" t="n">
        <f aca="false">D74*$K$1</f>
        <v>20.1329466903822</v>
      </c>
      <c r="F74" s="2" t="n">
        <v>2</v>
      </c>
      <c r="G74" s="12" t="n">
        <f aca="false">B74*F74+5</f>
        <v>22.8816</v>
      </c>
      <c r="H74" s="3" t="n">
        <v>0</v>
      </c>
      <c r="I74" s="3" t="n">
        <v>0</v>
      </c>
      <c r="J74" s="4" t="n">
        <v>19.6430553406503</v>
      </c>
    </row>
    <row r="75" customFormat="false" ht="15" hidden="false" customHeight="false" outlineLevel="0" collapsed="false">
      <c r="A75" s="0" t="n">
        <f aca="false">A74+1</f>
        <v>73</v>
      </c>
      <c r="B75" s="1" t="n">
        <f aca="false">B74+H75*1</f>
        <v>8.9408</v>
      </c>
      <c r="C75" s="1" t="n">
        <f aca="false">B75*$K$1</f>
        <v>20.0005696</v>
      </c>
      <c r="D75" s="1" t="n">
        <v>8.46221991086156</v>
      </c>
      <c r="E75" s="1" t="n">
        <f aca="false">D75*$K$1</f>
        <v>18.9299859405973</v>
      </c>
      <c r="F75" s="2" t="n">
        <v>2</v>
      </c>
      <c r="G75" s="12" t="n">
        <f aca="false">B75*F75+5</f>
        <v>22.8816</v>
      </c>
      <c r="H75" s="3" t="n">
        <v>0</v>
      </c>
      <c r="I75" s="3" t="n">
        <v>0</v>
      </c>
      <c r="J75" s="4" t="n">
        <v>19.8767827836039</v>
      </c>
    </row>
    <row r="76" customFormat="false" ht="15" hidden="false" customHeight="false" outlineLevel="0" collapsed="false">
      <c r="A76" s="0" t="n">
        <f aca="false">A75+1</f>
        <v>74</v>
      </c>
      <c r="B76" s="1" t="n">
        <f aca="false">B75+H76*1</f>
        <v>8.9408</v>
      </c>
      <c r="C76" s="1" t="n">
        <f aca="false">B76*$K$1</f>
        <v>20.0005696</v>
      </c>
      <c r="D76" s="1" t="n">
        <v>8.1788019352053</v>
      </c>
      <c r="E76" s="1" t="n">
        <f aca="false">D76*$K$1</f>
        <v>18.2959799290543</v>
      </c>
      <c r="F76" s="2" t="n">
        <v>2</v>
      </c>
      <c r="G76" s="12" t="n">
        <f aca="false">B76*F76+5</f>
        <v>22.8816</v>
      </c>
      <c r="H76" s="3" t="n">
        <v>0</v>
      </c>
      <c r="I76" s="3" t="n">
        <v>0</v>
      </c>
      <c r="J76" s="4" t="n">
        <v>20.5168738130747</v>
      </c>
    </row>
    <row r="77" customFormat="false" ht="15" hidden="false" customHeight="false" outlineLevel="0" collapsed="false">
      <c r="A77" s="0" t="n">
        <f aca="false">A76+1</f>
        <v>75</v>
      </c>
      <c r="B77" s="1" t="n">
        <f aca="false">B76+H77*1</f>
        <v>8.9408</v>
      </c>
      <c r="C77" s="1" t="n">
        <f aca="false">B77*$K$1</f>
        <v>20.0005696</v>
      </c>
      <c r="D77" s="1" t="n">
        <v>8.11144593172354</v>
      </c>
      <c r="E77" s="1" t="n">
        <f aca="false">D77*$K$1</f>
        <v>18.1453045492656</v>
      </c>
      <c r="F77" s="2" t="n">
        <v>2</v>
      </c>
      <c r="G77" s="12" t="n">
        <f aca="false">B77*F77+5</f>
        <v>22.8816</v>
      </c>
      <c r="H77" s="3" t="n">
        <v>0</v>
      </c>
      <c r="I77" s="3" t="n">
        <v>0</v>
      </c>
      <c r="J77" s="4" t="n">
        <v>21.3263352140119</v>
      </c>
    </row>
    <row r="78" customFormat="false" ht="15" hidden="false" customHeight="false" outlineLevel="0" collapsed="false">
      <c r="A78" s="0" t="n">
        <f aca="false">A77+1</f>
        <v>76</v>
      </c>
      <c r="B78" s="1" t="n">
        <f aca="false">B77+H78*1</f>
        <v>8.9408</v>
      </c>
      <c r="C78" s="1" t="n">
        <f aca="false">B78*$K$1</f>
        <v>20.0005696</v>
      </c>
      <c r="D78" s="1" t="n">
        <v>8.19973629593047</v>
      </c>
      <c r="E78" s="1" t="n">
        <f aca="false">D78*$K$1</f>
        <v>18.3428100939965</v>
      </c>
      <c r="F78" s="2" t="n">
        <v>2</v>
      </c>
      <c r="G78" s="12" t="n">
        <f aca="false">B78*F78+5</f>
        <v>22.8816</v>
      </c>
      <c r="H78" s="3" t="n">
        <v>0</v>
      </c>
      <c r="I78" s="3" t="n">
        <v>0</v>
      </c>
      <c r="J78" s="4" t="n">
        <v>22.1190790562969</v>
      </c>
    </row>
    <row r="79" customFormat="false" ht="15" hidden="false" customHeight="false" outlineLevel="0" collapsed="false">
      <c r="A79" s="0" t="n">
        <f aca="false">A78+1</f>
        <v>77</v>
      </c>
      <c r="B79" s="1" t="n">
        <f aca="false">B78+H79*1</f>
        <v>8.9408</v>
      </c>
      <c r="C79" s="1" t="n">
        <f aca="false">B79*$K$1</f>
        <v>20.0005696</v>
      </c>
      <c r="D79" s="1" t="n">
        <v>8.37813937597366</v>
      </c>
      <c r="E79" s="1" t="n">
        <f aca="false">D79*$K$1</f>
        <v>18.7418977840531</v>
      </c>
      <c r="F79" s="2" t="n">
        <v>2</v>
      </c>
      <c r="G79" s="12" t="n">
        <f aca="false">B79*F79+5</f>
        <v>22.8816</v>
      </c>
      <c r="H79" s="3" t="n">
        <v>0</v>
      </c>
      <c r="I79" s="3" t="n">
        <v>0</v>
      </c>
      <c r="J79" s="4" t="n">
        <v>22.7730747433129</v>
      </c>
    </row>
    <row r="80" customFormat="false" ht="15" hidden="false" customHeight="false" outlineLevel="0" collapsed="false">
      <c r="A80" s="0" t="n">
        <f aca="false">A79+1</f>
        <v>78</v>
      </c>
      <c r="B80" s="1" t="n">
        <f aca="false">B79+H80*1</f>
        <v>8.9408</v>
      </c>
      <c r="C80" s="1" t="n">
        <f aca="false">B80*$K$1</f>
        <v>20.0005696</v>
      </c>
      <c r="D80" s="1" t="n">
        <v>8.58823492735263</v>
      </c>
      <c r="E80" s="1" t="n">
        <f aca="false">D80*$K$1</f>
        <v>19.2118815324878</v>
      </c>
      <c r="F80" s="2" t="n">
        <v>2</v>
      </c>
      <c r="G80" s="12" t="n">
        <f aca="false">B80*F80+5</f>
        <v>22.8816</v>
      </c>
      <c r="H80" s="3" t="n">
        <v>0</v>
      </c>
      <c r="I80" s="3" t="n">
        <v>0</v>
      </c>
      <c r="J80" s="4" t="n">
        <v>23.2288576939533</v>
      </c>
    </row>
    <row r="81" customFormat="false" ht="15" hidden="false" customHeight="false" outlineLevel="0" collapsed="false">
      <c r="A81" s="0" t="n">
        <f aca="false">A80+1</f>
        <v>79</v>
      </c>
      <c r="B81" s="1" t="n">
        <f aca="false">B80+H81*1</f>
        <v>8.9408</v>
      </c>
      <c r="C81" s="1" t="n">
        <f aca="false">B81*$K$1</f>
        <v>20.0005696</v>
      </c>
      <c r="D81" s="1" t="n">
        <v>8.78576943747609</v>
      </c>
      <c r="E81" s="1" t="n">
        <f aca="false">D81*$K$1</f>
        <v>19.653766231634</v>
      </c>
      <c r="F81" s="2" t="n">
        <v>2</v>
      </c>
      <c r="G81" s="12" t="n">
        <f aca="false">B81*F81+5</f>
        <v>22.8816</v>
      </c>
      <c r="H81" s="3" t="n">
        <v>0</v>
      </c>
      <c r="I81" s="3" t="n">
        <v>0</v>
      </c>
      <c r="J81" s="4" t="n">
        <v>23.4784636514443</v>
      </c>
    </row>
    <row r="82" customFormat="false" ht="15" hidden="false" customHeight="false" outlineLevel="0" collapsed="false">
      <c r="A82" s="0" t="n">
        <f aca="false">A81+1</f>
        <v>80</v>
      </c>
      <c r="B82" s="1" t="n">
        <f aca="false">B81+H82*1</f>
        <v>8.9408</v>
      </c>
      <c r="C82" s="1" t="n">
        <f aca="false">B82*$K$1</f>
        <v>20.0005696</v>
      </c>
      <c r="D82" s="1" t="n">
        <v>8.94310415076491</v>
      </c>
      <c r="E82" s="1" t="n">
        <f aca="false">D82*$K$1</f>
        <v>20.0057239852611</v>
      </c>
      <c r="F82" s="2" t="n">
        <v>2</v>
      </c>
      <c r="G82" s="12" t="n">
        <f aca="false">B82*F82+5</f>
        <v>22.8816</v>
      </c>
      <c r="H82" s="3" t="n">
        <v>0</v>
      </c>
      <c r="I82" s="3" t="n">
        <v>0</v>
      </c>
      <c r="J82" s="4" t="n">
        <v>23.5497263812547</v>
      </c>
    </row>
    <row r="83" customFormat="false" ht="15" hidden="false" customHeight="false" outlineLevel="0" collapsed="false">
      <c r="A83" s="0" t="n">
        <f aca="false">A82+1</f>
        <v>81</v>
      </c>
      <c r="B83" s="1" t="n">
        <f aca="false">B82+H83*1</f>
        <v>8.9408</v>
      </c>
      <c r="C83" s="1" t="n">
        <f aca="false">B83*$K$1</f>
        <v>20.0005696</v>
      </c>
      <c r="D83" s="1" t="n">
        <v>9.04818265968164</v>
      </c>
      <c r="E83" s="1" t="n">
        <f aca="false">D83*$K$1</f>
        <v>20.2407846097078</v>
      </c>
      <c r="F83" s="2" t="n">
        <v>2</v>
      </c>
      <c r="G83" s="12" t="n">
        <f aca="false">B83*F83+5</f>
        <v>22.8816</v>
      </c>
      <c r="H83" s="3" t="n">
        <v>0</v>
      </c>
      <c r="I83" s="3" t="n">
        <v>0</v>
      </c>
      <c r="J83" s="4" t="n">
        <v>23.4899941352725</v>
      </c>
    </row>
    <row r="84" customFormat="false" ht="15" hidden="false" customHeight="false" outlineLevel="0" collapsed="false">
      <c r="A84" s="0" t="n">
        <f aca="false">A83+1</f>
        <v>82</v>
      </c>
      <c r="B84" s="1" t="n">
        <f aca="false">B83+H84*1</f>
        <v>8.9408</v>
      </c>
      <c r="C84" s="1" t="n">
        <f aca="false">B84*$K$1</f>
        <v>20.0005696</v>
      </c>
      <c r="D84" s="1" t="n">
        <v>9.10133193463348</v>
      </c>
      <c r="E84" s="1" t="n">
        <f aca="false">D84*$K$1</f>
        <v>20.3596795377751</v>
      </c>
      <c r="F84" s="2" t="n">
        <v>2</v>
      </c>
      <c r="G84" s="12" t="n">
        <f aca="false">B84*F84+5</f>
        <v>22.8816</v>
      </c>
      <c r="H84" s="3" t="n">
        <v>0</v>
      </c>
      <c r="I84" s="3" t="n">
        <v>0</v>
      </c>
      <c r="J84" s="4" t="n">
        <v>23.3520764002014</v>
      </c>
    </row>
    <row r="85" customFormat="false" ht="15" hidden="false" customHeight="false" outlineLevel="0" collapsed="false">
      <c r="A85" s="0" t="n">
        <f aca="false">A84+1</f>
        <v>83</v>
      </c>
      <c r="B85" s="1" t="n">
        <f aca="false">B84+H85*1</f>
        <v>8.9408</v>
      </c>
      <c r="C85" s="1" t="n">
        <f aca="false">B85*$K$1</f>
        <v>20.0005696</v>
      </c>
      <c r="D85" s="1" t="n">
        <v>9.11112595520686</v>
      </c>
      <c r="E85" s="1" t="n">
        <f aca="false">D85*$K$1</f>
        <v>20.3815887617977</v>
      </c>
      <c r="F85" s="2" t="n">
        <v>2</v>
      </c>
      <c r="G85" s="12" t="n">
        <f aca="false">B85*F85+5</f>
        <v>22.8816</v>
      </c>
      <c r="H85" s="3" t="n">
        <v>0</v>
      </c>
      <c r="I85" s="3" t="n">
        <v>0</v>
      </c>
      <c r="J85" s="4" t="n">
        <v>23.1839464440413</v>
      </c>
    </row>
    <row r="86" customFormat="false" ht="15" hidden="false" customHeight="false" outlineLevel="0" collapsed="false">
      <c r="A86" s="0" t="n">
        <f aca="false">A85+1</f>
        <v>84</v>
      </c>
      <c r="B86" s="1" t="n">
        <f aca="false">B85+H86*1</f>
        <v>8.9408</v>
      </c>
      <c r="C86" s="1" t="n">
        <f aca="false">B86*$K$1</f>
        <v>20.0005696</v>
      </c>
      <c r="D86" s="1" t="n">
        <v>9.09028657175784</v>
      </c>
      <c r="E86" s="1" t="n">
        <f aca="false">D86*$K$1</f>
        <v>20.3349710610223</v>
      </c>
      <c r="F86" s="2" t="n">
        <v>2</v>
      </c>
      <c r="G86" s="12" t="n">
        <f aca="false">B86*F86+5</f>
        <v>22.8816</v>
      </c>
      <c r="H86" s="3" t="n">
        <v>0</v>
      </c>
      <c r="I86" s="3" t="n">
        <v>0</v>
      </c>
      <c r="J86" s="4" t="n">
        <v>23.0226178277603</v>
      </c>
    </row>
    <row r="87" customFormat="false" ht="15" hidden="false" customHeight="false" outlineLevel="0" collapsed="false">
      <c r="A87" s="0" t="n">
        <f aca="false">A86+1</f>
        <v>85</v>
      </c>
      <c r="B87" s="1" t="n">
        <f aca="false">B86+H87*1</f>
        <v>8.9408</v>
      </c>
      <c r="C87" s="1" t="n">
        <f aca="false">B87*$K$1</f>
        <v>20.0005696</v>
      </c>
      <c r="D87" s="1" t="n">
        <v>9.05226882543898</v>
      </c>
      <c r="E87" s="1" t="n">
        <f aca="false">D87*$K$1</f>
        <v>20.249925362507</v>
      </c>
      <c r="F87" s="2" t="n">
        <v>2</v>
      </c>
      <c r="G87" s="12" t="n">
        <f aca="false">B87*F87+5</f>
        <v>22.8816</v>
      </c>
      <c r="H87" s="3" t="n">
        <v>0</v>
      </c>
      <c r="I87" s="3" t="n">
        <v>0</v>
      </c>
      <c r="J87" s="4" t="n">
        <v>22.8918036024265</v>
      </c>
    </row>
    <row r="88" customFormat="false" ht="15" hidden="false" customHeight="false" outlineLevel="0" collapsed="false">
      <c r="A88" s="0" t="n">
        <f aca="false">A87+1</f>
        <v>86</v>
      </c>
      <c r="B88" s="1" t="n">
        <f aca="false">B82+H88*1</f>
        <v>10.4308</v>
      </c>
      <c r="C88" s="1" t="n">
        <f aca="false">B88*$K$1</f>
        <v>23.3336996</v>
      </c>
      <c r="D88" s="1" t="n">
        <v>9.05852105821332</v>
      </c>
      <c r="E88" s="1" t="n">
        <f aca="false">D88*$K$1</f>
        <v>20.2639116072232</v>
      </c>
      <c r="F88" s="2" t="n">
        <v>2</v>
      </c>
      <c r="G88" s="12" t="n">
        <f aca="false">B88*F88+5</f>
        <v>25.8616</v>
      </c>
      <c r="H88" s="3" t="n">
        <v>1.49</v>
      </c>
      <c r="I88" s="3" t="n">
        <v>0</v>
      </c>
      <c r="J88" s="4" t="n">
        <v>23.5474873553679</v>
      </c>
    </row>
    <row r="89" customFormat="false" ht="15" hidden="false" customHeight="false" outlineLevel="0" collapsed="false">
      <c r="A89" s="0" t="n">
        <f aca="false">A88+1</f>
        <v>87</v>
      </c>
      <c r="B89" s="1" t="n">
        <f aca="false">B88+H89*1</f>
        <v>11.9208</v>
      </c>
      <c r="C89" s="1" t="n">
        <f aca="false">B89*$K$1</f>
        <v>26.6668296</v>
      </c>
      <c r="D89" s="1" t="n">
        <v>9.29541587774685</v>
      </c>
      <c r="E89" s="1" t="n">
        <f aca="false">D89*$K$1</f>
        <v>20.7938453185197</v>
      </c>
      <c r="F89" s="2" t="n">
        <v>2</v>
      </c>
      <c r="G89" s="12" t="n">
        <f aca="false">B89*F89+5</f>
        <v>28.8416</v>
      </c>
      <c r="H89" s="3" t="n">
        <v>1.49</v>
      </c>
      <c r="I89" s="3" t="n">
        <v>0</v>
      </c>
      <c r="J89" s="4" t="n">
        <v>25.5817184117201</v>
      </c>
    </row>
    <row r="90" customFormat="false" ht="15" hidden="false" customHeight="false" outlineLevel="0" collapsed="false">
      <c r="A90" s="0" t="n">
        <f aca="false">A89+1</f>
        <v>88</v>
      </c>
      <c r="B90" s="1" t="n">
        <f aca="false">B89+H90*1</f>
        <v>13.4108</v>
      </c>
      <c r="C90" s="1" t="n">
        <f aca="false">B90*$K$1</f>
        <v>29.9999596</v>
      </c>
      <c r="D90" s="1" t="n">
        <v>9.88850318446339</v>
      </c>
      <c r="E90" s="1" t="n">
        <f aca="false">D90*$K$1</f>
        <v>22.1205816236446</v>
      </c>
      <c r="F90" s="2" t="n">
        <v>2</v>
      </c>
      <c r="G90" s="12" t="n">
        <f aca="false">B90*F90+5</f>
        <v>31.8216</v>
      </c>
      <c r="H90" s="3" t="n">
        <v>1.49</v>
      </c>
      <c r="I90" s="3" t="n">
        <v>0</v>
      </c>
      <c r="J90" s="4" t="n">
        <v>28.6920462196919</v>
      </c>
    </row>
    <row r="91" customFormat="false" ht="15" hidden="false" customHeight="false" outlineLevel="0" collapsed="false">
      <c r="A91" s="0" t="n">
        <f aca="false">A90+1</f>
        <v>89</v>
      </c>
      <c r="B91" s="1" t="n">
        <f aca="false">B90+H91*1</f>
        <v>14.9008</v>
      </c>
      <c r="C91" s="1" t="n">
        <f aca="false">B91*$K$1</f>
        <v>33.3330896</v>
      </c>
      <c r="D91" s="1" t="n">
        <v>10.8646218981313</v>
      </c>
      <c r="E91" s="1" t="n">
        <f aca="false">D91*$K$1</f>
        <v>24.3041591861197</v>
      </c>
      <c r="F91" s="2" t="n">
        <v>2</v>
      </c>
      <c r="G91" s="12" t="n">
        <f aca="false">B91*F91+5</f>
        <v>34.8016</v>
      </c>
      <c r="H91" s="3" t="n">
        <v>1.49</v>
      </c>
      <c r="I91" s="3" t="n">
        <v>0</v>
      </c>
      <c r="J91" s="4" t="n">
        <v>32.5026296876442</v>
      </c>
    </row>
    <row r="92" customFormat="false" ht="15" hidden="false" customHeight="false" outlineLevel="0" collapsed="false">
      <c r="A92" s="0" t="n">
        <f aca="false">A91+1</f>
        <v>90</v>
      </c>
      <c r="B92" s="1" t="n">
        <f aca="false">B91+H92*1</f>
        <v>16.3908</v>
      </c>
      <c r="C92" s="1" t="n">
        <f aca="false">B92*$K$1</f>
        <v>36.6662196</v>
      </c>
      <c r="D92" s="1" t="n">
        <v>12.1801345617258</v>
      </c>
      <c r="E92" s="1" t="n">
        <f aca="false">D92*$K$1</f>
        <v>27.2469610145806</v>
      </c>
      <c r="F92" s="2" t="n">
        <v>2</v>
      </c>
      <c r="G92" s="12" t="n">
        <f aca="false">B92*F92+5</f>
        <v>37.7816</v>
      </c>
      <c r="H92" s="3" t="n">
        <v>1.49</v>
      </c>
      <c r="I92" s="3" t="n">
        <v>0</v>
      </c>
      <c r="J92" s="4" t="n">
        <v>36.6489084088643</v>
      </c>
    </row>
    <row r="93" customFormat="false" ht="15" hidden="false" customHeight="false" outlineLevel="0" collapsed="false">
      <c r="A93" s="0" t="n">
        <f aca="false">A92+1</f>
        <v>91</v>
      </c>
      <c r="B93" s="1" t="n">
        <f aca="false">B92+H93*1</f>
        <v>17.8808</v>
      </c>
      <c r="C93" s="1" t="n">
        <f aca="false">B93*$K$1</f>
        <v>39.9993496</v>
      </c>
      <c r="D93" s="1" t="n">
        <v>13.7511896663284</v>
      </c>
      <c r="E93" s="1" t="n">
        <f aca="false">D93*$K$1</f>
        <v>30.7614112835766</v>
      </c>
      <c r="F93" s="2" t="n">
        <v>2</v>
      </c>
      <c r="G93" s="12" t="n">
        <f aca="false">B93*F93+5</f>
        <v>40.7616</v>
      </c>
      <c r="H93" s="3" t="n">
        <v>1.49</v>
      </c>
      <c r="I93" s="3" t="n">
        <v>0</v>
      </c>
      <c r="J93" s="4" t="n">
        <v>40.832536261127</v>
      </c>
    </row>
    <row r="94" customFormat="false" ht="15" hidden="false" customHeight="false" outlineLevel="0" collapsed="false">
      <c r="A94" s="0" t="n">
        <f aca="false">A93+1</f>
        <v>92</v>
      </c>
      <c r="B94" s="1" t="n">
        <f aca="false">B93-H94*1</f>
        <v>17.8808</v>
      </c>
      <c r="C94" s="1" t="n">
        <f aca="false">B94*$K$1</f>
        <v>39.9993496</v>
      </c>
      <c r="D94" s="1" t="n">
        <v>15.4308074612305</v>
      </c>
      <c r="E94" s="1" t="n">
        <f aca="false">D94*$K$1</f>
        <v>34.5187162907726</v>
      </c>
      <c r="F94" s="2" t="n">
        <v>2</v>
      </c>
      <c r="G94" s="12" t="n">
        <f aca="false">B94*F94+5</f>
        <v>40.7616</v>
      </c>
      <c r="H94" s="3" t="n">
        <v>0</v>
      </c>
      <c r="I94" s="3" t="n">
        <v>0</v>
      </c>
      <c r="J94" s="4" t="n">
        <v>44.1025459832089</v>
      </c>
    </row>
    <row r="95" customFormat="false" ht="15" hidden="false" customHeight="false" outlineLevel="0" collapsed="false">
      <c r="A95" s="0" t="n">
        <f aca="false">A94+1</f>
        <v>93</v>
      </c>
      <c r="B95" s="1" t="n">
        <f aca="false">B94-H95*1</f>
        <v>17.8808</v>
      </c>
      <c r="C95" s="1" t="n">
        <f aca="false">B95*$K$1</f>
        <v>39.9993496</v>
      </c>
      <c r="D95" s="1" t="n">
        <v>16.9507012095625</v>
      </c>
      <c r="E95" s="1" t="n">
        <f aca="false">D95*$K$1</f>
        <v>37.9187186057913</v>
      </c>
      <c r="F95" s="2" t="n">
        <v>2</v>
      </c>
      <c r="G95" s="12" t="n">
        <f aca="false">B95*F95+5</f>
        <v>40.7616</v>
      </c>
      <c r="H95" s="3" t="n">
        <v>0</v>
      </c>
      <c r="I95" s="3" t="n">
        <v>0</v>
      </c>
      <c r="J95" s="4" t="n">
        <v>45.7566580787545</v>
      </c>
    </row>
    <row r="96" customFormat="false" ht="15" hidden="false" customHeight="false" outlineLevel="0" collapsed="false">
      <c r="A96" s="0" t="n">
        <f aca="false">A95+1</f>
        <v>94</v>
      </c>
      <c r="B96" s="1" t="n">
        <f aca="false">B95-H96*1</f>
        <v>17.8808</v>
      </c>
      <c r="C96" s="1" t="n">
        <f aca="false">B96*$K$1</f>
        <v>39.9993496</v>
      </c>
      <c r="D96" s="1" t="n">
        <v>18.1190103360617</v>
      </c>
      <c r="E96" s="1" t="n">
        <f aca="false">D96*$K$1</f>
        <v>40.53222612177</v>
      </c>
      <c r="F96" s="2" t="n">
        <v>2</v>
      </c>
      <c r="G96" s="12" t="n">
        <f aca="false">B96*F96+5</f>
        <v>40.7616</v>
      </c>
      <c r="H96" s="3" t="n">
        <v>0</v>
      </c>
      <c r="I96" s="3" t="n">
        <v>0</v>
      </c>
      <c r="J96" s="4" t="n">
        <v>46.0616314190096</v>
      </c>
    </row>
    <row r="97" customFormat="false" ht="15" hidden="false" customHeight="false" outlineLevel="0" collapsed="false">
      <c r="A97" s="0" t="n">
        <f aca="false">A96+1</f>
        <v>95</v>
      </c>
      <c r="B97" s="1" t="n">
        <f aca="false">B96-H97*1</f>
        <v>17.8808</v>
      </c>
      <c r="C97" s="1" t="n">
        <f aca="false">B97*$K$1</f>
        <v>39.9993496</v>
      </c>
      <c r="D97" s="1" t="n">
        <v>18.8637116787756</v>
      </c>
      <c r="E97" s="1" t="n">
        <f aca="false">D97*$K$1</f>
        <v>42.198123025421</v>
      </c>
      <c r="F97" s="2" t="n">
        <v>2</v>
      </c>
      <c r="G97" s="12" t="n">
        <f aca="false">B97*F97+5</f>
        <v>40.7616</v>
      </c>
      <c r="H97" s="3" t="n">
        <v>0</v>
      </c>
      <c r="I97" s="3" t="n">
        <v>0</v>
      </c>
      <c r="J97" s="4" t="n">
        <v>45.4133151627532</v>
      </c>
    </row>
    <row r="98" customFormat="false" ht="15" hidden="false" customHeight="false" outlineLevel="0" collapsed="false">
      <c r="A98" s="0" t="n">
        <f aca="false">A97+1</f>
        <v>96</v>
      </c>
      <c r="B98" s="1" t="n">
        <f aca="false">B97-H98*1</f>
        <v>17.8808</v>
      </c>
      <c r="C98" s="1" t="n">
        <f aca="false">B98*$K$1</f>
        <v>39.9993496</v>
      </c>
      <c r="D98" s="1" t="n">
        <v>19.2046874997071</v>
      </c>
      <c r="E98" s="1" t="n">
        <f aca="false">D98*$K$1</f>
        <v>42.9608859368448</v>
      </c>
      <c r="F98" s="2" t="n">
        <v>2</v>
      </c>
      <c r="G98" s="12" t="n">
        <f aca="false">B98*F98+5</f>
        <v>40.7616</v>
      </c>
      <c r="H98" s="3" t="n">
        <v>0</v>
      </c>
      <c r="I98" s="3" t="n">
        <v>0</v>
      </c>
      <c r="J98" s="4" t="n">
        <v>44.2303899168193</v>
      </c>
    </row>
    <row r="99" customFormat="false" ht="15" hidden="false" customHeight="false" outlineLevel="0" collapsed="false">
      <c r="A99" s="0" t="n">
        <f aca="false">A98+1</f>
        <v>97</v>
      </c>
      <c r="B99" s="1" t="n">
        <f aca="false">B98-H99*1</f>
        <v>17.8808</v>
      </c>
      <c r="C99" s="1" t="n">
        <f aca="false">B99*$K$1</f>
        <v>39.9993496</v>
      </c>
      <c r="D99" s="1" t="n">
        <v>19.2202182832941</v>
      </c>
      <c r="E99" s="1" t="n">
        <f aca="false">D99*$K$1</f>
        <v>42.9956282997289</v>
      </c>
      <c r="F99" s="2" t="n">
        <v>2</v>
      </c>
      <c r="G99" s="12" t="n">
        <f aca="false">B99*F99+5</f>
        <v>40.7616</v>
      </c>
      <c r="H99" s="3" t="n">
        <v>0</v>
      </c>
      <c r="I99" s="3" t="n">
        <v>0</v>
      </c>
      <c r="J99" s="4" t="n">
        <v>42.8794773742605</v>
      </c>
    </row>
    <row r="100" customFormat="false" ht="15" hidden="false" customHeight="false" outlineLevel="0" collapsed="false">
      <c r="A100" s="0" t="n">
        <f aca="false">A99+1</f>
        <v>98</v>
      </c>
      <c r="B100" s="1" t="n">
        <f aca="false">B99-H100*1</f>
        <v>17.8808</v>
      </c>
      <c r="C100" s="1" t="n">
        <f aca="false">B100*$K$1</f>
        <v>39.9993496</v>
      </c>
      <c r="D100" s="1" t="n">
        <v>19.0151298402259</v>
      </c>
      <c r="E100" s="1" t="n">
        <f aca="false">D100*$K$1</f>
        <v>42.5368454525853</v>
      </c>
      <c r="F100" s="2" t="n">
        <v>2</v>
      </c>
      <c r="G100" s="12" t="n">
        <f aca="false">B100*F100+5</f>
        <v>40.7616</v>
      </c>
      <c r="H100" s="3" t="n">
        <v>0</v>
      </c>
      <c r="I100" s="3" t="n">
        <v>0</v>
      </c>
      <c r="J100" s="4" t="n">
        <v>41.6333228304112</v>
      </c>
    </row>
    <row r="101" customFormat="false" ht="15" hidden="false" customHeight="false" outlineLevel="0" collapsed="false">
      <c r="A101" s="0" t="n">
        <f aca="false">A100+1</f>
        <v>99</v>
      </c>
      <c r="B101" s="1" t="n">
        <f aca="false">B100-H101*1</f>
        <v>17.8808</v>
      </c>
      <c r="C101" s="1" t="n">
        <f aca="false">B101*$K$1</f>
        <v>39.9993496</v>
      </c>
      <c r="D101" s="1" t="n">
        <v>18.6951739405332</v>
      </c>
      <c r="E101" s="1" t="n">
        <f aca="false">D101*$K$1</f>
        <v>41.8211041049728</v>
      </c>
      <c r="F101" s="2" t="n">
        <v>2</v>
      </c>
      <c r="G101" s="12" t="n">
        <f aca="false">B101*F101+5</f>
        <v>40.7616</v>
      </c>
      <c r="H101" s="3" t="n">
        <v>0</v>
      </c>
      <c r="I101" s="3" t="n">
        <v>0</v>
      </c>
      <c r="J101" s="4" t="n">
        <v>40.6578718451963</v>
      </c>
    </row>
    <row r="102" customFormat="false" ht="15" hidden="false" customHeight="false" outlineLevel="0" collapsed="false">
      <c r="A102" s="0" t="n">
        <f aca="false">A101+1</f>
        <v>100</v>
      </c>
      <c r="B102" s="1" t="n">
        <f aca="false">B101-H102*1</f>
        <v>17.8808</v>
      </c>
      <c r="C102" s="1" t="n">
        <f aca="false">B102*$K$1</f>
        <v>39.9993496</v>
      </c>
      <c r="D102" s="1" t="n">
        <v>18.3497086679956</v>
      </c>
      <c r="E102" s="1" t="n">
        <f aca="false">D102*$K$1</f>
        <v>41.0482982903062</v>
      </c>
      <c r="F102" s="2" t="n">
        <v>2</v>
      </c>
      <c r="G102" s="12" t="n">
        <f aca="false">B102*F102+5</f>
        <v>40.7616</v>
      </c>
      <c r="H102" s="3" t="n">
        <v>0</v>
      </c>
      <c r="I102" s="3" t="n">
        <v>0</v>
      </c>
      <c r="J102" s="4" t="n">
        <v>40.0207916257896</v>
      </c>
    </row>
    <row r="103" customFormat="false" ht="15" hidden="false" customHeight="false" outlineLevel="0" collapsed="false">
      <c r="A103" s="0" t="n">
        <f aca="false">A102+1</f>
        <v>101</v>
      </c>
      <c r="B103" s="1" t="n">
        <f aca="false">B102-H103*1</f>
        <v>17.8808</v>
      </c>
      <c r="C103" s="1" t="n">
        <f aca="false">B103*$K$1</f>
        <v>39.9993496</v>
      </c>
      <c r="D103" s="1" t="n">
        <v>18.0427279707506</v>
      </c>
      <c r="E103" s="1" t="n">
        <f aca="false">D103*$K$1</f>
        <v>40.3615824705691</v>
      </c>
      <c r="F103" s="2" t="n">
        <v>2</v>
      </c>
      <c r="G103" s="12" t="n">
        <f aca="false">B103*F103+5</f>
        <v>40.7616</v>
      </c>
      <c r="H103" s="3" t="n">
        <v>0</v>
      </c>
      <c r="I103" s="3" t="n">
        <v>0</v>
      </c>
      <c r="J103" s="4" t="n">
        <v>39.7129941416113</v>
      </c>
    </row>
    <row r="104" customFormat="false" ht="15" hidden="false" customHeight="false" outlineLevel="0" collapsed="false">
      <c r="A104" s="0" t="n">
        <f aca="false">A103+1</f>
        <v>102</v>
      </c>
      <c r="B104" s="1" t="n">
        <f aca="false">B103-H104*1</f>
        <v>17.8808</v>
      </c>
      <c r="C104" s="1" t="n">
        <f aca="false">B104*$K$1</f>
        <v>39.9993496</v>
      </c>
      <c r="D104" s="1" t="n">
        <v>17.8109302743697</v>
      </c>
      <c r="E104" s="1" t="n">
        <f aca="false">D104*$K$1</f>
        <v>39.843051023765</v>
      </c>
      <c r="F104" s="2" t="n">
        <v>2</v>
      </c>
      <c r="G104" s="12" t="n">
        <f aca="false">B104*F104+5</f>
        <v>40.7616</v>
      </c>
      <c r="H104" s="3" t="n">
        <v>0</v>
      </c>
      <c r="I104" s="3" t="n">
        <v>0</v>
      </c>
      <c r="J104" s="4" t="n">
        <v>39.6754104592094</v>
      </c>
    </row>
    <row r="105" customFormat="false" ht="15" hidden="false" customHeight="false" outlineLevel="0" collapsed="false">
      <c r="A105" s="0" t="n">
        <f aca="false">A104+1</f>
        <v>103</v>
      </c>
      <c r="B105" s="1" t="n">
        <f aca="false">B104-H105*1</f>
        <v>17.8808</v>
      </c>
      <c r="C105" s="1" t="n">
        <f aca="false">B105*$K$1</f>
        <v>39.9993496</v>
      </c>
      <c r="D105" s="1" t="n">
        <v>17.6668155697189</v>
      </c>
      <c r="E105" s="1" t="n">
        <f aca="false">D105*$K$1</f>
        <v>39.5206664294612</v>
      </c>
      <c r="F105" s="2" t="n">
        <v>2</v>
      </c>
      <c r="G105" s="12" t="n">
        <f aca="false">B105*F105+5</f>
        <v>40.7616</v>
      </c>
      <c r="H105" s="3" t="n">
        <v>0</v>
      </c>
      <c r="I105" s="3" t="n">
        <v>0</v>
      </c>
      <c r="J105" s="4" t="n">
        <v>39.8249768684111</v>
      </c>
    </row>
    <row r="106" customFormat="false" ht="15" hidden="false" customHeight="false" outlineLevel="0" collapsed="false">
      <c r="A106" s="0" t="n">
        <f aca="false">A105+1</f>
        <v>104</v>
      </c>
      <c r="B106" s="1" t="n">
        <f aca="false">B105-H106*1</f>
        <v>17.8808</v>
      </c>
      <c r="C106" s="1" t="n">
        <f aca="false">B106*$K$1</f>
        <v>39.9993496</v>
      </c>
      <c r="D106" s="1" t="n">
        <v>17.6046544093404</v>
      </c>
      <c r="E106" s="1" t="n">
        <f aca="false">D106*$K$1</f>
        <v>39.3816119136945</v>
      </c>
      <c r="F106" s="2" t="n">
        <v>2</v>
      </c>
      <c r="G106" s="12" t="n">
        <f aca="false">B106*F106+5</f>
        <v>40.7616</v>
      </c>
      <c r="H106" s="3" t="n">
        <v>0</v>
      </c>
      <c r="I106" s="3" t="n">
        <v>0</v>
      </c>
      <c r="J106" s="4" t="n">
        <v>40.0759118545052</v>
      </c>
    </row>
    <row r="107" customFormat="false" ht="15" hidden="false" customHeight="false" outlineLevel="0" collapsed="false">
      <c r="A107" s="0" t="n">
        <f aca="false">A106+1</f>
        <v>105</v>
      </c>
      <c r="B107" s="1" t="n">
        <f aca="false">B101-H107*1</f>
        <v>16.3908</v>
      </c>
      <c r="C107" s="1" t="n">
        <f aca="false">B107*$K$1</f>
        <v>36.6662196</v>
      </c>
      <c r="D107" s="1" t="n">
        <v>17.5577547088817</v>
      </c>
      <c r="E107" s="1" t="n">
        <f aca="false">D107*$K$1</f>
        <v>39.2766972837684</v>
      </c>
      <c r="F107" s="2" t="n">
        <v>2</v>
      </c>
      <c r="G107" s="12" t="n">
        <f aca="false">B107*F107+5</f>
        <v>37.7816</v>
      </c>
      <c r="H107" s="3" t="n">
        <v>1.49</v>
      </c>
      <c r="I107" s="3" t="n">
        <v>0</v>
      </c>
      <c r="J107" s="4" t="n">
        <v>39.6094136623715</v>
      </c>
    </row>
    <row r="108" customFormat="false" ht="15" hidden="false" customHeight="false" outlineLevel="0" collapsed="false">
      <c r="A108" s="0" t="n">
        <f aca="false">A107+1</f>
        <v>106</v>
      </c>
      <c r="B108" s="1" t="n">
        <f aca="false">B107-H108*1</f>
        <v>14.9008</v>
      </c>
      <c r="C108" s="1" t="n">
        <f aca="false">B108*$K$1</f>
        <v>33.3330896</v>
      </c>
      <c r="D108" s="1" t="n">
        <v>17.3266514409231</v>
      </c>
      <c r="E108" s="1" t="n">
        <f aca="false">D108*$K$1</f>
        <v>38.759719273345</v>
      </c>
      <c r="F108" s="2" t="n">
        <v>2</v>
      </c>
      <c r="G108" s="12" t="n">
        <f aca="false">B108*F108+5</f>
        <v>34.8016</v>
      </c>
      <c r="H108" s="3" t="n">
        <v>1.49</v>
      </c>
      <c r="I108" s="3" t="n">
        <v>0</v>
      </c>
      <c r="J108" s="4" t="n">
        <v>37.7802190759198</v>
      </c>
    </row>
    <row r="109" customFormat="false" ht="15" hidden="false" customHeight="false" outlineLevel="0" collapsed="false">
      <c r="A109" s="0" t="n">
        <f aca="false">A108+1</f>
        <v>107</v>
      </c>
      <c r="B109" s="1" t="n">
        <f aca="false">B108-H109*1</f>
        <v>13.4108</v>
      </c>
      <c r="C109" s="1" t="n">
        <f aca="false">B109*$K$1</f>
        <v>29.9999596</v>
      </c>
      <c r="D109" s="1" t="n">
        <v>16.7695483521694</v>
      </c>
      <c r="E109" s="1" t="n">
        <f aca="false">D109*$K$1</f>
        <v>37.513479663803</v>
      </c>
      <c r="F109" s="2" t="n">
        <v>2</v>
      </c>
      <c r="G109" s="12" t="n">
        <f aca="false">B109*F109+5</f>
        <v>31.8216</v>
      </c>
      <c r="H109" s="3" t="n">
        <v>1.49</v>
      </c>
      <c r="I109" s="3" t="n">
        <v>0</v>
      </c>
      <c r="J109" s="4" t="n">
        <v>34.8525632795411</v>
      </c>
    </row>
    <row r="110" customFormat="false" ht="15" hidden="false" customHeight="false" outlineLevel="0" collapsed="false">
      <c r="A110" s="0" t="n">
        <f aca="false">A109+1</f>
        <v>108</v>
      </c>
      <c r="B110" s="1" t="n">
        <f aca="false">B109-H110*1</f>
        <v>11.9208</v>
      </c>
      <c r="C110" s="1" t="n">
        <f aca="false">B110*$K$1</f>
        <v>26.6668296</v>
      </c>
      <c r="D110" s="1" t="n">
        <v>15.8438601915802</v>
      </c>
      <c r="E110" s="1" t="n">
        <f aca="false">D110*$K$1</f>
        <v>35.4427152485649</v>
      </c>
      <c r="F110" s="2" t="n">
        <v>2</v>
      </c>
      <c r="G110" s="12" t="n">
        <f aca="false">B110*F110+5</f>
        <v>28.8416</v>
      </c>
      <c r="H110" s="3" t="n">
        <v>1.49</v>
      </c>
      <c r="I110" s="3" t="n">
        <v>0</v>
      </c>
      <c r="J110" s="4" t="n">
        <v>31.1802727692598</v>
      </c>
    </row>
    <row r="111" customFormat="false" ht="15" hidden="false" customHeight="false" outlineLevel="0" collapsed="false">
      <c r="A111" s="0" t="n">
        <f aca="false">A110+1</f>
        <v>109</v>
      </c>
      <c r="B111" s="1" t="n">
        <f aca="false">B110-H111*1</f>
        <v>10.4308</v>
      </c>
      <c r="C111" s="1" t="n">
        <f aca="false">B111*$K$1</f>
        <v>23.3336996</v>
      </c>
      <c r="D111" s="1" t="n">
        <v>14.5803466202377</v>
      </c>
      <c r="E111" s="1" t="n">
        <f aca="false">D111*$K$1</f>
        <v>32.6162353894717</v>
      </c>
      <c r="F111" s="2" t="n">
        <v>2</v>
      </c>
      <c r="G111" s="12" t="n">
        <f aca="false">B111*F111+5</f>
        <v>25.8616</v>
      </c>
      <c r="H111" s="3" t="n">
        <v>1.49</v>
      </c>
      <c r="I111" s="3" t="n">
        <v>0</v>
      </c>
      <c r="J111" s="4" t="n">
        <v>27.1202933772704</v>
      </c>
    </row>
    <row r="112" customFormat="false" ht="15" hidden="false" customHeight="false" outlineLevel="0" collapsed="false">
      <c r="A112" s="0" t="n">
        <f aca="false">A111+1</f>
        <v>110</v>
      </c>
      <c r="B112" s="1" t="n">
        <f aca="false">B111-H112*1</f>
        <v>8.9408</v>
      </c>
      <c r="C112" s="1" t="n">
        <f aca="false">B112*$K$1</f>
        <v>20.0005696</v>
      </c>
      <c r="D112" s="1" t="n">
        <v>13.0539758015219</v>
      </c>
      <c r="E112" s="1" t="n">
        <f aca="false">D112*$K$1</f>
        <v>29.2017438680045</v>
      </c>
      <c r="F112" s="2" t="n">
        <v>2</v>
      </c>
      <c r="G112" s="12" t="n">
        <f aca="false">B112*F112+5</f>
        <v>22.8816</v>
      </c>
      <c r="H112" s="3" t="n">
        <v>1.49</v>
      </c>
      <c r="I112" s="3" t="n">
        <v>0</v>
      </c>
      <c r="J112" s="4" t="n">
        <v>22.9742329658518</v>
      </c>
    </row>
    <row r="113" customFormat="false" ht="15" hidden="false" customHeight="false" outlineLevel="0" collapsed="false">
      <c r="A113" s="0" t="n">
        <f aca="false">A112+1</f>
        <v>111</v>
      </c>
      <c r="B113" s="1" t="n">
        <f aca="false">B112-H113*1</f>
        <v>8.9408</v>
      </c>
      <c r="C113" s="1" t="n">
        <f aca="false">B113*$K$1</f>
        <v>20.0005696</v>
      </c>
      <c r="D113" s="1" t="n">
        <v>11.4069505416222</v>
      </c>
      <c r="E113" s="1" t="n">
        <f aca="false">D113*$K$1</f>
        <v>25.5173483616089</v>
      </c>
      <c r="F113" s="2" t="n">
        <v>2</v>
      </c>
      <c r="G113" s="12" t="n">
        <f aca="false">B113*F113+5</f>
        <v>22.8816</v>
      </c>
      <c r="H113" s="3" t="n">
        <v>0</v>
      </c>
      <c r="I113" s="3" t="n">
        <v>0</v>
      </c>
      <c r="J113" s="4" t="n">
        <v>19.7030853062706</v>
      </c>
    </row>
    <row r="114" customFormat="false" ht="15" hidden="false" customHeight="false" outlineLevel="0" collapsed="false">
      <c r="A114" s="0" t="n">
        <f aca="false">A113+1</f>
        <v>112</v>
      </c>
      <c r="B114" s="1" t="n">
        <f aca="false">B113-H114*1</f>
        <v>8.9408</v>
      </c>
      <c r="C114" s="1" t="n">
        <f aca="false">B114*$K$1</f>
        <v>20.0005696</v>
      </c>
      <c r="D114" s="1" t="n">
        <v>9.90630139140174</v>
      </c>
      <c r="E114" s="1" t="n">
        <f aca="false">D114*$K$1</f>
        <v>22.1603962125657</v>
      </c>
      <c r="F114" s="2" t="n">
        <v>2</v>
      </c>
      <c r="G114" s="12" t="n">
        <f aca="false">B114*F114+5</f>
        <v>22.8816</v>
      </c>
      <c r="H114" s="3" t="n">
        <v>0</v>
      </c>
      <c r="I114" s="3" t="n">
        <v>0</v>
      </c>
      <c r="J114" s="4" t="n">
        <v>18.0220771500403</v>
      </c>
    </row>
    <row r="115" customFormat="false" ht="15" hidden="false" customHeight="false" outlineLevel="0" collapsed="false">
      <c r="A115" s="0" t="n">
        <f aca="false">A114+1</f>
        <v>113</v>
      </c>
      <c r="B115" s="1" t="n">
        <f aca="false">B114-H115*1</f>
        <v>8.9408</v>
      </c>
      <c r="C115" s="1" t="n">
        <f aca="false">B115*$K$1</f>
        <v>20.0005696</v>
      </c>
      <c r="D115" s="1" t="n">
        <v>8.74519453708184</v>
      </c>
      <c r="E115" s="1" t="n">
        <f aca="false">D115*$K$1</f>
        <v>19.5630001794521</v>
      </c>
      <c r="F115" s="2" t="n">
        <v>2</v>
      </c>
      <c r="G115" s="12" t="n">
        <f aca="false">B115*F115+5</f>
        <v>22.8816</v>
      </c>
      <c r="H115" s="3" t="n">
        <v>0</v>
      </c>
      <c r="I115" s="3" t="n">
        <v>0</v>
      </c>
      <c r="J115" s="4" t="n">
        <v>17.6772713598582</v>
      </c>
    </row>
    <row r="116" customFormat="false" ht="15" hidden="false" customHeight="false" outlineLevel="0" collapsed="false">
      <c r="A116" s="0" t="n">
        <f aca="false">A115+1</f>
        <v>114</v>
      </c>
      <c r="B116" s="1" t="n">
        <f aca="false">B115-H116*1</f>
        <v>8.9408</v>
      </c>
      <c r="C116" s="1" t="n">
        <f aca="false">B116*$K$1</f>
        <v>20.0005696</v>
      </c>
      <c r="D116" s="1" t="n">
        <v>7.9984656665316</v>
      </c>
      <c r="E116" s="1" t="n">
        <f aca="false">D116*$K$1</f>
        <v>17.8925676960312</v>
      </c>
      <c r="F116" s="2" t="n">
        <v>2</v>
      </c>
      <c r="G116" s="12" t="n">
        <f aca="false">B116*F116+5</f>
        <v>22.8816</v>
      </c>
      <c r="H116" s="3" t="n">
        <v>0</v>
      </c>
      <c r="I116" s="3" t="n">
        <v>0</v>
      </c>
      <c r="J116" s="4" t="n">
        <v>18.2834935092524</v>
      </c>
    </row>
    <row r="117" customFormat="false" ht="15" hidden="false" customHeight="false" outlineLevel="0" collapsed="false">
      <c r="A117" s="0" t="n">
        <f aca="false">A116+1</f>
        <v>115</v>
      </c>
      <c r="B117" s="1" t="n">
        <f aca="false">B116-H117*1</f>
        <v>8.9408</v>
      </c>
      <c r="C117" s="1" t="n">
        <f aca="false">B117*$K$1</f>
        <v>20.0005696</v>
      </c>
      <c r="D117" s="1" t="n">
        <v>7.64960250738754</v>
      </c>
      <c r="E117" s="1" t="n">
        <f aca="false">D117*$K$1</f>
        <v>17.1121608090259</v>
      </c>
      <c r="F117" s="2" t="n">
        <v>2</v>
      </c>
      <c r="G117" s="12" t="n">
        <f aca="false">B117*F117+5</f>
        <v>22.8816</v>
      </c>
      <c r="H117" s="3" t="n">
        <v>0</v>
      </c>
      <c r="I117" s="3" t="n">
        <v>0</v>
      </c>
      <c r="J117" s="4" t="n">
        <v>19.4295813096689</v>
      </c>
    </row>
    <row r="118" customFormat="false" ht="15" hidden="false" customHeight="false" outlineLevel="0" collapsed="false">
      <c r="A118" s="0" t="n">
        <f aca="false">A117+1</f>
        <v>116</v>
      </c>
      <c r="B118" s="1" t="n">
        <f aca="false">B117-H118*1</f>
        <v>8.9408</v>
      </c>
      <c r="C118" s="1" t="n">
        <f aca="false">B118*$K$1</f>
        <v>20.0005696</v>
      </c>
      <c r="D118" s="1" t="n">
        <v>7.62352599553711</v>
      </c>
      <c r="E118" s="1" t="n">
        <f aca="false">D118*$K$1</f>
        <v>17.0538276520165</v>
      </c>
      <c r="F118" s="2" t="n">
        <v>2</v>
      </c>
      <c r="G118" s="12" t="n">
        <f aca="false">B118*F118+5</f>
        <v>22.8816</v>
      </c>
      <c r="H118" s="3" t="n">
        <v>0</v>
      </c>
      <c r="I118" s="3" t="n">
        <v>0</v>
      </c>
      <c r="J118" s="4" t="n">
        <v>20.7531062736371</v>
      </c>
    </row>
    <row r="119" customFormat="false" ht="15" hidden="false" customHeight="false" outlineLevel="0" collapsed="false">
      <c r="A119" s="0" t="n">
        <f aca="false">A118+1</f>
        <v>117</v>
      </c>
      <c r="B119" s="1" t="n">
        <f aca="false">B118-H119*1</f>
        <v>8.9408</v>
      </c>
      <c r="C119" s="1" t="n">
        <f aca="false">B119*$K$1</f>
        <v>20.0005696</v>
      </c>
      <c r="D119" s="1" t="n">
        <v>7.8179836887572</v>
      </c>
      <c r="E119" s="1" t="n">
        <f aca="false">D119*$K$1</f>
        <v>17.4888295117499</v>
      </c>
      <c r="F119" s="2" t="n">
        <v>2</v>
      </c>
      <c r="G119" s="12" t="n">
        <f aca="false">B119*F119+5</f>
        <v>22.8816</v>
      </c>
      <c r="H119" s="3" t="n">
        <v>0</v>
      </c>
      <c r="I119" s="3" t="n">
        <v>0</v>
      </c>
      <c r="J119" s="4" t="n">
        <v>21.9826131067957</v>
      </c>
    </row>
    <row r="120" customFormat="false" ht="15" hidden="false" customHeight="false" outlineLevel="0" collapsed="false">
      <c r="A120" s="0" t="n">
        <f aca="false">A119+1</f>
        <v>118</v>
      </c>
      <c r="B120" s="1" t="n">
        <f aca="false">B119-H120*1</f>
        <v>8.9408</v>
      </c>
      <c r="C120" s="1" t="n">
        <f aca="false">B120*$K$1</f>
        <v>20.0005696</v>
      </c>
      <c r="D120" s="1" t="n">
        <v>8.12896222477754</v>
      </c>
      <c r="E120" s="1" t="n">
        <f aca="false">D120*$K$1</f>
        <v>18.1844884968274</v>
      </c>
      <c r="F120" s="2" t="n">
        <v>2</v>
      </c>
      <c r="G120" s="12" t="n">
        <f aca="false">B120*F120+5</f>
        <v>22.8816</v>
      </c>
      <c r="H120" s="3" t="n">
        <v>0</v>
      </c>
      <c r="I120" s="3" t="n">
        <v>0</v>
      </c>
      <c r="J120" s="4" t="n">
        <v>22.9512929111261</v>
      </c>
    </row>
    <row r="121" customFormat="false" ht="15" hidden="false" customHeight="false" outlineLevel="0" collapsed="false">
      <c r="A121" s="0" t="n">
        <f aca="false">A120+1</f>
        <v>119</v>
      </c>
      <c r="B121" s="1" t="n">
        <f aca="false">B120-H121*1</f>
        <v>8.9408</v>
      </c>
      <c r="C121" s="1" t="n">
        <f aca="false">B121*$K$1</f>
        <v>20.0005696</v>
      </c>
      <c r="D121" s="1" t="n">
        <v>8.46800262786608</v>
      </c>
      <c r="E121" s="1" t="n">
        <f aca="false">D121*$K$1</f>
        <v>18.9429218785364</v>
      </c>
      <c r="F121" s="2" t="n">
        <v>2</v>
      </c>
      <c r="G121" s="12" t="n">
        <f aca="false">B121*F121+5</f>
        <v>22.8816</v>
      </c>
      <c r="H121" s="3" t="n">
        <v>0</v>
      </c>
      <c r="I121" s="3" t="n">
        <v>0</v>
      </c>
      <c r="J121" s="4" t="n">
        <v>23.5893108271716</v>
      </c>
    </row>
    <row r="122" customFormat="false" ht="15" hidden="false" customHeight="false" outlineLevel="0" collapsed="false">
      <c r="A122" s="0" t="n">
        <f aca="false">A121+1</f>
        <v>120</v>
      </c>
      <c r="B122" s="1" t="n">
        <f aca="false">B121-H122*1</f>
        <v>8.9408</v>
      </c>
      <c r="C122" s="1" t="n">
        <f aca="false">B122*$K$1</f>
        <v>20.0005696</v>
      </c>
      <c r="D122" s="1" t="n">
        <v>8.77130288411941</v>
      </c>
      <c r="E122" s="1" t="n">
        <f aca="false">D122*$K$1</f>
        <v>19.6214045517751</v>
      </c>
      <c r="F122" s="2" t="n">
        <v>2</v>
      </c>
      <c r="G122" s="12" t="n">
        <f aca="false">B122*F122+5</f>
        <v>22.8816</v>
      </c>
      <c r="H122" s="3" t="n">
        <v>0</v>
      </c>
      <c r="I122" s="3" t="n">
        <v>0</v>
      </c>
      <c r="J122" s="4" t="n">
        <v>23.9030618040431</v>
      </c>
    </row>
    <row r="123" customFormat="false" ht="15" hidden="false" customHeight="false" outlineLevel="0" collapsed="false">
      <c r="A123" s="0" t="n">
        <f aca="false">A122+1</f>
        <v>121</v>
      </c>
      <c r="B123" s="1" t="n">
        <f aca="false">B122-H123*1</f>
        <v>8.9408</v>
      </c>
      <c r="C123" s="1" t="n">
        <f aca="false">B123*$K$1</f>
        <v>20.0005696</v>
      </c>
      <c r="D123" s="1" t="n">
        <v>9.00185165851</v>
      </c>
      <c r="E123" s="1" t="n">
        <f aca="false">D123*$K$1</f>
        <v>20.1371421600869</v>
      </c>
      <c r="F123" s="2" t="n">
        <v>2</v>
      </c>
      <c r="G123" s="12" t="n">
        <f aca="false">B123*F123+5</f>
        <v>22.8816</v>
      </c>
      <c r="H123" s="3" t="n">
        <v>0</v>
      </c>
      <c r="I123" s="3" t="n">
        <v>0</v>
      </c>
      <c r="J123" s="4" t="n">
        <v>23.9490028262915</v>
      </c>
    </row>
    <row r="124" customFormat="false" ht="15" hidden="false" customHeight="false" outlineLevel="0" collapsed="false">
      <c r="A124" s="0" t="n">
        <f aca="false">A123+1</f>
        <v>122</v>
      </c>
      <c r="B124" s="1" t="n">
        <f aca="false">B123-H124*1</f>
        <v>8.9408</v>
      </c>
      <c r="C124" s="1" t="n">
        <f aca="false">B124*$K$1</f>
        <v>20.0005696</v>
      </c>
      <c r="D124" s="1" t="n">
        <v>9.1465480369102</v>
      </c>
      <c r="E124" s="1" t="n">
        <f aca="false">D124*$K$1</f>
        <v>20.4608279585681</v>
      </c>
      <c r="F124" s="2" t="n">
        <v>2</v>
      </c>
      <c r="G124" s="12" t="n">
        <f aca="false">B124*F124+5</f>
        <v>22.8816</v>
      </c>
      <c r="H124" s="3" t="n">
        <v>0</v>
      </c>
      <c r="I124" s="3" t="n">
        <v>0</v>
      </c>
      <c r="J124" s="4" t="n">
        <v>23.808060265595</v>
      </c>
    </row>
    <row r="125" customFormat="false" ht="15" hidden="false" customHeight="false" outlineLevel="0" collapsed="false">
      <c r="A125" s="0" t="n">
        <f aca="false">A124+1</f>
        <v>123</v>
      </c>
      <c r="B125" s="1" t="n">
        <f aca="false">B124-H125*1</f>
        <v>8.9408</v>
      </c>
      <c r="C125" s="1" t="n">
        <f aca="false">B125*$K$1</f>
        <v>20.0005696</v>
      </c>
      <c r="D125" s="1" t="n">
        <v>9.21042419213955</v>
      </c>
      <c r="E125" s="1" t="n">
        <f aca="false">D125*$K$1</f>
        <v>20.6037189178162</v>
      </c>
      <c r="F125" s="2" t="n">
        <v>2</v>
      </c>
      <c r="G125" s="12" t="n">
        <f aca="false">B125*F125+5</f>
        <v>22.8816</v>
      </c>
      <c r="H125" s="3" t="n">
        <v>0</v>
      </c>
      <c r="I125" s="3" t="n">
        <v>0</v>
      </c>
      <c r="J125" s="4" t="n">
        <v>23.5645402666282</v>
      </c>
    </row>
    <row r="126" customFormat="false" ht="15" hidden="false" customHeight="false" outlineLevel="0" collapsed="false">
      <c r="A126" s="0" t="n">
        <f aca="false">A125+1</f>
        <v>124</v>
      </c>
      <c r="B126" s="1" t="n">
        <f aca="false">B120+H126*1</f>
        <v>10.9408</v>
      </c>
      <c r="C126" s="1" t="n">
        <f aca="false">B126*$K$1</f>
        <v>24.4745696</v>
      </c>
      <c r="D126" s="1" t="n">
        <v>9.27652254082019</v>
      </c>
      <c r="E126" s="1" t="n">
        <f aca="false">D126*$K$1</f>
        <v>20.7515809238148</v>
      </c>
      <c r="F126" s="2" t="n">
        <v>2</v>
      </c>
      <c r="G126" s="12" t="n">
        <f aca="false">B126*F126+5</f>
        <v>26.8816</v>
      </c>
      <c r="H126" s="3" t="n">
        <v>2</v>
      </c>
      <c r="I126" s="3" t="n">
        <v>0</v>
      </c>
      <c r="J126" s="4" t="n">
        <v>24.2914502510898</v>
      </c>
    </row>
    <row r="127" customFormat="false" ht="15" hidden="false" customHeight="false" outlineLevel="0" collapsed="false">
      <c r="A127" s="0" t="n">
        <f aca="false">A126+1</f>
        <v>125</v>
      </c>
      <c r="B127" s="1" t="n">
        <f aca="false">B126+H127*1</f>
        <v>12.9408</v>
      </c>
      <c r="C127" s="1" t="n">
        <f aca="false">B127*$K$1</f>
        <v>28.9485696</v>
      </c>
      <c r="D127" s="1" t="n">
        <v>9.60458687416841</v>
      </c>
      <c r="E127" s="1" t="n">
        <f aca="false">D127*$K$1</f>
        <v>21.4854608375147</v>
      </c>
      <c r="F127" s="2" t="n">
        <v>2</v>
      </c>
      <c r="G127" s="12" t="n">
        <f aca="false">B127*F127+5</f>
        <v>30.8816</v>
      </c>
      <c r="H127" s="3" t="n">
        <v>2</v>
      </c>
      <c r="I127" s="3" t="n">
        <v>0</v>
      </c>
      <c r="J127" s="4" t="n">
        <v>26.8362566802782</v>
      </c>
    </row>
    <row r="128" customFormat="false" ht="15" hidden="false" customHeight="false" outlineLevel="0" collapsed="false">
      <c r="A128" s="0" t="n">
        <f aca="false">A127+1</f>
        <v>126</v>
      </c>
      <c r="B128" s="1" t="n">
        <f aca="false">B127+H128*1</f>
        <v>14.9408</v>
      </c>
      <c r="C128" s="1" t="n">
        <f aca="false">B128*$K$1</f>
        <v>33.4225696</v>
      </c>
      <c r="D128" s="1" t="n">
        <v>10.3772225036085</v>
      </c>
      <c r="E128" s="1" t="n">
        <f aca="false">D128*$K$1</f>
        <v>23.2138467405722</v>
      </c>
      <c r="F128" s="2" t="n">
        <v>2</v>
      </c>
      <c r="G128" s="12" t="n">
        <f aca="false">B128*F128+5</f>
        <v>34.8816</v>
      </c>
      <c r="H128" s="3" t="n">
        <v>2</v>
      </c>
      <c r="I128" s="3" t="n">
        <v>0</v>
      </c>
      <c r="J128" s="4" t="n">
        <v>30.8335821811472</v>
      </c>
    </row>
    <row r="129" customFormat="false" ht="15" hidden="false" customHeight="false" outlineLevel="0" collapsed="false">
      <c r="A129" s="0" t="n">
        <f aca="false">A128+1</f>
        <v>127</v>
      </c>
      <c r="B129" s="1" t="n">
        <f aca="false">B128+H129*1</f>
        <v>16.9408</v>
      </c>
      <c r="C129" s="1" t="n">
        <f aca="false">B129*$K$1</f>
        <v>37.8965696</v>
      </c>
      <c r="D129" s="1" t="n">
        <v>11.6452889848927</v>
      </c>
      <c r="E129" s="1" t="n">
        <f aca="false">D129*$K$1</f>
        <v>26.050511459205</v>
      </c>
      <c r="F129" s="2" t="n">
        <v>2</v>
      </c>
      <c r="G129" s="12" t="n">
        <f aca="false">B129*F129+5</f>
        <v>38.8816</v>
      </c>
      <c r="H129" s="3" t="n">
        <v>2</v>
      </c>
      <c r="I129" s="3" t="n">
        <v>0</v>
      </c>
      <c r="J129" s="4" t="n">
        <v>35.8048485392519</v>
      </c>
    </row>
    <row r="130" customFormat="false" ht="15" hidden="false" customHeight="false" outlineLevel="0" collapsed="false">
      <c r="A130" s="0" t="n">
        <f aca="false">A129+1</f>
        <v>128</v>
      </c>
      <c r="B130" s="1" t="n">
        <f aca="false">B129+H130*1</f>
        <v>18.9408</v>
      </c>
      <c r="C130" s="1" t="n">
        <f aca="false">B130*$K$1</f>
        <v>42.3705696</v>
      </c>
      <c r="D130" s="1" t="n">
        <v>13.363164203224</v>
      </c>
      <c r="E130" s="1" t="n">
        <f aca="false">D130*$K$1</f>
        <v>29.8933983226121</v>
      </c>
      <c r="F130" s="2" t="n">
        <v>2</v>
      </c>
      <c r="G130" s="12" t="n">
        <f aca="false">B130*F130+5</f>
        <v>42.8816</v>
      </c>
      <c r="H130" s="3" t="n">
        <v>2</v>
      </c>
      <c r="I130" s="3" t="n">
        <v>0</v>
      </c>
      <c r="J130" s="4" t="n">
        <v>41.2726057378352</v>
      </c>
    </row>
    <row r="131" customFormat="false" ht="15" hidden="false" customHeight="false" outlineLevel="0" collapsed="false">
      <c r="A131" s="0" t="n">
        <f aca="false">A130+1</f>
        <v>129</v>
      </c>
      <c r="B131" s="1" t="n">
        <f aca="false">B130+H131*1</f>
        <v>18.9408</v>
      </c>
      <c r="C131" s="1" t="n">
        <f aca="false">B131*$K$1</f>
        <v>42.3705696</v>
      </c>
      <c r="D131" s="1" t="n">
        <v>15.361235308858</v>
      </c>
      <c r="E131" s="1" t="n">
        <f aca="false">D131*$K$1</f>
        <v>34.3630833859153</v>
      </c>
      <c r="F131" s="2" t="n">
        <v>2</v>
      </c>
      <c r="G131" s="12" t="n">
        <f aca="false">B131*F131+5</f>
        <v>42.8816</v>
      </c>
      <c r="H131" s="3" t="n">
        <v>0</v>
      </c>
      <c r="I131" s="3" t="n">
        <v>0</v>
      </c>
      <c r="J131" s="4" t="n">
        <v>45.8369763059986</v>
      </c>
    </row>
    <row r="132" customFormat="false" ht="15" hidden="false" customHeight="false" outlineLevel="0" collapsed="false">
      <c r="A132" s="0" t="n">
        <f aca="false">A131+1</f>
        <v>130</v>
      </c>
      <c r="B132" s="1" t="n">
        <f aca="false">B131+H132*1</f>
        <v>18.9408</v>
      </c>
      <c r="C132" s="1" t="n">
        <f aca="false">B132*$K$1</f>
        <v>42.3705696</v>
      </c>
      <c r="D132" s="1" t="n">
        <v>17.2762991512978</v>
      </c>
      <c r="E132" s="1" t="n">
        <f aca="false">D132*$K$1</f>
        <v>38.6470812014532</v>
      </c>
      <c r="F132" s="2" t="n">
        <v>2</v>
      </c>
      <c r="G132" s="12" t="n">
        <f aca="false">B132*F132+5</f>
        <v>42.8816</v>
      </c>
      <c r="H132" s="3" t="n">
        <v>0</v>
      </c>
      <c r="I132" s="3" t="n">
        <v>0</v>
      </c>
      <c r="J132" s="4" t="n">
        <v>48.420631681118</v>
      </c>
    </row>
    <row r="133" customFormat="false" ht="15" hidden="false" customHeight="false" outlineLevel="0" collapsed="false">
      <c r="A133" s="0" t="n">
        <f aca="false">A132+1</f>
        <v>131</v>
      </c>
      <c r="B133" s="1" t="n">
        <f aca="false">B132+H133*1</f>
        <v>18.9408</v>
      </c>
      <c r="C133" s="1" t="n">
        <f aca="false">B133*$K$1</f>
        <v>42.3705696</v>
      </c>
      <c r="D133" s="1" t="n">
        <v>18.8276171875776</v>
      </c>
      <c r="E133" s="1" t="n">
        <f aca="false">D133*$K$1</f>
        <v>42.1173796486111</v>
      </c>
      <c r="F133" s="2" t="n">
        <v>2</v>
      </c>
      <c r="G133" s="12" t="n">
        <f aca="false">B133*F133+5</f>
        <v>42.8816</v>
      </c>
      <c r="H133" s="3" t="n">
        <v>0</v>
      </c>
      <c r="I133" s="3" t="n">
        <v>0</v>
      </c>
      <c r="J133" s="4" t="n">
        <v>49.2610862753916</v>
      </c>
    </row>
    <row r="134" customFormat="false" ht="15" hidden="false" customHeight="false" outlineLevel="0" collapsed="false">
      <c r="A134" s="0" t="n">
        <f aca="false">A133+1</f>
        <v>132</v>
      </c>
      <c r="B134" s="1" t="n">
        <f aca="false">B133+H134*1</f>
        <v>18.9408</v>
      </c>
      <c r="C134" s="1" t="n">
        <f aca="false">B134*$K$1</f>
        <v>42.3705696</v>
      </c>
      <c r="D134" s="1" t="n">
        <v>19.8855548661584</v>
      </c>
      <c r="E134" s="1" t="n">
        <f aca="false">D134*$K$1</f>
        <v>44.4839862355964</v>
      </c>
      <c r="F134" s="2" t="n">
        <v>2</v>
      </c>
      <c r="G134" s="12" t="n">
        <f aca="false">B134*F134+5</f>
        <v>42.8816</v>
      </c>
      <c r="H134" s="3" t="n">
        <v>0</v>
      </c>
      <c r="I134" s="3" t="n">
        <v>0</v>
      </c>
      <c r="J134" s="4" t="n">
        <v>48.7979891627128</v>
      </c>
    </row>
    <row r="135" customFormat="false" ht="15" hidden="false" customHeight="false" outlineLevel="0" collapsed="false">
      <c r="A135" s="0" t="n">
        <f aca="false">A134+1</f>
        <v>133</v>
      </c>
      <c r="B135" s="1" t="n">
        <f aca="false">B134+H135*1</f>
        <v>18.9408</v>
      </c>
      <c r="C135" s="1" t="n">
        <f aca="false">B135*$K$1</f>
        <v>42.3705696</v>
      </c>
      <c r="D135" s="1" t="n">
        <v>20.4426076473808</v>
      </c>
      <c r="E135" s="1" t="n">
        <f aca="false">D135*$K$1</f>
        <v>45.7301133071909</v>
      </c>
      <c r="F135" s="2" t="n">
        <v>2</v>
      </c>
      <c r="G135" s="12" t="n">
        <f aca="false">B135*F135+5</f>
        <v>42.8816</v>
      </c>
      <c r="H135" s="3" t="n">
        <v>0</v>
      </c>
      <c r="I135" s="3" t="n">
        <v>0</v>
      </c>
      <c r="J135" s="4" t="n">
        <v>47.5357299081254</v>
      </c>
    </row>
    <row r="136" customFormat="false" ht="15" hidden="false" customHeight="false" outlineLevel="0" collapsed="false">
      <c r="A136" s="0" t="n">
        <f aca="false">A135+1</f>
        <v>134</v>
      </c>
      <c r="B136" s="1" t="n">
        <f aca="false">B135+H136*1</f>
        <v>18.9408</v>
      </c>
      <c r="C136" s="1" t="n">
        <f aca="false">B136*$K$1</f>
        <v>42.3705696</v>
      </c>
      <c r="D136" s="1" t="n">
        <v>20.5743326365949</v>
      </c>
      <c r="E136" s="1" t="n">
        <f aca="false">D136*$K$1</f>
        <v>46.0247821080628</v>
      </c>
      <c r="F136" s="2" t="n">
        <v>2</v>
      </c>
      <c r="G136" s="12" t="n">
        <f aca="false">B136*F136+5</f>
        <v>42.8816</v>
      </c>
      <c r="H136" s="3" t="n">
        <v>0</v>
      </c>
      <c r="I136" s="3" t="n">
        <v>0</v>
      </c>
      <c r="J136" s="4" t="n">
        <v>45.9409379158326</v>
      </c>
    </row>
    <row r="137" customFormat="false" ht="15" hidden="false" customHeight="false" outlineLevel="0" collapsed="false">
      <c r="A137" s="0" t="n">
        <f aca="false">A136+1</f>
        <v>135</v>
      </c>
      <c r="B137" s="1" t="n">
        <f aca="false">B136+H137*1</f>
        <v>18.9408</v>
      </c>
      <c r="C137" s="1" t="n">
        <f aca="false">B137*$K$1</f>
        <v>42.3705696</v>
      </c>
      <c r="D137" s="1" t="n">
        <v>20.3998004007226</v>
      </c>
      <c r="E137" s="1" t="n">
        <f aca="false">D137*$K$1</f>
        <v>45.6343534964165</v>
      </c>
      <c r="F137" s="2" t="n">
        <v>2</v>
      </c>
      <c r="G137" s="12" t="n">
        <f aca="false">B137*F137+5</f>
        <v>42.8816</v>
      </c>
      <c r="H137" s="3" t="n">
        <v>0</v>
      </c>
      <c r="I137" s="3" t="n">
        <v>0</v>
      </c>
      <c r="J137" s="4" t="n">
        <v>44.3798594047619</v>
      </c>
    </row>
    <row r="138" customFormat="false" ht="15" hidden="false" customHeight="false" outlineLevel="0" collapsed="false">
      <c r="A138" s="0" t="n">
        <f aca="false">A137+1</f>
        <v>136</v>
      </c>
      <c r="B138" s="1" t="n">
        <f aca="false">B137+H138*1</f>
        <v>18.9408</v>
      </c>
      <c r="C138" s="1" t="n">
        <f aca="false">B138*$K$1</f>
        <v>42.3705696</v>
      </c>
      <c r="D138" s="1" t="n">
        <v>20.0480880643862</v>
      </c>
      <c r="E138" s="1" t="n">
        <f aca="false">D138*$K$1</f>
        <v>44.8475730000319</v>
      </c>
      <c r="F138" s="2" t="n">
        <v>2</v>
      </c>
      <c r="G138" s="12" t="n">
        <f aca="false">B138*F138+5</f>
        <v>42.8816</v>
      </c>
      <c r="H138" s="3" t="n">
        <v>0</v>
      </c>
      <c r="I138" s="3" t="n">
        <v>0</v>
      </c>
      <c r="J138" s="4" t="n">
        <v>43.0925366051092</v>
      </c>
    </row>
    <row r="139" customFormat="false" ht="15" hidden="false" customHeight="false" outlineLevel="0" collapsed="false">
      <c r="A139" s="0" t="n">
        <f aca="false">A138+1</f>
        <v>137</v>
      </c>
      <c r="B139" s="1" t="n">
        <f aca="false">B138+H139*1</f>
        <v>18.9408</v>
      </c>
      <c r="C139" s="1" t="n">
        <f aca="false">B139*$K$1</f>
        <v>42.3705696</v>
      </c>
      <c r="D139" s="1" t="n">
        <v>19.6342122943849</v>
      </c>
      <c r="E139" s="1" t="n">
        <f aca="false">D139*$K$1</f>
        <v>43.921732902539</v>
      </c>
      <c r="F139" s="2" t="n">
        <v>2</v>
      </c>
      <c r="G139" s="12" t="n">
        <f aca="false">B139*F139+5</f>
        <v>42.8816</v>
      </c>
      <c r="H139" s="3" t="n">
        <v>0</v>
      </c>
      <c r="I139" s="3" t="n">
        <v>0</v>
      </c>
      <c r="J139" s="4" t="n">
        <v>42.1958069015868</v>
      </c>
    </row>
    <row r="140" customFormat="false" ht="15" hidden="false" customHeight="false" outlineLevel="0" collapsed="false">
      <c r="A140" s="0" t="n">
        <f aca="false">A139+1</f>
        <v>138</v>
      </c>
      <c r="B140" s="1" t="n">
        <f aca="false">B139+H140*1</f>
        <v>18.9408</v>
      </c>
      <c r="C140" s="1" t="n">
        <f aca="false">B140*$K$1</f>
        <v>42.3705696</v>
      </c>
      <c r="D140" s="1" t="n">
        <v>19.2452612225052</v>
      </c>
      <c r="E140" s="1" t="n">
        <f aca="false">D140*$K$1</f>
        <v>43.0516493547441</v>
      </c>
      <c r="F140" s="2" t="n">
        <v>2</v>
      </c>
      <c r="G140" s="12" t="n">
        <f aca="false">B140*F140+5</f>
        <v>42.8816</v>
      </c>
      <c r="H140" s="3" t="n">
        <v>0</v>
      </c>
      <c r="I140" s="3" t="n">
        <v>0</v>
      </c>
      <c r="J140" s="4" t="n">
        <v>41.7051352165706</v>
      </c>
    </row>
    <row r="141" customFormat="false" ht="15" hidden="false" customHeight="false" outlineLevel="0" collapsed="false">
      <c r="A141" s="0" t="n">
        <f aca="false">A140+1</f>
        <v>139</v>
      </c>
      <c r="B141" s="1" t="n">
        <f aca="false">B140+H141*1</f>
        <v>18.9408</v>
      </c>
      <c r="C141" s="1" t="n">
        <f aca="false">B141*$K$1</f>
        <v>42.3705696</v>
      </c>
      <c r="D141" s="1" t="n">
        <v>18.9355931429756</v>
      </c>
      <c r="E141" s="1" t="n">
        <f aca="false">D141*$K$1</f>
        <v>42.3589218608364</v>
      </c>
      <c r="F141" s="2" t="n">
        <v>2</v>
      </c>
      <c r="G141" s="12" t="n">
        <f aca="false">B141*F141+5</f>
        <v>42.8816</v>
      </c>
      <c r="H141" s="3" t="n">
        <v>0</v>
      </c>
      <c r="I141" s="3" t="n">
        <v>0</v>
      </c>
      <c r="J141" s="4" t="n">
        <v>41.5655562612806</v>
      </c>
    </row>
    <row r="142" customFormat="false" ht="15" hidden="false" customHeight="false" outlineLevel="0" collapsed="false">
      <c r="A142" s="0" t="n">
        <f aca="false">A141+1</f>
        <v>140</v>
      </c>
      <c r="B142" s="1" t="n">
        <f aca="false">B141+H142*1</f>
        <v>18.9408</v>
      </c>
      <c r="C142" s="1" t="n">
        <f aca="false">B142*$K$1</f>
        <v>42.3705696</v>
      </c>
      <c r="D142" s="1" t="n">
        <v>18.7288844400033</v>
      </c>
      <c r="E142" s="1" t="n">
        <f aca="false">D142*$K$1</f>
        <v>41.8965144922874</v>
      </c>
      <c r="F142" s="2" t="n">
        <v>2</v>
      </c>
      <c r="G142" s="12" t="n">
        <f aca="false">B142*F142+5</f>
        <v>42.8816</v>
      </c>
      <c r="H142" s="3" t="n">
        <v>0</v>
      </c>
      <c r="I142" s="3" t="n">
        <v>0</v>
      </c>
      <c r="J142" s="4" t="n">
        <v>41.6837441585424</v>
      </c>
    </row>
    <row r="143" customFormat="false" ht="15" hidden="false" customHeight="false" outlineLevel="0" collapsed="false">
      <c r="A143" s="0" t="n">
        <f aca="false">A142+1</f>
        <v>141</v>
      </c>
      <c r="B143" s="1" t="n">
        <f aca="false">B142+H143*1</f>
        <v>18.9408</v>
      </c>
      <c r="C143" s="1" t="n">
        <f aca="false">B143*$K$1</f>
        <v>42.3705696</v>
      </c>
      <c r="D143" s="1" t="n">
        <v>18.6244385327307</v>
      </c>
      <c r="E143" s="1" t="n">
        <f aca="false">D143*$K$1</f>
        <v>41.6628689977186</v>
      </c>
      <c r="F143" s="2" t="n">
        <v>2</v>
      </c>
      <c r="G143" s="12" t="n">
        <f aca="false">B143*F143+5</f>
        <v>42.8816</v>
      </c>
      <c r="H143" s="3" t="n">
        <v>0</v>
      </c>
      <c r="I143" s="3" t="n">
        <v>0</v>
      </c>
      <c r="J143" s="4" t="n">
        <v>41.9556780090661</v>
      </c>
    </row>
    <row r="144" customFormat="false" ht="15" hidden="false" customHeight="false" outlineLevel="0" collapsed="false">
      <c r="A144" s="0" t="n">
        <f aca="false">A143+1</f>
        <v>142</v>
      </c>
      <c r="B144" s="1" t="n">
        <f aca="false">B138-H144*1</f>
        <v>16.9408</v>
      </c>
      <c r="C144" s="1" t="n">
        <f aca="false">B144*$K$1</f>
        <v>37.8965696</v>
      </c>
      <c r="D144" s="1" t="n">
        <v>18.538668942946</v>
      </c>
      <c r="E144" s="1" t="n">
        <f aca="false">D144*$K$1</f>
        <v>41.4710024253702</v>
      </c>
      <c r="F144" s="2" t="n">
        <v>2</v>
      </c>
      <c r="G144" s="12" t="n">
        <f aca="false">B144*F144+5</f>
        <v>38.8816</v>
      </c>
      <c r="H144" s="3" t="n">
        <v>2</v>
      </c>
      <c r="I144" s="3" t="n">
        <v>0</v>
      </c>
      <c r="J144" s="4" t="n">
        <v>41.2869046789808</v>
      </c>
    </row>
    <row r="145" customFormat="false" ht="15" hidden="false" customHeight="false" outlineLevel="0" collapsed="false">
      <c r="A145" s="0" t="n">
        <f aca="false">A144+1</f>
        <v>143</v>
      </c>
      <c r="B145" s="1" t="n">
        <f aca="false">B144-H145*1</f>
        <v>14.9408</v>
      </c>
      <c r="C145" s="1" t="n">
        <f aca="false">B145*$K$1</f>
        <v>33.4225696</v>
      </c>
      <c r="D145" s="1" t="n">
        <v>18.2081048990608</v>
      </c>
      <c r="E145" s="1" t="n">
        <f aca="false">D145*$K$1</f>
        <v>40.731530659199</v>
      </c>
      <c r="F145" s="2" t="n">
        <v>2</v>
      </c>
      <c r="G145" s="12" t="n">
        <f aca="false">B145*F145+5</f>
        <v>34.8816</v>
      </c>
      <c r="H145" s="3" t="n">
        <v>2</v>
      </c>
      <c r="I145" s="3" t="n">
        <v>0</v>
      </c>
      <c r="J145" s="4" t="n">
        <v>38.8108022453987</v>
      </c>
    </row>
    <row r="146" customFormat="false" ht="15" hidden="false" customHeight="false" outlineLevel="0" collapsed="false">
      <c r="A146" s="0" t="n">
        <f aca="false">A145+1</f>
        <v>144</v>
      </c>
      <c r="B146" s="1" t="n">
        <f aca="false">B145-H146*1</f>
        <v>12.9408</v>
      </c>
      <c r="C146" s="1" t="n">
        <f aca="false">B146*$K$1</f>
        <v>28.9485696</v>
      </c>
      <c r="D146" s="1" t="n">
        <v>17.4448804761101</v>
      </c>
      <c r="E146" s="1" t="n">
        <f aca="false">D146*$K$1</f>
        <v>39.0241976250583</v>
      </c>
      <c r="F146" s="2" t="n">
        <v>2</v>
      </c>
      <c r="G146" s="12" t="n">
        <f aca="false">B146*F146+5</f>
        <v>30.8816</v>
      </c>
      <c r="H146" s="3" t="n">
        <v>2</v>
      </c>
      <c r="I146" s="3" t="n">
        <v>0</v>
      </c>
      <c r="J146" s="4" t="n">
        <v>34.8782094975427</v>
      </c>
    </row>
    <row r="147" customFormat="false" ht="15" hidden="false" customHeight="false" outlineLevel="0" collapsed="false">
      <c r="A147" s="0" t="n">
        <f aca="false">A146+1</f>
        <v>145</v>
      </c>
      <c r="B147" s="1" t="n">
        <f aca="false">B146-H147*1</f>
        <v>10.9408</v>
      </c>
      <c r="C147" s="1" t="n">
        <f aca="false">B147*$K$1</f>
        <v>24.4745696</v>
      </c>
      <c r="D147" s="1" t="n">
        <v>16.1926940040384</v>
      </c>
      <c r="E147" s="1" t="n">
        <f aca="false">D147*$K$1</f>
        <v>36.2230564870339</v>
      </c>
      <c r="F147" s="2" t="n">
        <v>2</v>
      </c>
      <c r="G147" s="12" t="n">
        <f aca="false">B147*F147+5</f>
        <v>26.8816</v>
      </c>
      <c r="H147" s="3" t="n">
        <v>2</v>
      </c>
      <c r="I147" s="3" t="n">
        <v>0</v>
      </c>
      <c r="J147" s="4" t="n">
        <v>29.9585994967083</v>
      </c>
    </row>
    <row r="148" customFormat="false" ht="15" hidden="false" customHeight="false" outlineLevel="0" collapsed="false">
      <c r="A148" s="0" t="n">
        <f aca="false">A147+1</f>
        <v>146</v>
      </c>
      <c r="B148" s="1" t="n">
        <f aca="false">B147-H148*1</f>
        <v>8.9408</v>
      </c>
      <c r="C148" s="1" t="n">
        <f aca="false">B148*$K$1</f>
        <v>20.0005696</v>
      </c>
      <c r="D148" s="1" t="n">
        <v>14.4924794132179</v>
      </c>
      <c r="E148" s="1" t="n">
        <f aca="false">D148*$K$1</f>
        <v>32.4196764473684</v>
      </c>
      <c r="F148" s="2" t="n">
        <v>2</v>
      </c>
      <c r="G148" s="12" t="n">
        <f aca="false">B148*F148+5</f>
        <v>22.8816</v>
      </c>
      <c r="H148" s="3" t="n">
        <v>2</v>
      </c>
      <c r="I148" s="3" t="n">
        <v>0</v>
      </c>
      <c r="J148" s="4" t="n">
        <v>24.5254236304565</v>
      </c>
    </row>
    <row r="149" customFormat="false" ht="15" hidden="false" customHeight="false" outlineLevel="0" collapsed="false">
      <c r="A149" s="0" t="n">
        <f aca="false">A148+1</f>
        <v>147</v>
      </c>
      <c r="B149" s="1" t="n">
        <f aca="false">B148-H149*1</f>
        <v>8.9408</v>
      </c>
      <c r="C149" s="1" t="n">
        <f aca="false">B149*$K$1</f>
        <v>20.0005696</v>
      </c>
      <c r="D149" s="1" t="n">
        <v>12.5104209463103</v>
      </c>
      <c r="E149" s="1" t="n">
        <f aca="false">D149*$K$1</f>
        <v>27.9858116568961</v>
      </c>
      <c r="F149" s="2" t="n">
        <v>2</v>
      </c>
      <c r="G149" s="12" t="n">
        <f aca="false">B149*F149+5</f>
        <v>22.8816</v>
      </c>
      <c r="H149" s="3" t="n">
        <v>0</v>
      </c>
      <c r="I149" s="3" t="n">
        <v>0</v>
      </c>
      <c r="J149" s="4" t="n">
        <v>19.9786265813309</v>
      </c>
    </row>
    <row r="150" customFormat="false" ht="15" hidden="false" customHeight="false" outlineLevel="0" collapsed="false">
      <c r="A150" s="0" t="n">
        <f aca="false">A149+1</f>
        <v>148</v>
      </c>
      <c r="B150" s="1" t="n">
        <f aca="false">B149-H150*1</f>
        <v>8.9408</v>
      </c>
      <c r="C150" s="1" t="n">
        <f aca="false">B150*$K$1</f>
        <v>20.0005696</v>
      </c>
      <c r="D150" s="1" t="n">
        <v>10.6076889682388</v>
      </c>
      <c r="E150" s="1" t="n">
        <f aca="false">D150*$K$1</f>
        <v>23.7294002219502</v>
      </c>
      <c r="F150" s="2" t="n">
        <v>2</v>
      </c>
      <c r="G150" s="12" t="n">
        <f aca="false">B150*F150+5</f>
        <v>22.8816</v>
      </c>
      <c r="H150" s="3" t="n">
        <v>0</v>
      </c>
      <c r="I150" s="3" t="n">
        <v>0</v>
      </c>
      <c r="J150" s="4" t="n">
        <v>17.3983183268761</v>
      </c>
    </row>
    <row r="151" customFormat="false" ht="15" hidden="false" customHeight="false" outlineLevel="0" collapsed="false">
      <c r="A151" s="0" t="n">
        <f aca="false">A150+1</f>
        <v>149</v>
      </c>
      <c r="B151" s="1" t="n">
        <f aca="false">B150-H151*1</f>
        <v>8.9408</v>
      </c>
      <c r="C151" s="1" t="n">
        <f aca="false">B151*$K$1</f>
        <v>20.0005696</v>
      </c>
      <c r="D151" s="1" t="n">
        <v>9.06425179960132</v>
      </c>
      <c r="E151" s="1" t="n">
        <f aca="false">D151*$K$1</f>
        <v>20.2767312757082</v>
      </c>
      <c r="F151" s="2" t="n">
        <v>2</v>
      </c>
      <c r="G151" s="12" t="n">
        <f aca="false">B151*F151+5</f>
        <v>22.8816</v>
      </c>
      <c r="H151" s="3" t="n">
        <v>0</v>
      </c>
      <c r="I151" s="3" t="n">
        <v>0</v>
      </c>
      <c r="J151" s="4" t="n">
        <v>16.5511374904108</v>
      </c>
    </row>
    <row r="152" customFormat="false" ht="15" hidden="false" customHeight="false" outlineLevel="0" collapsed="false">
      <c r="A152" s="0" t="n">
        <f aca="false">A151+1</f>
        <v>150</v>
      </c>
      <c r="B152" s="1" t="n">
        <f aca="false">B151-H152*1</f>
        <v>8.9408</v>
      </c>
      <c r="C152" s="1" t="n">
        <f aca="false">B152*$K$1</f>
        <v>20.0005696</v>
      </c>
      <c r="D152" s="1" t="n">
        <v>8.00994388770756</v>
      </c>
      <c r="E152" s="1" t="n">
        <f aca="false">D152*$K$1</f>
        <v>17.9182444768018</v>
      </c>
      <c r="F152" s="2" t="n">
        <v>2</v>
      </c>
      <c r="G152" s="12" t="n">
        <f aca="false">B152*F152+5</f>
        <v>22.8816</v>
      </c>
      <c r="H152" s="3" t="n">
        <v>0</v>
      </c>
      <c r="I152" s="3" t="n">
        <v>0</v>
      </c>
      <c r="J152" s="4" t="n">
        <v>17.0018391468916</v>
      </c>
    </row>
    <row r="153" customFormat="false" ht="15" hidden="false" customHeight="false" outlineLevel="0" collapsed="false">
      <c r="A153" s="0" t="n">
        <f aca="false">A152+1</f>
        <v>151</v>
      </c>
      <c r="B153" s="1" t="n">
        <f aca="false">B152-H153*1</f>
        <v>8.9408</v>
      </c>
      <c r="C153" s="1" t="n">
        <f aca="false">B153*$K$1</f>
        <v>20.0005696</v>
      </c>
      <c r="D153" s="1" t="n">
        <v>7.45308770171384</v>
      </c>
      <c r="E153" s="1" t="n">
        <f aca="false">D153*$K$1</f>
        <v>16.6725571887339</v>
      </c>
      <c r="F153" s="2" t="n">
        <v>2</v>
      </c>
      <c r="G153" s="12" t="n">
        <f aca="false">B153*F153+5</f>
        <v>22.8816</v>
      </c>
      <c r="H153" s="3" t="n">
        <v>0</v>
      </c>
      <c r="I153" s="3" t="n">
        <v>0</v>
      </c>
      <c r="J153" s="4" t="n">
        <v>18.2498976032464</v>
      </c>
    </row>
    <row r="154" customFormat="false" ht="15" hidden="false" customHeight="false" outlineLevel="0" collapsed="false">
      <c r="A154" s="0" t="n">
        <f aca="false">A153+1</f>
        <v>152</v>
      </c>
      <c r="B154" s="1" t="n">
        <f aca="false">B153-H154*1</f>
        <v>8.9408</v>
      </c>
      <c r="C154" s="1" t="n">
        <f aca="false">B154*$K$1</f>
        <v>20.0005696</v>
      </c>
      <c r="D154" s="1" t="n">
        <v>7.31922668993654</v>
      </c>
      <c r="E154" s="1" t="n">
        <f aca="false">D154*$K$1</f>
        <v>16.373110105388</v>
      </c>
      <c r="F154" s="2" t="n">
        <v>2</v>
      </c>
      <c r="G154" s="12" t="n">
        <f aca="false">B154*F154+5</f>
        <v>22.8816</v>
      </c>
      <c r="H154" s="3" t="n">
        <v>0</v>
      </c>
      <c r="I154" s="3" t="n">
        <v>0</v>
      </c>
      <c r="J154" s="4" t="n">
        <v>19.8315635676054</v>
      </c>
    </row>
    <row r="155" customFormat="false" ht="15" hidden="false" customHeight="false" outlineLevel="0" collapsed="false">
      <c r="A155" s="0" t="n">
        <f aca="false">A154+1</f>
        <v>153</v>
      </c>
      <c r="B155" s="1" t="n">
        <f aca="false">B154-H155*1</f>
        <v>8.9408</v>
      </c>
      <c r="C155" s="1" t="n">
        <f aca="false">B155*$K$1</f>
        <v>20.0005696</v>
      </c>
      <c r="D155" s="1" t="n">
        <v>7.49040319326223</v>
      </c>
      <c r="E155" s="1" t="n">
        <f aca="false">D155*$K$1</f>
        <v>16.7560319433276</v>
      </c>
      <c r="F155" s="2" t="n">
        <v>2</v>
      </c>
      <c r="G155" s="12" t="n">
        <f aca="false">B155*F155+5</f>
        <v>22.8816</v>
      </c>
      <c r="H155" s="3" t="n">
        <v>0</v>
      </c>
      <c r="I155" s="3" t="n">
        <v>0</v>
      </c>
      <c r="J155" s="4" t="n">
        <v>21.3823482177299</v>
      </c>
    </row>
    <row r="156" customFormat="false" ht="15" hidden="false" customHeight="false" outlineLevel="0" collapsed="false">
      <c r="A156" s="0" t="n">
        <f aca="false">A155+1</f>
        <v>154</v>
      </c>
      <c r="B156" s="1" t="n">
        <f aca="false">B155-H156*1</f>
        <v>8.9408</v>
      </c>
      <c r="C156" s="1" t="n">
        <f aca="false">B156*$K$1</f>
        <v>20.0005696</v>
      </c>
      <c r="D156" s="1" t="n">
        <v>7.83848222039744</v>
      </c>
      <c r="E156" s="1" t="n">
        <f aca="false">D156*$K$1</f>
        <v>17.5346847270291</v>
      </c>
      <c r="F156" s="2" t="n">
        <v>2</v>
      </c>
      <c r="G156" s="12" t="n">
        <f aca="false">B156*F156+5</f>
        <v>22.8816</v>
      </c>
      <c r="H156" s="3" t="n">
        <v>0</v>
      </c>
      <c r="I156" s="3" t="n">
        <v>0</v>
      </c>
      <c r="J156" s="4" t="n">
        <v>22.6629315055388</v>
      </c>
    </row>
    <row r="157" customFormat="false" ht="15" hidden="false" customHeight="false" outlineLevel="0" collapsed="false">
      <c r="A157" s="0" t="n">
        <f aca="false">A156+1</f>
        <v>155</v>
      </c>
      <c r="B157" s="1" t="n">
        <f aca="false">B156-H157*1</f>
        <v>8.9408</v>
      </c>
      <c r="C157" s="1" t="n">
        <f aca="false">B157*$K$1</f>
        <v>20.0005696</v>
      </c>
      <c r="D157" s="1" t="n">
        <v>8.2491232022357</v>
      </c>
      <c r="E157" s="1" t="n">
        <f aca="false">D157*$K$1</f>
        <v>18.4532886034013</v>
      </c>
      <c r="F157" s="2" t="n">
        <v>2</v>
      </c>
      <c r="G157" s="12" t="n">
        <f aca="false">B157*F157+5</f>
        <v>22.8816</v>
      </c>
      <c r="H157" s="3" t="n">
        <v>0</v>
      </c>
      <c r="I157" s="3" t="n">
        <v>0</v>
      </c>
      <c r="J157" s="4" t="n">
        <v>23.5563882135436</v>
      </c>
    </row>
    <row r="158" customFormat="false" ht="15" hidden="false" customHeight="false" outlineLevel="0" collapsed="false">
      <c r="A158" s="0" t="n">
        <f aca="false">A157+1</f>
        <v>156</v>
      </c>
      <c r="B158" s="1" t="n">
        <f aca="false">B157-H158*1</f>
        <v>8.9408</v>
      </c>
      <c r="C158" s="1" t="n">
        <f aca="false">B158*$K$1</f>
        <v>20.0005696</v>
      </c>
      <c r="D158" s="1" t="n">
        <v>8.6356270250814</v>
      </c>
      <c r="E158" s="1" t="n">
        <f aca="false">D158*$K$1</f>
        <v>19.3178976551071</v>
      </c>
      <c r="F158" s="2" t="n">
        <v>2</v>
      </c>
      <c r="G158" s="12" t="n">
        <f aca="false">B158*F158+5</f>
        <v>22.8816</v>
      </c>
      <c r="H158" s="3" t="n">
        <v>0</v>
      </c>
      <c r="I158" s="3" t="n">
        <v>0</v>
      </c>
      <c r="J158" s="4" t="n">
        <v>24.0466368279297</v>
      </c>
    </row>
    <row r="159" customFormat="false" ht="15" hidden="false" customHeight="false" outlineLevel="0" collapsed="false">
      <c r="A159" s="0" t="n">
        <f aca="false">A158+1</f>
        <v>157</v>
      </c>
      <c r="B159" s="1" t="n">
        <f aca="false">B158-H159*1</f>
        <v>8.9408</v>
      </c>
      <c r="C159" s="1" t="n">
        <f aca="false">B159*$K$1</f>
        <v>20.0005696</v>
      </c>
      <c r="D159" s="1" t="n">
        <v>8.94376941698003</v>
      </c>
      <c r="E159" s="1" t="n">
        <f aca="false">D159*$K$1</f>
        <v>20.0072121857843</v>
      </c>
      <c r="F159" s="2" t="n">
        <v>2</v>
      </c>
      <c r="G159" s="12" t="n">
        <f aca="false">B159*F159+5</f>
        <v>22.8816</v>
      </c>
      <c r="H159" s="3" t="n">
        <v>0</v>
      </c>
      <c r="I159" s="3" t="n">
        <v>0</v>
      </c>
      <c r="J159" s="4" t="n">
        <v>24.1877708629445</v>
      </c>
    </row>
    <row r="160" customFormat="false" ht="15" hidden="false" customHeight="false" outlineLevel="0" collapsed="false">
      <c r="A160" s="0" t="n">
        <f aca="false">A159+1</f>
        <v>158</v>
      </c>
      <c r="B160" s="1" t="n">
        <f aca="false">B159-H160*1</f>
        <v>8.9408</v>
      </c>
      <c r="C160" s="1" t="n">
        <f aca="false">B160*$K$1</f>
        <v>20.0005696</v>
      </c>
      <c r="D160" s="1" t="n">
        <v>9.14981554944062</v>
      </c>
      <c r="E160" s="1" t="n">
        <f aca="false">D160*$K$1</f>
        <v>20.4681373840987</v>
      </c>
      <c r="F160" s="2" t="n">
        <v>2</v>
      </c>
      <c r="G160" s="12" t="n">
        <f aca="false">B160*F160+5</f>
        <v>22.8816</v>
      </c>
      <c r="H160" s="3" t="n">
        <v>0</v>
      </c>
      <c r="I160" s="3" t="n">
        <v>0</v>
      </c>
      <c r="J160" s="4" t="n">
        <v>24.0722136506852</v>
      </c>
    </row>
    <row r="161" customFormat="false" ht="15" hidden="false" customHeight="false" outlineLevel="0" collapsed="false">
      <c r="A161" s="0" t="n">
        <f aca="false">A160+1</f>
        <v>159</v>
      </c>
      <c r="B161" s="1" t="n">
        <f aca="false">B155-H161*1</f>
        <v>8.04672</v>
      </c>
      <c r="C161" s="1" t="n">
        <f aca="false">B161*$K$1</f>
        <v>18.00051264</v>
      </c>
      <c r="D161" s="1" t="n">
        <v>9.224481300042</v>
      </c>
      <c r="E161" s="1" t="n">
        <f aca="false">D161*$K$1</f>
        <v>20.6351646681939</v>
      </c>
      <c r="F161" s="2" t="n">
        <v>2</v>
      </c>
      <c r="G161" s="12" t="n">
        <f aca="false">B161*F161+5</f>
        <v>21.09344</v>
      </c>
      <c r="H161" s="3" t="n">
        <v>0.89408</v>
      </c>
      <c r="I161" s="3" t="n">
        <v>0</v>
      </c>
      <c r="J161" s="4" t="n">
        <v>23.3561681317362</v>
      </c>
    </row>
    <row r="162" customFormat="false" ht="15" hidden="false" customHeight="false" outlineLevel="0" collapsed="false">
      <c r="A162" s="0" t="n">
        <f aca="false">A161+1</f>
        <v>160</v>
      </c>
      <c r="B162" s="1" t="n">
        <f aca="false">B161-H162*1</f>
        <v>7.15264</v>
      </c>
      <c r="C162" s="1" t="n">
        <f aca="false">B162*$K$1</f>
        <v>16.00045568</v>
      </c>
      <c r="D162" s="1" t="n">
        <v>9.07788259839384</v>
      </c>
      <c r="E162" s="1" t="n">
        <f aca="false">D162*$K$1</f>
        <v>20.307223372607</v>
      </c>
      <c r="F162" s="2" t="n">
        <v>2</v>
      </c>
      <c r="G162" s="12" t="n">
        <f aca="false">B162*F162+5</f>
        <v>19.30528</v>
      </c>
      <c r="H162" s="3" t="n">
        <v>0.89408</v>
      </c>
      <c r="I162" s="3" t="n">
        <v>0</v>
      </c>
      <c r="J162" s="4" t="n">
        <v>21.7786677289525</v>
      </c>
    </row>
    <row r="163" customFormat="false" ht="15" hidden="false" customHeight="false" outlineLevel="0" collapsed="false">
      <c r="A163" s="0" t="n">
        <f aca="false">A162+1</f>
        <v>161</v>
      </c>
      <c r="B163" s="1" t="n">
        <f aca="false">B162-H163*1</f>
        <v>6.25856</v>
      </c>
      <c r="C163" s="1" t="n">
        <f aca="false">B163*$K$1</f>
        <v>14.00039872</v>
      </c>
      <c r="D163" s="1" t="n">
        <v>8.66272610830318</v>
      </c>
      <c r="E163" s="1" t="n">
        <f aca="false">D163*$K$1</f>
        <v>19.3785183042742</v>
      </c>
      <c r="F163" s="2" t="n">
        <v>2</v>
      </c>
      <c r="G163" s="12" t="n">
        <f aca="false">B163*F163+5</f>
        <v>17.51712</v>
      </c>
      <c r="H163" s="3" t="n">
        <v>0.89408</v>
      </c>
      <c r="I163" s="3" t="n">
        <v>0</v>
      </c>
      <c r="J163" s="4" t="n">
        <v>19.589908331051</v>
      </c>
    </row>
    <row r="164" customFormat="false" ht="15" hidden="false" customHeight="false" outlineLevel="0" collapsed="false">
      <c r="A164" s="0" t="n">
        <f aca="false">A163+1</f>
        <v>162</v>
      </c>
      <c r="B164" s="1" t="n">
        <f aca="false">B163-H164*1</f>
        <v>5.36448</v>
      </c>
      <c r="C164" s="1" t="n">
        <f aca="false">B164*$K$1</f>
        <v>12.00034176</v>
      </c>
      <c r="D164" s="1" t="n">
        <v>7.99052274907546</v>
      </c>
      <c r="E164" s="1" t="n">
        <f aca="false">D164*$K$1</f>
        <v>17.8747993896818</v>
      </c>
      <c r="F164" s="2" t="n">
        <v>2</v>
      </c>
      <c r="G164" s="12" t="n">
        <f aca="false">B164*F164+5</f>
        <v>15.72896</v>
      </c>
      <c r="H164" s="3" t="n">
        <v>0.89408</v>
      </c>
      <c r="I164" s="3" t="n">
        <v>0</v>
      </c>
      <c r="J164" s="4" t="n">
        <v>17.055921563106</v>
      </c>
    </row>
    <row r="165" customFormat="false" ht="15" hidden="false" customHeight="false" outlineLevel="0" collapsed="false">
      <c r="A165" s="0" t="n">
        <f aca="false">A164+1</f>
        <v>163</v>
      </c>
      <c r="B165" s="1" t="n">
        <f aca="false">B164-H165*1</f>
        <v>4.4704</v>
      </c>
      <c r="C165" s="1" t="n">
        <f aca="false">B165*$K$1</f>
        <v>10.0002848</v>
      </c>
      <c r="D165" s="1" t="n">
        <v>7.11034337979513</v>
      </c>
      <c r="E165" s="1" t="n">
        <f aca="false">D165*$K$1</f>
        <v>15.9058381406017</v>
      </c>
      <c r="F165" s="2" t="n">
        <v>2</v>
      </c>
      <c r="G165" s="12" t="n">
        <f aca="false">B165*F165+5</f>
        <v>13.9408</v>
      </c>
      <c r="H165" s="3" t="n">
        <v>0.89408</v>
      </c>
      <c r="I165" s="3" t="n">
        <v>0</v>
      </c>
      <c r="J165" s="4" t="n">
        <v>14.410550980037</v>
      </c>
    </row>
    <row r="166" customFormat="false" ht="15" hidden="false" customHeight="false" outlineLevel="0" collapsed="false">
      <c r="A166" s="0" t="n">
        <f aca="false">A165+1</f>
        <v>164</v>
      </c>
      <c r="B166" s="1" t="n">
        <f aca="false">B165-H166*1</f>
        <v>3.57632</v>
      </c>
      <c r="C166" s="1" t="n">
        <f aca="false">B166*$K$1</f>
        <v>8.00022783999999</v>
      </c>
      <c r="D166" s="1" t="n">
        <v>6.08853740985712</v>
      </c>
      <c r="E166" s="1" t="n">
        <f aca="false">D166*$K$1</f>
        <v>13.6200581858504</v>
      </c>
      <c r="F166" s="2" t="n">
        <v>2</v>
      </c>
      <c r="G166" s="12" t="n">
        <f aca="false">B166*F166+5</f>
        <v>12.15264</v>
      </c>
      <c r="H166" s="3" t="n">
        <v>0.89408</v>
      </c>
      <c r="I166" s="3" t="n">
        <v>0</v>
      </c>
      <c r="J166" s="4" t="n">
        <v>11.8284441471296</v>
      </c>
    </row>
    <row r="167" customFormat="false" ht="15" hidden="false" customHeight="false" outlineLevel="0" collapsed="false">
      <c r="A167" s="0" t="n">
        <f aca="false">A166+1</f>
        <v>165</v>
      </c>
      <c r="B167" s="1" t="n">
        <f aca="false">B166-H167*1</f>
        <v>2.68224</v>
      </c>
      <c r="C167" s="1" t="n">
        <f aca="false">B167*$K$1</f>
        <v>6.00017087999999</v>
      </c>
      <c r="D167" s="1" t="n">
        <v>4.9923598342861</v>
      </c>
      <c r="E167" s="1" t="n">
        <f aca="false">D167*$K$1</f>
        <v>11.167908949298</v>
      </c>
      <c r="F167" s="2" t="n">
        <v>2</v>
      </c>
      <c r="G167" s="12" t="n">
        <f aca="false">B167*F167+5</f>
        <v>10.36448</v>
      </c>
      <c r="H167" s="3" t="n">
        <v>0.89408</v>
      </c>
      <c r="I167" s="3" t="n">
        <v>0</v>
      </c>
      <c r="J167" s="4" t="n">
        <v>9.41647530922523</v>
      </c>
    </row>
    <row r="168" customFormat="false" ht="15" hidden="false" customHeight="false" outlineLevel="0" collapsed="false">
      <c r="A168" s="0" t="n">
        <f aca="false">A167+1</f>
        <v>166</v>
      </c>
      <c r="B168" s="1" t="n">
        <f aca="false">B167-H168*1</f>
        <v>1.78816</v>
      </c>
      <c r="C168" s="1" t="n">
        <f aca="false">B168*$K$1</f>
        <v>4.00011391999999</v>
      </c>
      <c r="D168" s="1" t="n">
        <v>3.87885201029826</v>
      </c>
      <c r="E168" s="1" t="n">
        <f aca="false">D168*$K$1</f>
        <v>8.67699194703721</v>
      </c>
      <c r="F168" s="2" t="n">
        <v>2</v>
      </c>
      <c r="G168" s="12" t="n">
        <f aca="false">B168*F168+5</f>
        <v>8.57631999999999</v>
      </c>
      <c r="H168" s="3" t="n">
        <v>0.89408</v>
      </c>
      <c r="I168" s="3" t="n">
        <v>0</v>
      </c>
      <c r="J168" s="4" t="n">
        <v>7.21890064722538</v>
      </c>
    </row>
    <row r="169" customFormat="false" ht="15" hidden="false" customHeight="false" outlineLevel="0" collapsed="false">
      <c r="A169" s="0" t="n">
        <f aca="false">A168+1</f>
        <v>167</v>
      </c>
      <c r="B169" s="1" t="n">
        <f aca="false">B168-H169*1</f>
        <v>0.894079999999997</v>
      </c>
      <c r="C169" s="1" t="n">
        <f aca="false">B169*$K$1</f>
        <v>2.00005695999999</v>
      </c>
      <c r="D169" s="1" t="n">
        <v>2.78903256749752</v>
      </c>
      <c r="E169" s="1" t="n">
        <f aca="false">D169*$K$1</f>
        <v>6.23906585349195</v>
      </c>
      <c r="F169" s="2" t="n">
        <v>2</v>
      </c>
      <c r="G169" s="12" t="n">
        <f aca="false">B169*F169+5</f>
        <v>6.78815999999999</v>
      </c>
      <c r="H169" s="3" t="n">
        <v>0.89408</v>
      </c>
      <c r="I169" s="3" t="n">
        <v>0</v>
      </c>
      <c r="J169" s="4" t="n">
        <v>5.23088799629591</v>
      </c>
    </row>
    <row r="170" customFormat="false" ht="15" hidden="false" customHeight="false" outlineLevel="0" collapsed="false">
      <c r="A170" s="0" t="n">
        <f aca="false">A169+1</f>
        <v>168</v>
      </c>
      <c r="B170" s="1" t="n">
        <f aca="false">B169-H170*1</f>
        <v>-3.33066907387547E-015</v>
      </c>
      <c r="C170" s="1" t="n">
        <f aca="false">B170*$K$1</f>
        <v>-7.45070671825942E-015</v>
      </c>
      <c r="D170" s="1" t="n">
        <v>1.74658190564081</v>
      </c>
      <c r="E170" s="1" t="n">
        <f aca="false">D170*$K$1</f>
        <v>3.90710372291849</v>
      </c>
      <c r="F170" s="2" t="n">
        <v>2</v>
      </c>
      <c r="G170" s="12" t="n">
        <f aca="false">B170*F170+5</f>
        <v>4.99999999999999</v>
      </c>
      <c r="H170" s="3" t="n">
        <v>0.89408</v>
      </c>
      <c r="I170" s="3" t="n">
        <v>0</v>
      </c>
      <c r="J170" s="4" t="n">
        <v>3.41548253306883</v>
      </c>
    </row>
    <row r="171" customFormat="false" ht="15" hidden="false" customHeight="false" outlineLevel="0" collapsed="false">
      <c r="A171" s="0" t="n">
        <f aca="false">A170+1</f>
        <v>169</v>
      </c>
      <c r="B171" s="0" t="n">
        <v>0</v>
      </c>
      <c r="C171" s="1" t="n">
        <f aca="false">B171*$K$1</f>
        <v>0</v>
      </c>
      <c r="D171" s="1" t="n">
        <v>2.74658190564081</v>
      </c>
      <c r="E171" s="1" t="n">
        <f aca="false">D171*$K$1</f>
        <v>6.14410372291849</v>
      </c>
      <c r="F171" s="2" t="n">
        <v>2</v>
      </c>
      <c r="G171" s="12" t="n">
        <f aca="false">B171*F171+5</f>
        <v>5</v>
      </c>
      <c r="H171" s="3" t="n">
        <v>0.89408</v>
      </c>
      <c r="I171" s="3" t="n">
        <v>0</v>
      </c>
      <c r="J171" s="4" t="n">
        <v>2.16718573506114</v>
      </c>
    </row>
    <row r="172" customFormat="false" ht="15" hidden="false" customHeight="false" outlineLevel="0" collapsed="false">
      <c r="A172" s="0" t="n">
        <f aca="false">A171+1</f>
        <v>170</v>
      </c>
      <c r="B172" s="0" t="n">
        <v>0</v>
      </c>
      <c r="C172" s="1" t="n">
        <f aca="false">B172*$K$1</f>
        <v>0</v>
      </c>
      <c r="D172" s="1" t="n">
        <v>3.74658190564081</v>
      </c>
      <c r="E172" s="1" t="n">
        <f aca="false">D172*$K$1</f>
        <v>8.38110372291849</v>
      </c>
      <c r="F172" s="2" t="n">
        <v>2</v>
      </c>
      <c r="G172" s="12" t="n">
        <f aca="false">B172*F172+5</f>
        <v>5</v>
      </c>
      <c r="H172" s="3" t="n">
        <v>0.89408</v>
      </c>
      <c r="I172" s="3" t="n">
        <v>0</v>
      </c>
      <c r="J172" s="4" t="n">
        <v>1.78631782062212</v>
      </c>
    </row>
    <row r="173" customFormat="false" ht="15" hidden="false" customHeight="false" outlineLevel="0" collapsed="false">
      <c r="A173" s="0" t="n">
        <f aca="false">A172+1</f>
        <v>171</v>
      </c>
      <c r="B173" s="0" t="n">
        <v>0</v>
      </c>
      <c r="C173" s="1" t="n">
        <f aca="false">B173*$K$1</f>
        <v>0</v>
      </c>
      <c r="D173" s="1" t="n">
        <v>4.74658190564081</v>
      </c>
      <c r="E173" s="1" t="n">
        <f aca="false">D173*$K$1</f>
        <v>10.6181037229185</v>
      </c>
      <c r="F173" s="2" t="n">
        <v>2</v>
      </c>
      <c r="G173" s="12" t="n">
        <f aca="false">B173*F173+5</f>
        <v>5</v>
      </c>
      <c r="H173" s="3" t="n">
        <v>0.89408</v>
      </c>
      <c r="I173" s="3" t="n">
        <v>0</v>
      </c>
      <c r="J173" s="4" t="n">
        <v>2.04809743571582</v>
      </c>
    </row>
    <row r="174" customFormat="false" ht="15" hidden="false" customHeight="false" outlineLevel="0" collapsed="false">
      <c r="A174" s="0" t="n">
        <f aca="false">A173+1</f>
        <v>172</v>
      </c>
      <c r="B174" s="0" t="n">
        <v>0</v>
      </c>
      <c r="C174" s="1" t="n">
        <f aca="false">B174*$K$1</f>
        <v>0</v>
      </c>
      <c r="D174" s="1" t="n">
        <v>5.74658190564081</v>
      </c>
      <c r="E174" s="1" t="n">
        <f aca="false">D174*$K$1</f>
        <v>12.8551037229185</v>
      </c>
      <c r="F174" s="2" t="n">
        <v>2</v>
      </c>
      <c r="G174" s="12" t="n">
        <f aca="false">B174*F174+5</f>
        <v>5</v>
      </c>
      <c r="H174" s="3" t="n">
        <v>0.89408</v>
      </c>
      <c r="I174" s="3" t="n">
        <v>0</v>
      </c>
      <c r="J174" s="4" t="n">
        <v>2.69847627475224</v>
      </c>
    </row>
    <row r="175" customFormat="false" ht="15" hidden="false" customHeight="false" outlineLevel="0" collapsed="false">
      <c r="A175" s="0" t="n">
        <f aca="false">A174+1</f>
        <v>173</v>
      </c>
      <c r="B175" s="0" t="n">
        <v>0</v>
      </c>
      <c r="C175" s="1" t="n">
        <f aca="false">B175*$K$1</f>
        <v>0</v>
      </c>
      <c r="D175" s="1" t="n">
        <v>6.74658190564081</v>
      </c>
      <c r="E175" s="1" t="n">
        <f aca="false">D175*$K$1</f>
        <v>15.0921037229185</v>
      </c>
      <c r="F175" s="2" t="n">
        <v>2</v>
      </c>
      <c r="G175" s="12" t="n">
        <f aca="false">B175*F175+5</f>
        <v>5</v>
      </c>
      <c r="H175" s="3" t="n">
        <v>0.89408</v>
      </c>
      <c r="I175" s="3" t="n">
        <v>0</v>
      </c>
      <c r="J175" s="4" t="n">
        <v>3.50466422044406</v>
      </c>
    </row>
    <row r="176" customFormat="false" ht="15" hidden="false" customHeight="false" outlineLevel="0" collapsed="false">
      <c r="A176" s="0" t="n">
        <f aca="false">A175+1</f>
        <v>174</v>
      </c>
      <c r="B176" s="0" t="n">
        <v>0</v>
      </c>
      <c r="C176" s="1" t="n">
        <f aca="false">B176*$K$1</f>
        <v>0</v>
      </c>
      <c r="D176" s="1" t="n">
        <v>7.74658190564081</v>
      </c>
      <c r="E176" s="1" t="n">
        <f aca="false">D176*$K$1</f>
        <v>17.3291037229185</v>
      </c>
      <c r="F176" s="2" t="n">
        <v>2</v>
      </c>
      <c r="G176" s="12" t="n">
        <f aca="false">B176*F176+5</f>
        <v>5</v>
      </c>
      <c r="H176" s="3" t="n">
        <v>0.89408</v>
      </c>
      <c r="I176" s="3" t="n">
        <v>0</v>
      </c>
      <c r="J176" s="4" t="n">
        <v>4.28557220902303</v>
      </c>
    </row>
    <row r="177" customFormat="false" ht="15" hidden="false" customHeight="false" outlineLevel="0" collapsed="false">
      <c r="A177" s="0" t="n">
        <f aca="false">A176+1</f>
        <v>175</v>
      </c>
      <c r="B177" s="0" t="n">
        <v>0</v>
      </c>
      <c r="C177" s="1" t="n">
        <f aca="false">B177*$K$1</f>
        <v>0</v>
      </c>
      <c r="D177" s="1" t="n">
        <v>8.74658190564081</v>
      </c>
      <c r="E177" s="1" t="n">
        <f aca="false">D177*$K$1</f>
        <v>19.5661037229185</v>
      </c>
      <c r="F177" s="2" t="n">
        <v>2</v>
      </c>
      <c r="G177" s="12" t="n">
        <f aca="false">B177*F177+5</f>
        <v>5</v>
      </c>
      <c r="H177" s="3" t="n">
        <v>0.89408</v>
      </c>
      <c r="I177" s="3" t="n">
        <v>0</v>
      </c>
      <c r="J177" s="4" t="n">
        <v>4.92389758996114</v>
      </c>
    </row>
    <row r="178" customFormat="false" ht="15" hidden="false" customHeight="false" outlineLevel="0" collapsed="false">
      <c r="A178" s="0" t="n">
        <f aca="false">A177+1</f>
        <v>176</v>
      </c>
      <c r="B178" s="0" t="n">
        <v>0</v>
      </c>
      <c r="C178" s="1" t="n">
        <f aca="false">B178*$K$1</f>
        <v>0</v>
      </c>
      <c r="D178" s="1" t="n">
        <v>9.74658190564081</v>
      </c>
      <c r="E178" s="1" t="n">
        <f aca="false">D178*$K$1</f>
        <v>21.8031037229185</v>
      </c>
      <c r="F178" s="2" t="n">
        <v>2</v>
      </c>
      <c r="G178" s="12" t="n">
        <f aca="false">B178*F178+5</f>
        <v>5</v>
      </c>
      <c r="H178" s="3" t="n">
        <v>0.89408</v>
      </c>
      <c r="I178" s="3" t="n">
        <v>0</v>
      </c>
      <c r="J178" s="4" t="n">
        <v>5.36396147746723</v>
      </c>
    </row>
    <row r="179" customFormat="false" ht="15" hidden="false" customHeight="false" outlineLevel="0" collapsed="false">
      <c r="A179" s="0" t="n">
        <f aca="false">A178+1</f>
        <v>177</v>
      </c>
      <c r="B179" s="0" t="n">
        <v>0</v>
      </c>
      <c r="C179" s="1" t="n">
        <f aca="false">B179*$K$1</f>
        <v>0</v>
      </c>
      <c r="D179" s="1" t="n">
        <v>10.7465819056408</v>
      </c>
      <c r="E179" s="1" t="n">
        <f aca="false">D179*$K$1</f>
        <v>24.0401037229185</v>
      </c>
      <c r="F179" s="2" t="n">
        <v>2</v>
      </c>
      <c r="G179" s="12" t="n">
        <f aca="false">B179*F179+5</f>
        <v>5</v>
      </c>
      <c r="H179" s="3" t="n">
        <v>0.89408</v>
      </c>
      <c r="I179" s="3" t="n">
        <v>0</v>
      </c>
      <c r="J179" s="4" t="n">
        <v>5.60034471636322</v>
      </c>
    </row>
    <row r="180" customFormat="false" ht="15" hidden="false" customHeight="false" outlineLevel="0" collapsed="false">
      <c r="A180" s="0" t="n">
        <f aca="false">A179+1</f>
        <v>178</v>
      </c>
      <c r="B180" s="0" t="n">
        <v>0</v>
      </c>
      <c r="C180" s="1" t="n">
        <f aca="false">B180*$K$1</f>
        <v>0</v>
      </c>
      <c r="D180" s="1" t="n">
        <v>11.7465819056408</v>
      </c>
      <c r="E180" s="1" t="n">
        <f aca="false">D180*$K$1</f>
        <v>26.2771037229185</v>
      </c>
      <c r="F180" s="2" t="n">
        <v>2</v>
      </c>
      <c r="G180" s="12" t="n">
        <f aca="false">B180*F180+5</f>
        <v>5</v>
      </c>
      <c r="H180" s="3" t="n">
        <v>0.89408</v>
      </c>
      <c r="I180" s="3" t="n">
        <v>0</v>
      </c>
      <c r="J180" s="4" t="n">
        <v>5.66218522166628</v>
      </c>
    </row>
    <row r="181" customFormat="false" ht="15" hidden="false" customHeight="false" outlineLevel="0" collapsed="false">
      <c r="A181" s="0" t="n">
        <f aca="false">A180+1</f>
        <v>179</v>
      </c>
      <c r="B181" s="0" t="n">
        <v>0</v>
      </c>
      <c r="C181" s="1" t="n">
        <f aca="false">B181*$K$1</f>
        <v>0</v>
      </c>
      <c r="D181" s="1" t="n">
        <v>12.7465819056408</v>
      </c>
      <c r="E181" s="1" t="n">
        <f aca="false">D181*$K$1</f>
        <v>28.5141037229185</v>
      </c>
      <c r="F181" s="2" t="n">
        <v>2</v>
      </c>
      <c r="G181" s="12" t="n">
        <f aca="false">B181*F181+5</f>
        <v>5</v>
      </c>
      <c r="H181" s="3" t="n">
        <v>0.89408</v>
      </c>
      <c r="I181" s="3" t="n">
        <v>0</v>
      </c>
      <c r="J181" s="4" t="n">
        <v>5.59709385800124</v>
      </c>
    </row>
    <row r="182" customFormat="false" ht="15" hidden="false" customHeight="false" outlineLevel="0" collapsed="false">
      <c r="A182" s="0" t="n">
        <f aca="false">A181+1</f>
        <v>180</v>
      </c>
      <c r="B182" s="0" t="n">
        <v>0</v>
      </c>
      <c r="C182" s="1" t="n">
        <f aca="false">B182*$K$1</f>
        <v>0</v>
      </c>
      <c r="D182" s="1" t="n">
        <v>13.7465819056408</v>
      </c>
      <c r="E182" s="1" t="n">
        <f aca="false">D182*$K$1</f>
        <v>30.7511037229185</v>
      </c>
      <c r="F182" s="2" t="n">
        <v>2</v>
      </c>
      <c r="G182" s="12" t="n">
        <f aca="false">B182*F182+5</f>
        <v>5</v>
      </c>
      <c r="H182" s="3" t="n">
        <v>0.89408</v>
      </c>
      <c r="I182" s="3" t="n">
        <v>0</v>
      </c>
      <c r="J182" s="4" t="n">
        <v>5.45740241222211</v>
      </c>
    </row>
    <row r="183" customFormat="false" ht="15" hidden="false" customHeight="false" outlineLevel="0" collapsed="false">
      <c r="A183" s="0" t="n">
        <f aca="false">A182+1</f>
        <v>181</v>
      </c>
      <c r="B183" s="0" t="n">
        <v>0</v>
      </c>
      <c r="C183" s="1" t="n">
        <f aca="false">B183*$K$1</f>
        <v>0</v>
      </c>
      <c r="D183" s="1" t="n">
        <v>14.7465819056408</v>
      </c>
      <c r="E183" s="1" t="n">
        <f aca="false">D183*$K$1</f>
        <v>32.9881037229185</v>
      </c>
      <c r="F183" s="2" t="n">
        <v>2</v>
      </c>
      <c r="G183" s="12" t="n">
        <f aca="false">B183*F183+5</f>
        <v>5</v>
      </c>
      <c r="H183" s="3" t="n">
        <v>0.89408</v>
      </c>
      <c r="I183" s="3" t="n">
        <v>0</v>
      </c>
      <c r="J183" s="4" t="n">
        <v>5.29018713512892</v>
      </c>
    </row>
    <row r="184" customFormat="false" ht="15" hidden="false" customHeight="false" outlineLevel="0" collapsed="false">
      <c r="A184" s="0" t="n">
        <f aca="false">A183+1</f>
        <v>182</v>
      </c>
      <c r="B184" s="0" t="n">
        <v>0</v>
      </c>
      <c r="C184" s="1" t="n">
        <f aca="false">B184*$K$1</f>
        <v>0</v>
      </c>
      <c r="D184" s="1" t="n">
        <v>15.7465819056408</v>
      </c>
      <c r="E184" s="1" t="n">
        <f aca="false">D184*$K$1</f>
        <v>35.2251037229185</v>
      </c>
      <c r="F184" s="2" t="n">
        <v>2</v>
      </c>
      <c r="G184" s="12" t="n">
        <f aca="false">B184*F184+5</f>
        <v>5</v>
      </c>
      <c r="H184" s="3" t="n">
        <v>0.89408</v>
      </c>
      <c r="I184" s="3" t="n">
        <v>0</v>
      </c>
      <c r="J184" s="4" t="n">
        <v>5.13142785478522</v>
      </c>
    </row>
    <row r="185" customFormat="false" ht="15" hidden="false" customHeight="false" outlineLevel="0" collapsed="false">
      <c r="A185" s="0" t="n">
        <f aca="false">A184+1</f>
        <v>183</v>
      </c>
      <c r="B185" s="0" t="n">
        <v>0</v>
      </c>
      <c r="C185" s="1" t="n">
        <f aca="false">B185*$K$1</f>
        <v>0</v>
      </c>
      <c r="D185" s="1" t="n">
        <v>16.7465819056408</v>
      </c>
      <c r="E185" s="1" t="n">
        <f aca="false">D185*$K$1</f>
        <v>37.4621037229185</v>
      </c>
      <c r="F185" s="2" t="n">
        <v>2</v>
      </c>
      <c r="G185" s="12" t="n">
        <f aca="false">B185*F185+5</f>
        <v>5</v>
      </c>
      <c r="H185" s="3" t="n">
        <v>0.89408</v>
      </c>
      <c r="I185" s="3" t="n">
        <v>0</v>
      </c>
      <c r="J185" s="4" t="n">
        <v>5.0038785755894</v>
      </c>
    </row>
    <row r="186" customFormat="false" ht="15" hidden="false" customHeight="false" outlineLevel="0" collapsed="false">
      <c r="A186" s="0" t="n">
        <f aca="false">A185+1</f>
        <v>184</v>
      </c>
      <c r="B186" s="0" t="n">
        <v>0</v>
      </c>
      <c r="C186" s="1" t="n">
        <f aca="false">B186*$K$1</f>
        <v>0</v>
      </c>
      <c r="D186" s="1" t="n">
        <v>17.7465819056408</v>
      </c>
      <c r="E186" s="1" t="n">
        <f aca="false">D186*$K$1</f>
        <v>39.6991037229185</v>
      </c>
      <c r="F186" s="2" t="n">
        <v>2</v>
      </c>
      <c r="G186" s="12" t="n">
        <f aca="false">B186*F186+5</f>
        <v>5</v>
      </c>
      <c r="H186" s="3" t="n">
        <v>0.89408</v>
      </c>
      <c r="I186" s="3" t="n">
        <v>0</v>
      </c>
      <c r="J186" s="4" t="n">
        <v>4.91776819452684</v>
      </c>
    </row>
    <row r="187" customFormat="false" ht="15" hidden="false" customHeight="false" outlineLevel="0" collapsed="false">
      <c r="A187" s="0" t="n">
        <f aca="false">A186+1</f>
        <v>185</v>
      </c>
      <c r="B187" s="0" t="n">
        <v>0</v>
      </c>
      <c r="C187" s="1" t="n">
        <f aca="false">B187*$K$1</f>
        <v>0</v>
      </c>
      <c r="D187" s="1" t="n">
        <v>18.7465819056408</v>
      </c>
      <c r="E187" s="1" t="n">
        <f aca="false">D187*$K$1</f>
        <v>41.9361037229185</v>
      </c>
      <c r="F187" s="2" t="n">
        <v>2</v>
      </c>
      <c r="G187" s="12" t="n">
        <f aca="false">B187*F187+5</f>
        <v>5</v>
      </c>
      <c r="H187" s="3" t="n">
        <v>0.89408</v>
      </c>
      <c r="I187" s="3" t="n">
        <v>0</v>
      </c>
      <c r="J187" s="4" t="n">
        <v>4.87328528738863</v>
      </c>
    </row>
    <row r="188" customFormat="false" ht="15" hidden="false" customHeight="false" outlineLevel="0" collapsed="false">
      <c r="A188" s="0" t="n">
        <f aca="false">A187+1</f>
        <v>186</v>
      </c>
      <c r="B188" s="0" t="n">
        <v>0</v>
      </c>
      <c r="C188" s="1" t="n">
        <f aca="false">B188*$K$1</f>
        <v>0</v>
      </c>
      <c r="D188" s="1" t="n">
        <v>19.7465819056408</v>
      </c>
      <c r="E188" s="1" t="n">
        <f aca="false">D188*$K$1</f>
        <v>44.1731037229185</v>
      </c>
      <c r="F188" s="2" t="n">
        <v>2</v>
      </c>
      <c r="G188" s="12" t="n">
        <f aca="false">B188*F188+5</f>
        <v>5</v>
      </c>
      <c r="H188" s="3" t="n">
        <v>0.89408</v>
      </c>
      <c r="I188" s="3" t="n">
        <v>0</v>
      </c>
      <c r="J188" s="4" t="n">
        <v>4.86385884383344</v>
      </c>
    </row>
    <row r="189" customFormat="false" ht="15" hidden="false" customHeight="false" outlineLevel="0" collapsed="false">
      <c r="A189" s="0" t="n">
        <f aca="false">A188+1</f>
        <v>187</v>
      </c>
      <c r="B189" s="0" t="n">
        <v>0</v>
      </c>
      <c r="C189" s="1" t="n">
        <f aca="false">B189*$K$1</f>
        <v>0</v>
      </c>
      <c r="D189" s="1" t="n">
        <v>20.7465819056408</v>
      </c>
      <c r="E189" s="1" t="n">
        <f aca="false">D189*$K$1</f>
        <v>46.4101037229185</v>
      </c>
      <c r="F189" s="2" t="n">
        <v>2</v>
      </c>
      <c r="G189" s="12" t="n">
        <f aca="false">B189*F189+5</f>
        <v>5</v>
      </c>
      <c r="H189" s="3" t="n">
        <v>0.89408</v>
      </c>
      <c r="I189" s="3" t="n">
        <v>0</v>
      </c>
      <c r="J189" s="4" t="n">
        <v>4.87944463123404</v>
      </c>
    </row>
    <row r="190" customFormat="false" ht="15" hidden="false" customHeight="false" outlineLevel="0" collapsed="false">
      <c r="A190" s="0" t="n">
        <f aca="false">A189+1</f>
        <v>188</v>
      </c>
      <c r="B190" s="0" t="n">
        <v>0</v>
      </c>
      <c r="C190" s="1" t="n">
        <f aca="false">B190*$K$1</f>
        <v>0</v>
      </c>
      <c r="D190" s="1" t="n">
        <v>21.7465819056408</v>
      </c>
      <c r="E190" s="1" t="n">
        <f aca="false">D190*$K$1</f>
        <v>48.6471037229185</v>
      </c>
      <c r="F190" s="2" t="n">
        <v>2</v>
      </c>
      <c r="G190" s="12" t="n">
        <f aca="false">B190*F190+5</f>
        <v>5</v>
      </c>
      <c r="H190" s="3" t="n">
        <v>0.89408</v>
      </c>
      <c r="I190" s="3" t="n">
        <v>0</v>
      </c>
      <c r="J190" s="4" t="n">
        <v>4.90928659163114</v>
      </c>
    </row>
    <row r="191" customFormat="false" ht="15" hidden="false" customHeight="false" outlineLevel="0" collapsed="false">
      <c r="A191" s="0" t="n">
        <f aca="false">A190+1</f>
        <v>189</v>
      </c>
      <c r="B191" s="0" t="n">
        <v>0</v>
      </c>
      <c r="C191" s="1" t="n">
        <f aca="false">B191*$K$1</f>
        <v>0</v>
      </c>
      <c r="D191" s="1" t="n">
        <v>22.7465819056408</v>
      </c>
      <c r="E191" s="1" t="n">
        <f aca="false">D191*$K$1</f>
        <v>50.8841037229185</v>
      </c>
      <c r="F191" s="2" t="n">
        <v>2</v>
      </c>
      <c r="G191" s="12" t="n">
        <f aca="false">B191*F191+5</f>
        <v>5</v>
      </c>
      <c r="H191" s="3" t="n">
        <v>0.89408</v>
      </c>
      <c r="I191" s="3" t="n">
        <v>0</v>
      </c>
      <c r="J191" s="4" t="n">
        <v>4.94388211612363</v>
      </c>
    </row>
    <row r="192" customFormat="false" ht="15" hidden="false" customHeight="false" outlineLevel="0" collapsed="false">
      <c r="A192" s="0" t="n">
        <f aca="false">A191+1</f>
        <v>190</v>
      </c>
      <c r="B192" s="0" t="n">
        <v>0</v>
      </c>
      <c r="C192" s="1" t="n">
        <f aca="false">B192*$K$1</f>
        <v>0</v>
      </c>
      <c r="D192" s="1" t="n">
        <v>23.7465819056408</v>
      </c>
      <c r="E192" s="1" t="n">
        <f aca="false">D192*$K$1</f>
        <v>53.1211037229185</v>
      </c>
      <c r="F192" s="2" t="n">
        <v>2</v>
      </c>
      <c r="G192" s="12" t="n">
        <f aca="false">B192*F192+5</f>
        <v>5</v>
      </c>
      <c r="H192" s="3" t="n">
        <v>0.89408</v>
      </c>
      <c r="I192" s="3" t="n">
        <v>0</v>
      </c>
      <c r="J192" s="4" t="n">
        <v>4.97609754941163</v>
      </c>
    </row>
    <row r="193" customFormat="false" ht="15" hidden="false" customHeight="false" outlineLevel="0" collapsed="false">
      <c r="A193" s="0" t="n">
        <f aca="false">A192+1</f>
        <v>191</v>
      </c>
      <c r="B193" s="0" t="n">
        <v>0</v>
      </c>
      <c r="C193" s="1" t="n">
        <f aca="false">B193*$K$1</f>
        <v>0</v>
      </c>
      <c r="D193" s="1" t="n">
        <v>24.7465819056408</v>
      </c>
      <c r="E193" s="1" t="n">
        <f aca="false">D193*$K$1</f>
        <v>55.3581037229185</v>
      </c>
      <c r="F193" s="2" t="n">
        <v>2</v>
      </c>
      <c r="G193" s="12" t="n">
        <f aca="false">B193*F193+5</f>
        <v>5</v>
      </c>
      <c r="H193" s="3" t="n">
        <v>0.89408</v>
      </c>
      <c r="I193" s="3" t="n">
        <v>0</v>
      </c>
      <c r="J193" s="4" t="n">
        <v>5.00153468741655</v>
      </c>
    </row>
    <row r="194" customFormat="false" ht="15" hidden="false" customHeight="false" outlineLevel="0" collapsed="false">
      <c r="A194" s="0" t="n">
        <f aca="false">A193+1</f>
        <v>192</v>
      </c>
      <c r="B194" s="0" t="n">
        <v>0</v>
      </c>
      <c r="C194" s="1" t="n">
        <f aca="false">B194*$K$1</f>
        <v>0</v>
      </c>
      <c r="D194" s="1" t="n">
        <v>25.7465819056408</v>
      </c>
      <c r="E194" s="1" t="n">
        <f aca="false">D194*$K$1</f>
        <v>57.5951037229185</v>
      </c>
      <c r="F194" s="2" t="n">
        <v>2</v>
      </c>
      <c r="G194" s="12" t="n">
        <f aca="false">B194*F194+5</f>
        <v>5</v>
      </c>
      <c r="H194" s="3" t="n">
        <v>0.89408</v>
      </c>
      <c r="I194" s="3" t="n">
        <v>0</v>
      </c>
      <c r="J194" s="4" t="n">
        <v>5.01833630842407</v>
      </c>
    </row>
    <row r="195" customFormat="false" ht="15" hidden="false" customHeight="false" outlineLevel="0" collapsed="false">
      <c r="A195" s="0" t="n">
        <f aca="false">A194+1</f>
        <v>193</v>
      </c>
      <c r="B195" s="0" t="n">
        <v>0</v>
      </c>
      <c r="C195" s="1" t="n">
        <f aca="false">B195*$K$1</f>
        <v>0</v>
      </c>
      <c r="D195" s="1" t="n">
        <v>26.7465819056408</v>
      </c>
      <c r="E195" s="1" t="n">
        <f aca="false">D195*$K$1</f>
        <v>59.8321037229185</v>
      </c>
      <c r="F195" s="2" t="n">
        <v>2</v>
      </c>
      <c r="G195" s="12" t="n">
        <f aca="false">B195*F195+5</f>
        <v>5</v>
      </c>
      <c r="H195" s="3" t="n">
        <v>0.89408</v>
      </c>
      <c r="I195" s="3" t="n">
        <v>0</v>
      </c>
      <c r="J195" s="4" t="n">
        <v>5.02664701990398</v>
      </c>
    </row>
    <row r="196" customFormat="false" ht="15" hidden="false" customHeight="false" outlineLevel="0" collapsed="false">
      <c r="A196" s="0" t="n">
        <f aca="false">A195+1</f>
        <v>194</v>
      </c>
      <c r="B196" s="0" t="n">
        <v>0</v>
      </c>
      <c r="C196" s="1" t="n">
        <f aca="false">B196*$K$1</f>
        <v>0</v>
      </c>
      <c r="D196" s="1" t="n">
        <v>27.7465819056408</v>
      </c>
      <c r="E196" s="1" t="n">
        <f aca="false">D196*$K$1</f>
        <v>62.0691037229185</v>
      </c>
      <c r="F196" s="2" t="n">
        <v>2</v>
      </c>
      <c r="G196" s="12" t="n">
        <f aca="false">B196*F196+5</f>
        <v>5</v>
      </c>
      <c r="H196" s="3" t="n">
        <v>0.89408</v>
      </c>
      <c r="I196" s="3" t="n">
        <v>0</v>
      </c>
      <c r="J196" s="4" t="n">
        <v>5.02792983399581</v>
      </c>
    </row>
    <row r="197" customFormat="false" ht="15" hidden="false" customHeight="false" outlineLevel="0" collapsed="false">
      <c r="A197" s="0" t="n">
        <f aca="false">A196+1</f>
        <v>195</v>
      </c>
      <c r="B197" s="0" t="n">
        <v>0</v>
      </c>
      <c r="C197" s="1" t="n">
        <f aca="false">B197*$K$1</f>
        <v>0</v>
      </c>
      <c r="D197" s="1" t="n">
        <v>28.7465819056408</v>
      </c>
      <c r="E197" s="1" t="n">
        <f aca="false">D197*$K$1</f>
        <v>64.3061037229185</v>
      </c>
      <c r="F197" s="2" t="n">
        <v>2</v>
      </c>
      <c r="G197" s="12" t="n">
        <f aca="false">B197*F197+5</f>
        <v>5</v>
      </c>
      <c r="H197" s="3" t="n">
        <v>0.89408</v>
      </c>
      <c r="I197" s="3" t="n">
        <v>0</v>
      </c>
      <c r="J197" s="4" t="n">
        <v>5.02429600454866</v>
      </c>
    </row>
    <row r="198" customFormat="false" ht="15" hidden="false" customHeight="false" outlineLevel="0" collapsed="false">
      <c r="A198" s="0" t="n">
        <f aca="false">A197+1</f>
        <v>196</v>
      </c>
      <c r="B198" s="0" t="n">
        <v>0</v>
      </c>
      <c r="C198" s="1" t="n">
        <f aca="false">B198*$K$1</f>
        <v>0</v>
      </c>
      <c r="D198" s="1" t="n">
        <v>29.7465819056408</v>
      </c>
      <c r="E198" s="1" t="n">
        <f aca="false">D198*$K$1</f>
        <v>66.5431037229185</v>
      </c>
      <c r="F198" s="2" t="n">
        <v>2</v>
      </c>
      <c r="G198" s="12" t="n">
        <f aca="false">B198*F198+5</f>
        <v>5</v>
      </c>
      <c r="H198" s="3" t="n">
        <v>0.89408</v>
      </c>
      <c r="I198" s="3" t="n">
        <v>0</v>
      </c>
      <c r="J198" s="4" t="n">
        <v>5.01795157412516</v>
      </c>
    </row>
    <row r="199" customFormat="false" ht="15" hidden="false" customHeight="false" outlineLevel="0" collapsed="false">
      <c r="A199" s="0" t="n">
        <f aca="false">A198+1</f>
        <v>197</v>
      </c>
      <c r="B199" s="0" t="n">
        <v>0</v>
      </c>
      <c r="C199" s="1" t="n">
        <f aca="false">B199*$K$1</f>
        <v>0</v>
      </c>
      <c r="D199" s="1" t="n">
        <v>30.7465819056408</v>
      </c>
      <c r="E199" s="1" t="n">
        <f aca="false">D199*$K$1</f>
        <v>68.7801037229185</v>
      </c>
      <c r="F199" s="2" t="n">
        <v>2</v>
      </c>
      <c r="G199" s="12" t="n">
        <f aca="false">B199*F199+5</f>
        <v>5</v>
      </c>
      <c r="H199" s="3" t="n">
        <v>0.89408</v>
      </c>
      <c r="I199" s="3" t="n">
        <v>0</v>
      </c>
      <c r="J199" s="4" t="n">
        <v>5.01081118705315</v>
      </c>
    </row>
    <row r="200" customFormat="false" ht="15" hidden="false" customHeight="false" outlineLevel="0" collapsed="false">
      <c r="A200" s="0" t="n">
        <f aca="false">A199+1</f>
        <v>198</v>
      </c>
      <c r="B200" s="0" t="n">
        <v>0</v>
      </c>
      <c r="C200" s="1" t="n">
        <f aca="false">B200*$K$1</f>
        <v>0</v>
      </c>
      <c r="D200" s="1" t="n">
        <v>31.7465819056408</v>
      </c>
      <c r="E200" s="1" t="n">
        <f aca="false">D200*$K$1</f>
        <v>71.0171037229185</v>
      </c>
      <c r="F200" s="2" t="n">
        <v>2</v>
      </c>
      <c r="G200" s="12" t="n">
        <f aca="false">B200*F200+5</f>
        <v>5</v>
      </c>
      <c r="H200" s="3" t="n">
        <v>0.89408</v>
      </c>
      <c r="I200" s="3" t="n">
        <v>0</v>
      </c>
      <c r="J200" s="4" t="n">
        <v>5.00428614108978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A11" activeCellId="0" sqref="AA1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6.14"/>
    <col collapsed="false" customWidth="true" hidden="false" outlineLevel="0" max="3" min="3" style="1" width="16.43"/>
    <col collapsed="false" customWidth="true" hidden="false" outlineLevel="0" max="5" min="4" style="1" width="22.28"/>
    <col collapsed="false" customWidth="true" hidden="false" outlineLevel="0" max="6" min="6" style="2" width="11.28"/>
    <col collapsed="false" customWidth="true" hidden="false" outlineLevel="0" max="7" min="7" style="0" width="21.15"/>
    <col collapsed="false" customWidth="true" hidden="false" outlineLevel="0" max="8" min="8" style="3" width="19"/>
    <col collapsed="false" customWidth="true" hidden="false" outlineLevel="0" max="9" min="9" style="3" width="17.57"/>
    <col collapsed="false" customWidth="true" hidden="false" outlineLevel="0" max="10" min="10" style="4" width="17.57"/>
  </cols>
  <sheetData>
    <row r="1" customFormat="false" ht="15.75" hidden="false" customHeight="fals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5" t="s">
        <v>6</v>
      </c>
      <c r="H1" s="8" t="s">
        <v>7</v>
      </c>
      <c r="I1" s="8" t="s">
        <v>8</v>
      </c>
      <c r="J1" s="9" t="s">
        <v>9</v>
      </c>
      <c r="K1" s="0" t="n">
        <v>2.237</v>
      </c>
      <c r="L1" s="0" t="s">
        <v>10</v>
      </c>
      <c r="M1" s="0" t="n">
        <v>0.5</v>
      </c>
    </row>
    <row r="2" customFormat="false" ht="15" hidden="false" customHeight="false" outlineLevel="0" collapsed="false">
      <c r="A2" s="0" t="n">
        <v>0</v>
      </c>
      <c r="B2" s="1" t="n">
        <v>0</v>
      </c>
      <c r="C2" s="1" t="n">
        <f aca="false">B2*$K$1</f>
        <v>0</v>
      </c>
      <c r="D2" s="1" t="n">
        <v>0</v>
      </c>
      <c r="E2" s="1" t="n">
        <f aca="false">D2*$K$1</f>
        <v>0</v>
      </c>
      <c r="F2" s="2" t="n">
        <v>2.5</v>
      </c>
      <c r="G2" s="12" t="n">
        <f aca="false">B2*F2+5</f>
        <v>5</v>
      </c>
      <c r="H2" s="3" t="n">
        <v>0</v>
      </c>
      <c r="I2" s="3" t="n">
        <v>0</v>
      </c>
      <c r="J2" s="4" t="n">
        <v>5</v>
      </c>
      <c r="L2" s="0" t="s">
        <v>11</v>
      </c>
      <c r="M2" s="0" t="n">
        <v>0.2</v>
      </c>
    </row>
    <row r="3" customFormat="false" ht="15" hidden="false" customHeight="false" outlineLevel="0" collapsed="false">
      <c r="A3" s="0" t="n">
        <f aca="false">A2+1</f>
        <v>1</v>
      </c>
      <c r="B3" s="1" t="n">
        <v>0</v>
      </c>
      <c r="C3" s="1" t="n">
        <f aca="false">B3*$K$1</f>
        <v>0</v>
      </c>
      <c r="D3" s="1" t="n">
        <v>0</v>
      </c>
      <c r="E3" s="1" t="n">
        <f aca="false">D3*$K$1</f>
        <v>0</v>
      </c>
      <c r="F3" s="2" t="n">
        <v>2.5</v>
      </c>
      <c r="G3" s="12" t="n">
        <f aca="false">B3*F3+5</f>
        <v>5</v>
      </c>
      <c r="H3" s="3" t="n">
        <v>0</v>
      </c>
      <c r="I3" s="3" t="n">
        <v>0</v>
      </c>
      <c r="J3" s="4" t="n">
        <v>5</v>
      </c>
      <c r="K3" s="0" t="n">
        <f aca="false">20/K1</f>
        <v>8.94054537326777</v>
      </c>
      <c r="L3" s="0" t="s">
        <v>12</v>
      </c>
      <c r="M3" s="0" t="n">
        <v>0.4</v>
      </c>
    </row>
    <row r="4" customFormat="false" ht="15" hidden="false" customHeight="false" outlineLevel="0" collapsed="false">
      <c r="A4" s="0" t="n">
        <f aca="false">A3+1</f>
        <v>2</v>
      </c>
      <c r="B4" s="1" t="n">
        <v>0</v>
      </c>
      <c r="C4" s="1" t="n">
        <f aca="false">B4*$K$1</f>
        <v>0</v>
      </c>
      <c r="D4" s="1" t="n">
        <v>0</v>
      </c>
      <c r="E4" s="1" t="n">
        <f aca="false">D4*$K$1</f>
        <v>0</v>
      </c>
      <c r="F4" s="2" t="n">
        <v>2.5</v>
      </c>
      <c r="G4" s="12" t="n">
        <f aca="false">B4*F4+5</f>
        <v>5</v>
      </c>
      <c r="H4" s="3" t="n">
        <v>0</v>
      </c>
      <c r="I4" s="3" t="n">
        <v>0</v>
      </c>
      <c r="J4" s="4" t="n">
        <v>5</v>
      </c>
    </row>
    <row r="5" customFormat="false" ht="15" hidden="false" customHeight="false" outlineLevel="0" collapsed="false">
      <c r="A5" s="0" t="n">
        <f aca="false">A4+1</f>
        <v>3</v>
      </c>
      <c r="B5" s="1" t="n">
        <v>0</v>
      </c>
      <c r="C5" s="1" t="n">
        <f aca="false">B5*$K$1</f>
        <v>0</v>
      </c>
      <c r="D5" s="1" t="n">
        <v>0</v>
      </c>
      <c r="E5" s="1" t="n">
        <f aca="false">D5*$K$1</f>
        <v>0</v>
      </c>
      <c r="F5" s="2" t="n">
        <v>2.5</v>
      </c>
      <c r="G5" s="12" t="n">
        <f aca="false">B5*F5+5</f>
        <v>5</v>
      </c>
      <c r="H5" s="3" t="n">
        <v>0</v>
      </c>
      <c r="I5" s="3" t="n">
        <v>0</v>
      </c>
      <c r="J5" s="4" t="n">
        <v>5</v>
      </c>
    </row>
    <row r="6" customFormat="false" ht="15" hidden="false" customHeight="false" outlineLevel="0" collapsed="false">
      <c r="A6" s="0" t="n">
        <f aca="false">A5+1</f>
        <v>4</v>
      </c>
      <c r="B6" s="1" t="n">
        <v>0</v>
      </c>
      <c r="C6" s="1" t="n">
        <f aca="false">B6*$K$1</f>
        <v>0</v>
      </c>
      <c r="D6" s="1" t="n">
        <v>0</v>
      </c>
      <c r="E6" s="1" t="n">
        <f aca="false">D6*$K$1</f>
        <v>0</v>
      </c>
      <c r="F6" s="2" t="n">
        <v>2.5</v>
      </c>
      <c r="G6" s="12" t="n">
        <f aca="false">B6*F6+5</f>
        <v>5</v>
      </c>
      <c r="H6" s="3" t="n">
        <v>0</v>
      </c>
      <c r="I6" s="3" t="n">
        <v>0</v>
      </c>
      <c r="J6" s="4" t="n">
        <v>5</v>
      </c>
    </row>
    <row r="7" customFormat="false" ht="15" hidden="false" customHeight="false" outlineLevel="0" collapsed="false">
      <c r="A7" s="0" t="n">
        <f aca="false">A6+1</f>
        <v>5</v>
      </c>
      <c r="B7" s="1" t="n">
        <v>0</v>
      </c>
      <c r="C7" s="1" t="n">
        <f aca="false">B7*$K$1</f>
        <v>0</v>
      </c>
      <c r="D7" s="1" t="n">
        <v>0</v>
      </c>
      <c r="E7" s="1" t="n">
        <f aca="false">D7*$K$1</f>
        <v>0</v>
      </c>
      <c r="F7" s="2" t="n">
        <v>2.5</v>
      </c>
      <c r="G7" s="12" t="n">
        <f aca="false">B7*F7+5</f>
        <v>5</v>
      </c>
      <c r="H7" s="3" t="n">
        <v>0</v>
      </c>
      <c r="I7" s="3" t="n">
        <v>0</v>
      </c>
      <c r="J7" s="4" t="n">
        <v>5</v>
      </c>
    </row>
    <row r="8" customFormat="false" ht="15" hidden="false" customHeight="false" outlineLevel="0" collapsed="false">
      <c r="A8" s="0" t="n">
        <f aca="false">A7+1</f>
        <v>6</v>
      </c>
      <c r="B8" s="1" t="n">
        <v>0</v>
      </c>
      <c r="C8" s="1" t="n">
        <f aca="false">B8*$K$1</f>
        <v>0</v>
      </c>
      <c r="D8" s="1" t="n">
        <v>0</v>
      </c>
      <c r="E8" s="1" t="n">
        <f aca="false">D8*$K$1</f>
        <v>0</v>
      </c>
      <c r="F8" s="2" t="n">
        <v>2.5</v>
      </c>
      <c r="G8" s="12" t="n">
        <f aca="false">B8*F8+5</f>
        <v>5</v>
      </c>
      <c r="H8" s="3" t="n">
        <v>0</v>
      </c>
      <c r="I8" s="3" t="n">
        <v>0</v>
      </c>
      <c r="J8" s="4" t="n">
        <v>5</v>
      </c>
    </row>
    <row r="9" customFormat="false" ht="15" hidden="false" customHeight="false" outlineLevel="0" collapsed="false">
      <c r="A9" s="0" t="n">
        <f aca="false">A8+1</f>
        <v>7</v>
      </c>
      <c r="B9" s="1" t="n">
        <v>0</v>
      </c>
      <c r="C9" s="1" t="n">
        <f aca="false">B9*$K$1</f>
        <v>0</v>
      </c>
      <c r="D9" s="1" t="n">
        <v>0</v>
      </c>
      <c r="E9" s="1" t="n">
        <f aca="false">D9*$K$1</f>
        <v>0</v>
      </c>
      <c r="F9" s="2" t="n">
        <v>2.5</v>
      </c>
      <c r="G9" s="12" t="n">
        <f aca="false">B9*F9+5</f>
        <v>5</v>
      </c>
      <c r="H9" s="3" t="n">
        <v>0</v>
      </c>
      <c r="I9" s="3" t="n">
        <v>0</v>
      </c>
      <c r="J9" s="4" t="n">
        <v>5</v>
      </c>
    </row>
    <row r="10" customFormat="false" ht="15" hidden="false" customHeight="false" outlineLevel="0" collapsed="false">
      <c r="A10" s="0" t="n">
        <f aca="false">A9+1</f>
        <v>8</v>
      </c>
      <c r="B10" s="1" t="n">
        <v>0</v>
      </c>
      <c r="C10" s="1" t="n">
        <f aca="false">B10*$K$1</f>
        <v>0</v>
      </c>
      <c r="D10" s="1" t="n">
        <v>0</v>
      </c>
      <c r="E10" s="1" t="n">
        <f aca="false">D10*$K$1</f>
        <v>0</v>
      </c>
      <c r="F10" s="2" t="n">
        <v>2.5</v>
      </c>
      <c r="G10" s="12" t="n">
        <f aca="false">B10*F10+5</f>
        <v>5</v>
      </c>
      <c r="H10" s="3" t="n">
        <v>0</v>
      </c>
      <c r="I10" s="3" t="n">
        <v>0</v>
      </c>
      <c r="J10" s="4" t="n">
        <v>5</v>
      </c>
    </row>
    <row r="11" customFormat="false" ht="15" hidden="false" customHeight="false" outlineLevel="0" collapsed="false">
      <c r="A11" s="0" t="n">
        <f aca="false">A10+1</f>
        <v>9</v>
      </c>
      <c r="B11" s="1" t="n">
        <v>0</v>
      </c>
      <c r="C11" s="1" t="n">
        <f aca="false">B11*$K$1</f>
        <v>0</v>
      </c>
      <c r="D11" s="1" t="n">
        <v>0</v>
      </c>
      <c r="E11" s="1" t="n">
        <f aca="false">D11*$K$1</f>
        <v>0</v>
      </c>
      <c r="F11" s="2" t="n">
        <v>2.5</v>
      </c>
      <c r="G11" s="12" t="n">
        <f aca="false">B11*F11+5</f>
        <v>5</v>
      </c>
      <c r="H11" s="3" t="n">
        <v>0</v>
      </c>
      <c r="I11" s="3" t="n">
        <v>0</v>
      </c>
      <c r="J11" s="4" t="n">
        <v>5</v>
      </c>
    </row>
    <row r="12" customFormat="false" ht="15" hidden="false" customHeight="false" outlineLevel="0" collapsed="false">
      <c r="A12" s="0" t="n">
        <f aca="false">A11+1</f>
        <v>10</v>
      </c>
      <c r="B12" s="1" t="n">
        <v>0</v>
      </c>
      <c r="C12" s="1" t="n">
        <f aca="false">B12*$K$1</f>
        <v>0</v>
      </c>
      <c r="D12" s="1" t="n">
        <v>0</v>
      </c>
      <c r="E12" s="1" t="n">
        <f aca="false">D12*$K$1</f>
        <v>0</v>
      </c>
      <c r="F12" s="2" t="n">
        <v>2.5</v>
      </c>
      <c r="G12" s="12" t="n">
        <f aca="false">B12*F12+5</f>
        <v>5</v>
      </c>
      <c r="H12" s="3" t="n">
        <v>0</v>
      </c>
      <c r="I12" s="3" t="n">
        <v>0</v>
      </c>
      <c r="J12" s="4" t="n">
        <v>5</v>
      </c>
    </row>
    <row r="13" customFormat="false" ht="15" hidden="false" customHeight="false" outlineLevel="0" collapsed="false">
      <c r="A13" s="0" t="n">
        <f aca="false">A12+1</f>
        <v>11</v>
      </c>
      <c r="B13" s="1" t="n">
        <f aca="false">B12+H13*1</f>
        <v>0.89408</v>
      </c>
      <c r="C13" s="1" t="n">
        <f aca="false">B13*$K$1</f>
        <v>2.00005696</v>
      </c>
      <c r="D13" s="1" t="n">
        <v>-0.00894079999999999</v>
      </c>
      <c r="E13" s="1" t="n">
        <f aca="false">D13*$K$1</f>
        <v>-0.0200005696</v>
      </c>
      <c r="F13" s="2" t="n">
        <v>2.5</v>
      </c>
      <c r="G13" s="12" t="n">
        <f aca="false">B13*F13+5</f>
        <v>7.2352</v>
      </c>
      <c r="H13" s="3" t="n">
        <v>0.89408</v>
      </c>
      <c r="I13" s="3" t="n">
        <v>0</v>
      </c>
      <c r="J13" s="4" t="n">
        <v>5.46194133333333</v>
      </c>
    </row>
    <row r="14" customFormat="false" ht="15" hidden="false" customHeight="false" outlineLevel="0" collapsed="false">
      <c r="A14" s="0" t="n">
        <f aca="false">A13+1</f>
        <v>12</v>
      </c>
      <c r="B14" s="1" t="n">
        <f aca="false">B13+H14*1</f>
        <v>1.78816</v>
      </c>
      <c r="C14" s="1" t="n">
        <f aca="false">B14*$K$1</f>
        <v>4.00011392</v>
      </c>
      <c r="D14" s="1" t="n">
        <v>0.0655817614222224</v>
      </c>
      <c r="E14" s="1" t="n">
        <f aca="false">D14*$K$1</f>
        <v>0.146706400301512</v>
      </c>
      <c r="F14" s="2" t="n">
        <v>2.5</v>
      </c>
      <c r="G14" s="12" t="n">
        <f aca="false">B14*F14+5</f>
        <v>9.4704</v>
      </c>
      <c r="H14" s="3" t="n">
        <v>0.89408</v>
      </c>
      <c r="I14" s="3" t="n">
        <v>0</v>
      </c>
      <c r="J14" s="4" t="n">
        <v>6.79396158577778</v>
      </c>
    </row>
    <row r="15" customFormat="false" ht="15" hidden="false" customHeight="false" outlineLevel="0" collapsed="false">
      <c r="A15" s="0" t="n">
        <f aca="false">A14+1</f>
        <v>13</v>
      </c>
      <c r="B15" s="1" t="n">
        <f aca="false">B14+H15*1</f>
        <v>2.68224</v>
      </c>
      <c r="C15" s="1" t="n">
        <f aca="false">B15*$K$1</f>
        <v>6.00017088</v>
      </c>
      <c r="D15" s="1" t="n">
        <v>0.327901008084386</v>
      </c>
      <c r="E15" s="1" t="n">
        <f aca="false">D15*$K$1</f>
        <v>0.733514555084772</v>
      </c>
      <c r="F15" s="2" t="n">
        <v>2.5</v>
      </c>
      <c r="G15" s="12" t="n">
        <f aca="false">B15*F15+5</f>
        <v>11.7056</v>
      </c>
      <c r="H15" s="3" t="n">
        <v>0.89408</v>
      </c>
      <c r="I15" s="3" t="n">
        <v>0</v>
      </c>
      <c r="J15" s="4" t="n">
        <v>8.85443965094874</v>
      </c>
    </row>
    <row r="16" customFormat="false" ht="15" hidden="false" customHeight="false" outlineLevel="0" collapsed="false">
      <c r="A16" s="0" t="n">
        <f aca="false">A15+1</f>
        <v>14</v>
      </c>
      <c r="B16" s="1" t="n">
        <f aca="false">B15+H16*1</f>
        <v>3.57632</v>
      </c>
      <c r="C16" s="1" t="n">
        <f aca="false">B16*$K$1</f>
        <v>8.00022784</v>
      </c>
      <c r="D16" s="1" t="n">
        <v>0.817729052102161</v>
      </c>
      <c r="E16" s="1" t="n">
        <f aca="false">D16*$K$1</f>
        <v>1.82925988955253</v>
      </c>
      <c r="F16" s="2" t="n">
        <v>2.5</v>
      </c>
      <c r="G16" s="12" t="n">
        <f aca="false">B16*F16+5</f>
        <v>13.9408</v>
      </c>
      <c r="H16" s="3" t="n">
        <v>0.89408</v>
      </c>
      <c r="I16" s="3" t="n">
        <v>0</v>
      </c>
      <c r="J16" s="4" t="n">
        <v>11.4312571481196</v>
      </c>
    </row>
    <row r="17" customFormat="false" ht="15" hidden="false" customHeight="false" outlineLevel="0" collapsed="false">
      <c r="A17" s="0" t="n">
        <f aca="false">A16+1</f>
        <v>15</v>
      </c>
      <c r="B17" s="1" t="n">
        <f aca="false">B16+H17*1</f>
        <v>4.4704</v>
      </c>
      <c r="C17" s="1" t="n">
        <f aca="false">B17*$K$1</f>
        <v>10.0002848</v>
      </c>
      <c r="D17" s="1" t="n">
        <v>1.52507819588786</v>
      </c>
      <c r="E17" s="1" t="n">
        <f aca="false">D17*$K$1</f>
        <v>3.41159992420114</v>
      </c>
      <c r="F17" s="2" t="n">
        <v>2.5</v>
      </c>
      <c r="G17" s="12" t="n">
        <f aca="false">B17*F17+5</f>
        <v>16.176</v>
      </c>
      <c r="H17" s="3" t="n">
        <v>0.89408</v>
      </c>
      <c r="I17" s="3" t="n">
        <v>0</v>
      </c>
      <c r="J17" s="4" t="n">
        <v>14.2991743472815</v>
      </c>
    </row>
    <row r="18" customFormat="false" ht="15" hidden="false" customHeight="false" outlineLevel="0" collapsed="false">
      <c r="A18" s="0" t="n">
        <f aca="false">A17+1</f>
        <v>16</v>
      </c>
      <c r="B18" s="1" t="n">
        <f aca="false">B17+H18*1</f>
        <v>5.36448</v>
      </c>
      <c r="C18" s="1" t="n">
        <f aca="false">B18*$K$1</f>
        <v>12.00034176</v>
      </c>
      <c r="D18" s="1" t="n">
        <v>2.40825773451783</v>
      </c>
      <c r="E18" s="1" t="n">
        <f aca="false">D18*$K$1</f>
        <v>5.38727255211639</v>
      </c>
      <c r="F18" s="2" t="n">
        <v>2.5</v>
      </c>
      <c r="G18" s="12" t="n">
        <f aca="false">B18*F18+5</f>
        <v>18.4112</v>
      </c>
      <c r="H18" s="3" t="n">
        <v>0.89408</v>
      </c>
      <c r="I18" s="3" t="n">
        <v>0</v>
      </c>
      <c r="J18" s="4" t="n">
        <v>17.2603958684461</v>
      </c>
    </row>
    <row r="19" customFormat="false" ht="15" hidden="false" customHeight="false" outlineLevel="0" collapsed="false">
      <c r="A19" s="0" t="n">
        <f aca="false">A18+1</f>
        <v>17</v>
      </c>
      <c r="B19" s="1" t="n">
        <f aca="false">B18+H19*1</f>
        <v>6.25856</v>
      </c>
      <c r="C19" s="1" t="n">
        <f aca="false">B19*$K$1</f>
        <v>14.00039872</v>
      </c>
      <c r="D19" s="1" t="n">
        <v>3.41103647423273</v>
      </c>
      <c r="E19" s="1" t="n">
        <f aca="false">D19*$K$1</f>
        <v>7.63048859285862</v>
      </c>
      <c r="F19" s="2" t="n">
        <v>2.5</v>
      </c>
      <c r="G19" s="12" t="n">
        <f aca="false">B19*F19+5</f>
        <v>20.6464</v>
      </c>
      <c r="H19" s="3" t="n">
        <v>0.89408</v>
      </c>
      <c r="I19" s="3" t="n">
        <v>0</v>
      </c>
      <c r="J19" s="4" t="n">
        <v>20.1673432237966</v>
      </c>
    </row>
    <row r="20" customFormat="false" ht="15" hidden="false" customHeight="false" outlineLevel="0" collapsed="false">
      <c r="A20" s="0" t="n">
        <f aca="false">A19+1</f>
        <v>18</v>
      </c>
      <c r="B20" s="1" t="n">
        <f aca="false">B19+H20*1</f>
        <v>7.15264</v>
      </c>
      <c r="C20" s="1" t="n">
        <f aca="false">B20*$K$1</f>
        <v>16.00045568</v>
      </c>
      <c r="D20" s="1" t="n">
        <v>4.47648483681844</v>
      </c>
      <c r="E20" s="1" t="n">
        <f aca="false">D20*$K$1</f>
        <v>10.0138965799629</v>
      </c>
      <c r="F20" s="2" t="n">
        <v>2.5</v>
      </c>
      <c r="G20" s="12" t="n">
        <f aca="false">B20*F20+5</f>
        <v>22.8816</v>
      </c>
      <c r="H20" s="3" t="n">
        <v>0.89408</v>
      </c>
      <c r="I20" s="3" t="n">
        <v>0</v>
      </c>
      <c r="J20" s="4" t="n">
        <v>22.9298381415096</v>
      </c>
    </row>
    <row r="21" customFormat="false" ht="15" hidden="false" customHeight="false" outlineLevel="0" collapsed="false">
      <c r="A21" s="0" t="n">
        <f aca="false">A20+1</f>
        <v>19</v>
      </c>
      <c r="B21" s="1" t="n">
        <f aca="false">B20+H21*1</f>
        <v>8.04672</v>
      </c>
      <c r="C21" s="1" t="n">
        <f aca="false">B21*$K$1</f>
        <v>18.00051264</v>
      </c>
      <c r="D21" s="1" t="n">
        <v>5.55636450786331</v>
      </c>
      <c r="E21" s="1" t="n">
        <f aca="false">D21*$K$1</f>
        <v>12.4295874040902</v>
      </c>
      <c r="F21" s="2" t="n">
        <v>2.5</v>
      </c>
      <c r="G21" s="12" t="n">
        <f aca="false">B21*F21+5</f>
        <v>25.1168</v>
      </c>
      <c r="H21" s="3" t="n">
        <v>0.89408</v>
      </c>
      <c r="I21" s="3" t="n">
        <v>0</v>
      </c>
      <c r="J21" s="4" t="n">
        <v>25.5106819320361</v>
      </c>
    </row>
    <row r="22" customFormat="false" ht="15" hidden="false" customHeight="false" outlineLevel="0" collapsed="false">
      <c r="A22" s="0" t="n">
        <f aca="false">A21+1</f>
        <v>20</v>
      </c>
      <c r="B22" s="1" t="n">
        <f aca="false">B21+H22*1</f>
        <v>8.9408</v>
      </c>
      <c r="C22" s="1" t="n">
        <f aca="false">B22*$K$1</f>
        <v>20.0005696</v>
      </c>
      <c r="D22" s="1" t="n">
        <v>6.61602325990293</v>
      </c>
      <c r="E22" s="1" t="n">
        <f aca="false">D22*$K$1</f>
        <v>14.8000440324029</v>
      </c>
      <c r="F22" s="2" t="n">
        <v>2.5</v>
      </c>
      <c r="G22" s="12" t="n">
        <f aca="false">B22*F22+5</f>
        <v>27.352</v>
      </c>
      <c r="H22" s="3" t="n">
        <v>0.89408</v>
      </c>
      <c r="I22" s="3" t="n">
        <v>0</v>
      </c>
      <c r="J22" s="4" t="n">
        <v>27.9141688550214</v>
      </c>
    </row>
    <row r="23" customFormat="false" ht="15" hidden="false" customHeight="false" outlineLevel="0" collapsed="false">
      <c r="A23" s="0" t="n">
        <f aca="false">A22+1</f>
        <v>21</v>
      </c>
      <c r="B23" s="1" t="n">
        <f aca="false">B22+H23*1</f>
        <v>8.9408</v>
      </c>
      <c r="C23" s="1" t="n">
        <f aca="false">B23*$K$1</f>
        <v>20.0005696</v>
      </c>
      <c r="D23" s="1" t="n">
        <v>7.64443052123222</v>
      </c>
      <c r="E23" s="1" t="n">
        <f aca="false">D23*$K$1</f>
        <v>17.1005910759965</v>
      </c>
      <c r="F23" s="2" t="n">
        <v>2.5</v>
      </c>
      <c r="G23" s="12" t="n">
        <f aca="false">B23*F23+5</f>
        <v>27.352</v>
      </c>
      <c r="H23" s="3" t="n">
        <v>0</v>
      </c>
      <c r="I23" s="3" t="n">
        <v>0</v>
      </c>
      <c r="J23" s="4" t="n">
        <v>29.7097704347299</v>
      </c>
    </row>
    <row r="24" customFormat="false" ht="15" hidden="false" customHeight="false" outlineLevel="0" collapsed="false">
      <c r="A24" s="0" t="n">
        <f aca="false">A23+1</f>
        <v>22</v>
      </c>
      <c r="B24" s="1" t="n">
        <f aca="false">B23+H24*1</f>
        <v>8.9408</v>
      </c>
      <c r="C24" s="1" t="n">
        <f aca="false">B24*$K$1</f>
        <v>20.0005696</v>
      </c>
      <c r="D24" s="1" t="n">
        <v>8.54226336629821</v>
      </c>
      <c r="E24" s="1" t="n">
        <f aca="false">D24*$K$1</f>
        <v>19.1090431504091</v>
      </c>
      <c r="F24" s="2" t="n">
        <v>2.5</v>
      </c>
      <c r="G24" s="12" t="n">
        <f aca="false">B24*F24+5</f>
        <v>27.352</v>
      </c>
      <c r="H24" s="3" t="n">
        <v>0</v>
      </c>
      <c r="I24" s="3" t="n">
        <v>0</v>
      </c>
      <c r="J24" s="4" t="n">
        <v>30.5338834502091</v>
      </c>
    </row>
    <row r="25" customFormat="false" ht="15" hidden="false" customHeight="false" outlineLevel="0" collapsed="false">
      <c r="A25" s="0" t="n">
        <f aca="false">A24+1</f>
        <v>23</v>
      </c>
      <c r="B25" s="1" t="n">
        <f aca="false">B24+H25*1</f>
        <v>8.9408</v>
      </c>
      <c r="C25" s="1" t="n">
        <f aca="false">B25*$K$1</f>
        <v>20.0005696</v>
      </c>
      <c r="D25" s="1" t="n">
        <v>9.20813100708024</v>
      </c>
      <c r="E25" s="1" t="n">
        <f aca="false">D25*$K$1</f>
        <v>20.5985890628385</v>
      </c>
      <c r="F25" s="2" t="n">
        <v>2.5</v>
      </c>
      <c r="G25" s="12" t="n">
        <f aca="false">B25*F25+5</f>
        <v>27.352</v>
      </c>
      <c r="H25" s="3" t="n">
        <v>0</v>
      </c>
      <c r="I25" s="3" t="n">
        <v>0</v>
      </c>
      <c r="J25" s="4" t="n">
        <v>30.5742926139277</v>
      </c>
    </row>
    <row r="26" customFormat="false" ht="15" hidden="false" customHeight="false" outlineLevel="0" collapsed="false">
      <c r="A26" s="0" t="n">
        <f aca="false">A25+1</f>
        <v>24</v>
      </c>
      <c r="B26" s="1" t="n">
        <f aca="false">B25+H26*1</f>
        <v>8.9408</v>
      </c>
      <c r="C26" s="1" t="n">
        <f aca="false">B26*$K$1</f>
        <v>20.0005696</v>
      </c>
      <c r="D26" s="1" t="n">
        <v>9.61139970829636</v>
      </c>
      <c r="E26" s="1" t="n">
        <f aca="false">D26*$K$1</f>
        <v>21.500701147459</v>
      </c>
      <c r="F26" s="2" t="n">
        <v>2.5</v>
      </c>
      <c r="G26" s="12" t="n">
        <f aca="false">B26*F26+5</f>
        <v>27.352</v>
      </c>
      <c r="H26" s="3" t="n">
        <v>0</v>
      </c>
      <c r="I26" s="3" t="n">
        <v>0</v>
      </c>
      <c r="J26" s="4" t="n">
        <v>30.0829446551036</v>
      </c>
    </row>
    <row r="27" customFormat="false" ht="15" hidden="false" customHeight="false" outlineLevel="0" collapsed="false">
      <c r="A27" s="0" t="n">
        <f aca="false">A26+1</f>
        <v>25</v>
      </c>
      <c r="B27" s="1" t="n">
        <f aca="false">B26+H27*1</f>
        <v>8.9408</v>
      </c>
      <c r="C27" s="1" t="n">
        <f aca="false">B27*$K$1</f>
        <v>20.0005696</v>
      </c>
      <c r="D27" s="1" t="n">
        <v>9.77378731142107</v>
      </c>
      <c r="E27" s="1" t="n">
        <f aca="false">D27*$K$1</f>
        <v>21.8639622156489</v>
      </c>
      <c r="F27" s="2" t="n">
        <v>2.5</v>
      </c>
      <c r="G27" s="12" t="n">
        <f aca="false">B27*F27+5</f>
        <v>27.352</v>
      </c>
      <c r="H27" s="3" t="n">
        <v>0</v>
      </c>
      <c r="I27" s="3" t="n">
        <v>0</v>
      </c>
      <c r="J27" s="4" t="n">
        <v>29.3142536830796</v>
      </c>
    </row>
    <row r="28" customFormat="false" ht="15" hidden="false" customHeight="false" outlineLevel="0" collapsed="false">
      <c r="A28" s="0" t="n">
        <f aca="false">A27+1</f>
        <v>26</v>
      </c>
      <c r="B28" s="1" t="n">
        <f aca="false">B27+H28*1</f>
        <v>8.9408</v>
      </c>
      <c r="C28" s="1" t="n">
        <f aca="false">B28*$K$1</f>
        <v>20.0005696</v>
      </c>
      <c r="D28" s="1" t="n">
        <v>9.74860468865558</v>
      </c>
      <c r="E28" s="1" t="n">
        <f aca="false">D28*$K$1</f>
        <v>21.8076286885225</v>
      </c>
      <c r="F28" s="2" t="n">
        <v>2.5</v>
      </c>
      <c r="G28" s="12" t="n">
        <f aca="false">B28*F28+5</f>
        <v>27.352</v>
      </c>
      <c r="H28" s="3" t="n">
        <v>0</v>
      </c>
      <c r="I28" s="3" t="n">
        <v>0</v>
      </c>
      <c r="J28" s="4" t="n">
        <v>28.4833550968186</v>
      </c>
    </row>
    <row r="29" customFormat="false" ht="15" hidden="false" customHeight="false" outlineLevel="0" collapsed="false">
      <c r="A29" s="0" t="n">
        <f aca="false">A28+1</f>
        <v>27</v>
      </c>
      <c r="B29" s="1" t="n">
        <f aca="false">B28+H29*1</f>
        <v>8.9408</v>
      </c>
      <c r="C29" s="1" t="n">
        <f aca="false">B29*$K$1</f>
        <v>20.0005696</v>
      </c>
      <c r="D29" s="1" t="n">
        <v>9.60175993646728</v>
      </c>
      <c r="E29" s="1" t="n">
        <f aca="false">D29*$K$1</f>
        <v>21.4791369778773</v>
      </c>
      <c r="F29" s="2" t="n">
        <v>2.5</v>
      </c>
      <c r="G29" s="12" t="n">
        <f aca="false">B29*F29+5</f>
        <v>27.352</v>
      </c>
      <c r="H29" s="3" t="n">
        <v>0</v>
      </c>
      <c r="I29" s="3" t="n">
        <v>0</v>
      </c>
      <c r="J29" s="4" t="n">
        <v>27.7444459354276</v>
      </c>
    </row>
    <row r="30" customFormat="false" ht="15" hidden="false" customHeight="false" outlineLevel="0" collapsed="false">
      <c r="A30" s="0" t="n">
        <f aca="false">A29+1</f>
        <v>28</v>
      </c>
      <c r="B30" s="1" t="n">
        <f aca="false">B29+H30*1</f>
        <v>8.9408</v>
      </c>
      <c r="C30" s="1" t="n">
        <f aca="false">B30*$K$1</f>
        <v>20.0005696</v>
      </c>
      <c r="D30" s="1" t="n">
        <v>9.39700021055567</v>
      </c>
      <c r="E30" s="1" t="n">
        <f aca="false">D30*$K$1</f>
        <v>21.021089471013</v>
      </c>
      <c r="F30" s="2" t="n">
        <v>2.5</v>
      </c>
      <c r="G30" s="12" t="n">
        <f aca="false">B30*F30+5</f>
        <v>27.352</v>
      </c>
      <c r="H30" s="3" t="n">
        <v>0</v>
      </c>
      <c r="I30" s="3" t="n">
        <v>0</v>
      </c>
      <c r="J30" s="4" t="n">
        <v>27.1860724047598</v>
      </c>
    </row>
    <row r="31" customFormat="false" ht="15" hidden="false" customHeight="false" outlineLevel="0" collapsed="false">
      <c r="A31" s="0" t="n">
        <f aca="false">A30+1</f>
        <v>29</v>
      </c>
      <c r="B31" s="1" t="n">
        <f aca="false">B30+H31*1</f>
        <v>8.9408</v>
      </c>
      <c r="C31" s="1" t="n">
        <f aca="false">B31*$K$1</f>
        <v>20.0005696</v>
      </c>
      <c r="D31" s="1" t="n">
        <v>9.18636814704641</v>
      </c>
      <c r="E31" s="1" t="n">
        <f aca="false">D31*$K$1</f>
        <v>20.5499055449428</v>
      </c>
      <c r="F31" s="2" t="n">
        <v>2.5</v>
      </c>
      <c r="G31" s="12" t="n">
        <f aca="false">B31*F31+5</f>
        <v>27.352</v>
      </c>
      <c r="H31" s="3" t="n">
        <v>0</v>
      </c>
      <c r="I31" s="3" t="n">
        <v>0</v>
      </c>
      <c r="J31" s="4" t="n">
        <v>26.8385339626398</v>
      </c>
    </row>
    <row r="32" customFormat="false" ht="15" hidden="false" customHeight="false" outlineLevel="0" collapsed="false">
      <c r="A32" s="0" t="n">
        <f aca="false">A31+1</f>
        <v>30</v>
      </c>
      <c r="B32" s="1" t="n">
        <f aca="false">B31+H32*1</f>
        <v>8.9408</v>
      </c>
      <c r="C32" s="1" t="n">
        <f aca="false">B32*$K$1</f>
        <v>20.0005696</v>
      </c>
      <c r="D32" s="1" t="n">
        <v>9.00568867104517</v>
      </c>
      <c r="E32" s="1" t="n">
        <f aca="false">D32*$K$1</f>
        <v>20.145725557128</v>
      </c>
      <c r="F32" s="2" t="n">
        <v>2.5</v>
      </c>
      <c r="G32" s="12" t="n">
        <f aca="false">B32*F32+5</f>
        <v>27.352</v>
      </c>
      <c r="H32" s="3" t="n">
        <v>0</v>
      </c>
      <c r="I32" s="3" t="n">
        <v>0</v>
      </c>
      <c r="J32" s="4" t="n">
        <v>26.6882169558875</v>
      </c>
    </row>
    <row r="33" customFormat="false" ht="15" hidden="false" customHeight="false" outlineLevel="0" collapsed="false">
      <c r="A33" s="0" t="n">
        <f aca="false">A32+1</f>
        <v>31</v>
      </c>
      <c r="B33" s="1" t="n">
        <f aca="false">B32+H33*1</f>
        <v>8.9408</v>
      </c>
      <c r="C33" s="1" t="n">
        <f aca="false">B33*$K$1</f>
        <v>20.0005696</v>
      </c>
      <c r="D33" s="1" t="n">
        <v>8.87415340494374</v>
      </c>
      <c r="E33" s="1" t="n">
        <f aca="false">D33*$K$1</f>
        <v>19.8514811668591</v>
      </c>
      <c r="F33" s="2" t="n">
        <v>2.5</v>
      </c>
      <c r="G33" s="12" t="n">
        <f aca="false">B33*F33+5</f>
        <v>27.352</v>
      </c>
      <c r="H33" s="3" t="n">
        <v>0</v>
      </c>
      <c r="I33" s="3" t="n">
        <v>0</v>
      </c>
      <c r="J33" s="4" t="n">
        <v>26.6942664740148</v>
      </c>
    </row>
    <row r="34" customFormat="false" ht="15" hidden="false" customHeight="false" outlineLevel="0" collapsed="false">
      <c r="A34" s="0" t="n">
        <f aca="false">A33+1</f>
        <v>32</v>
      </c>
      <c r="B34" s="1" t="n">
        <f aca="false">B33+H34*1</f>
        <v>8.9408</v>
      </c>
      <c r="C34" s="1" t="n">
        <f aca="false">B34*$K$1</f>
        <v>20.0005696</v>
      </c>
      <c r="D34" s="1" t="n">
        <v>8.79671824322348</v>
      </c>
      <c r="E34" s="1" t="n">
        <f aca="false">D34*$K$1</f>
        <v>19.6782587100909</v>
      </c>
      <c r="F34" s="2" t="n">
        <v>2.5</v>
      </c>
      <c r="G34" s="12" t="n">
        <f aca="false">B34*F34+5</f>
        <v>27.352</v>
      </c>
      <c r="H34" s="3" t="n">
        <v>0</v>
      </c>
      <c r="I34" s="3" t="n">
        <v>0</v>
      </c>
      <c r="J34" s="4" t="n">
        <v>26.8041430116781</v>
      </c>
    </row>
    <row r="35" customFormat="false" ht="15" hidden="false" customHeight="false" outlineLevel="0" collapsed="false">
      <c r="A35" s="0" t="n">
        <f aca="false">A34+1</f>
        <v>33</v>
      </c>
      <c r="B35" s="1" t="n">
        <f aca="false">B34+H35*1</f>
        <v>8.9408</v>
      </c>
      <c r="C35" s="1" t="n">
        <f aca="false">B35*$K$1</f>
        <v>20.0005696</v>
      </c>
      <c r="D35" s="1" t="n">
        <v>8.76800063081413</v>
      </c>
      <c r="E35" s="1" t="n">
        <f aca="false">D35*$K$1</f>
        <v>19.6140174111312</v>
      </c>
      <c r="F35" s="2" t="n">
        <v>2.5</v>
      </c>
      <c r="G35" s="12" t="n">
        <f aca="false">B35*F35+5</f>
        <v>27.352</v>
      </c>
      <c r="H35" s="3" t="n">
        <v>0</v>
      </c>
      <c r="I35" s="3" t="n">
        <v>0</v>
      </c>
      <c r="J35" s="4" t="n">
        <v>26.9659288110421</v>
      </c>
    </row>
    <row r="36" customFormat="false" ht="15" hidden="false" customHeight="false" outlineLevel="0" collapsed="false">
      <c r="A36" s="0" t="n">
        <f aca="false">A35+1</f>
        <v>34</v>
      </c>
      <c r="B36" s="1" t="n">
        <f aca="false">B35+H36*1</f>
        <v>8.9408</v>
      </c>
      <c r="C36" s="1" t="n">
        <f aca="false">B36*$K$1</f>
        <v>20.0005696</v>
      </c>
      <c r="D36" s="1" t="n">
        <v>8.77655494731723</v>
      </c>
      <c r="E36" s="1" t="n">
        <f aca="false">D36*$K$1</f>
        <v>19.6331534171486</v>
      </c>
      <c r="F36" s="2" t="n">
        <v>2.5</v>
      </c>
      <c r="G36" s="12" t="n">
        <f aca="false">B36*F36+5</f>
        <v>27.352</v>
      </c>
      <c r="H36" s="3" t="n">
        <v>0</v>
      </c>
      <c r="I36" s="3" t="n">
        <v>0</v>
      </c>
      <c r="J36" s="4" t="n">
        <v>27.1364758136392</v>
      </c>
    </row>
    <row r="37" customFormat="false" ht="15" hidden="false" customHeight="false" outlineLevel="0" collapsed="false">
      <c r="A37" s="0" t="n">
        <f aca="false">A36+1</f>
        <v>35</v>
      </c>
      <c r="B37" s="1" t="n">
        <f aca="false">B36+H37*1</f>
        <v>8.9408</v>
      </c>
      <c r="C37" s="1" t="n">
        <f aca="false">B37*$K$1</f>
        <v>20.0005696</v>
      </c>
      <c r="D37" s="1" t="n">
        <v>8.80871344436516</v>
      </c>
      <c r="E37" s="1" t="n">
        <f aca="false">D37*$K$1</f>
        <v>19.7050919750449</v>
      </c>
      <c r="F37" s="2" t="n">
        <v>2.5</v>
      </c>
      <c r="G37" s="12" t="n">
        <f aca="false">B37*F37+5</f>
        <v>27.352</v>
      </c>
      <c r="H37" s="3" t="n">
        <v>0</v>
      </c>
      <c r="I37" s="3" t="n">
        <v>0</v>
      </c>
      <c r="J37" s="4" t="n">
        <v>27.2854556515855</v>
      </c>
    </row>
    <row r="38" customFormat="false" ht="15" hidden="false" customHeight="false" outlineLevel="0" collapsed="false">
      <c r="A38" s="0" t="n">
        <f aca="false">A37+1</f>
        <v>36</v>
      </c>
      <c r="B38" s="1" t="n">
        <f aca="false">B37+H38*1</f>
        <v>9.83488</v>
      </c>
      <c r="C38" s="1" t="n">
        <f aca="false">B38*$K$1</f>
        <v>22.00062656</v>
      </c>
      <c r="D38" s="1" t="n">
        <v>8.84257724289319</v>
      </c>
      <c r="E38" s="1" t="n">
        <f aca="false">D38*$K$1</f>
        <v>19.7808452923521</v>
      </c>
      <c r="F38" s="2" t="n">
        <v>2.5</v>
      </c>
      <c r="G38" s="12" t="n">
        <f aca="false">B38*F38+5</f>
        <v>29.5872</v>
      </c>
      <c r="H38" s="3" t="n">
        <v>0.89408</v>
      </c>
      <c r="I38" s="3" t="n">
        <v>0</v>
      </c>
      <c r="J38" s="4" t="n">
        <v>27.8579528292517</v>
      </c>
    </row>
    <row r="39" customFormat="false" ht="15" hidden="false" customHeight="false" outlineLevel="0" collapsed="false">
      <c r="A39" s="0" t="n">
        <f aca="false">A38+1</f>
        <v>37</v>
      </c>
      <c r="B39" s="1" t="n">
        <f aca="false">B38+H39*1</f>
        <v>10.72896</v>
      </c>
      <c r="C39" s="1" t="n">
        <f aca="false">B39*$K$1</f>
        <v>24.00068352</v>
      </c>
      <c r="D39" s="1" t="n">
        <v>8.96015287233895</v>
      </c>
      <c r="E39" s="1" t="n">
        <f aca="false">D39*$K$1</f>
        <v>20.0438619754222</v>
      </c>
      <c r="F39" s="2" t="n">
        <v>2.5</v>
      </c>
      <c r="G39" s="12" t="n">
        <f aca="false">B39*F39+5</f>
        <v>31.8224</v>
      </c>
      <c r="H39" s="3" t="n">
        <v>0.89408</v>
      </c>
      <c r="I39" s="3" t="n">
        <v>0</v>
      </c>
      <c r="J39" s="4" t="n">
        <v>29.256989104688</v>
      </c>
    </row>
    <row r="40" customFormat="false" ht="15" hidden="false" customHeight="false" outlineLevel="0" collapsed="false">
      <c r="A40" s="0" t="n">
        <f aca="false">A39+1</f>
        <v>38</v>
      </c>
      <c r="B40" s="1" t="n">
        <f aca="false">B39+H40*1</f>
        <v>11.62304</v>
      </c>
      <c r="C40" s="1" t="n">
        <f aca="false">B40*$K$1</f>
        <v>26.00074048</v>
      </c>
      <c r="D40" s="1" t="n">
        <v>9.2587649565245</v>
      </c>
      <c r="E40" s="1" t="n">
        <f aca="false">D40*$K$1</f>
        <v>20.7118572077453</v>
      </c>
      <c r="F40" s="2" t="n">
        <v>2.5</v>
      </c>
      <c r="G40" s="12" t="n">
        <f aca="false">B40*F40+5</f>
        <v>34.0576</v>
      </c>
      <c r="H40" s="3" t="n">
        <v>0.89408</v>
      </c>
      <c r="I40" s="3" t="n">
        <v>0</v>
      </c>
      <c r="J40" s="4" t="n">
        <v>31.3445197035594</v>
      </c>
    </row>
    <row r="41" customFormat="false" ht="15" hidden="false" customHeight="false" outlineLevel="0" collapsed="false">
      <c r="A41" s="0" t="n">
        <f aca="false">A40+1</f>
        <v>39</v>
      </c>
      <c r="B41" s="1" t="n">
        <f aca="false">B40+H41*1</f>
        <v>12.51712</v>
      </c>
      <c r="C41" s="1" t="n">
        <f aca="false">B41*$K$1</f>
        <v>28.00079744</v>
      </c>
      <c r="D41" s="1" t="n">
        <v>9.77451586705337</v>
      </c>
      <c r="E41" s="1" t="n">
        <f aca="false">D41*$K$1</f>
        <v>21.8655919945984</v>
      </c>
      <c r="F41" s="2" t="n">
        <v>2.5</v>
      </c>
      <c r="G41" s="12" t="n">
        <f aca="false">B41*F41+5</f>
        <v>36.2928</v>
      </c>
      <c r="H41" s="3" t="n">
        <v>0.89408</v>
      </c>
      <c r="I41" s="3" t="n">
        <v>0</v>
      </c>
      <c r="J41" s="4" t="n">
        <v>33.9172528637415</v>
      </c>
    </row>
    <row r="42" customFormat="false" ht="15" hidden="false" customHeight="false" outlineLevel="0" collapsed="false">
      <c r="A42" s="0" t="n">
        <f aca="false">A41+1</f>
        <v>40</v>
      </c>
      <c r="B42" s="1" t="n">
        <f aca="false">B41+H42*1</f>
        <v>13.4112</v>
      </c>
      <c r="C42" s="1" t="n">
        <f aca="false">B42*$K$1</f>
        <v>30.0008544</v>
      </c>
      <c r="D42" s="1" t="n">
        <v>10.4966669911441</v>
      </c>
      <c r="E42" s="1" t="n">
        <f aca="false">D42*$K$1</f>
        <v>23.4810440591893</v>
      </c>
      <c r="F42" s="2" t="n">
        <v>2.5</v>
      </c>
      <c r="G42" s="12" t="n">
        <f aca="false">B42*F42+5</f>
        <v>38.528</v>
      </c>
      <c r="H42" s="3" t="n">
        <v>0.89408</v>
      </c>
      <c r="I42" s="3" t="n">
        <v>0</v>
      </c>
      <c r="J42" s="4" t="n">
        <v>36.7608742276882</v>
      </c>
    </row>
    <row r="43" customFormat="false" ht="15" hidden="false" customHeight="false" outlineLevel="0" collapsed="false">
      <c r="A43" s="0" t="n">
        <f aca="false">A42+1</f>
        <v>41</v>
      </c>
      <c r="B43" s="1" t="n">
        <f aca="false">B42+H43*1</f>
        <v>14.30528</v>
      </c>
      <c r="C43" s="1" t="n">
        <f aca="false">B43*$K$1</f>
        <v>32.00091136</v>
      </c>
      <c r="D43" s="1" t="n">
        <v>11.3848135708484</v>
      </c>
      <c r="E43" s="1" t="n">
        <f aca="false">D43*$K$1</f>
        <v>25.4678279579879</v>
      </c>
      <c r="F43" s="2" t="n">
        <v>2.5</v>
      </c>
      <c r="G43" s="12" t="n">
        <f aca="false">B43*F43+5</f>
        <v>40.7632</v>
      </c>
      <c r="H43" s="3" t="n">
        <v>0.89408</v>
      </c>
      <c r="I43" s="3" t="n">
        <v>0</v>
      </c>
      <c r="J43" s="4" t="n">
        <v>39.6881626483142</v>
      </c>
    </row>
    <row r="44" customFormat="false" ht="15" hidden="false" customHeight="false" outlineLevel="0" collapsed="false">
      <c r="A44" s="0" t="n">
        <f aca="false">A43+1</f>
        <v>42</v>
      </c>
      <c r="B44" s="1" t="n">
        <f aca="false">B43+H44*1</f>
        <v>15.19936</v>
      </c>
      <c r="C44" s="1" t="n">
        <f aca="false">B44*$K$1</f>
        <v>34.00096832</v>
      </c>
      <c r="D44" s="1" t="n">
        <v>12.3851686150915</v>
      </c>
      <c r="E44" s="1" t="n">
        <f aca="false">D44*$K$1</f>
        <v>27.7056221919597</v>
      </c>
      <c r="F44" s="2" t="n">
        <v>2.5</v>
      </c>
      <c r="G44" s="12" t="n">
        <f aca="false">B44*F44+5</f>
        <v>42.9984</v>
      </c>
      <c r="H44" s="3" t="n">
        <v>0.89408</v>
      </c>
      <c r="I44" s="3" t="n">
        <v>0</v>
      </c>
      <c r="J44" s="4" t="n">
        <v>42.5601772525872</v>
      </c>
    </row>
    <row r="45" customFormat="false" ht="15" hidden="false" customHeight="false" outlineLevel="0" collapsed="false">
      <c r="A45" s="0" t="n">
        <f aca="false">A44+1</f>
        <v>43</v>
      </c>
      <c r="B45" s="1" t="n">
        <f aca="false">B44+H45*1</f>
        <v>16.09344</v>
      </c>
      <c r="C45" s="1" t="n">
        <f aca="false">B45*$K$1</f>
        <v>36.00102528</v>
      </c>
      <c r="D45" s="1" t="n">
        <v>13.4436297920051</v>
      </c>
      <c r="E45" s="1" t="n">
        <f aca="false">D45*$K$1</f>
        <v>30.0733998447154</v>
      </c>
      <c r="F45" s="2" t="n">
        <v>2.5</v>
      </c>
      <c r="G45" s="12" t="n">
        <f aca="false">B45*F45+5</f>
        <v>45.2336</v>
      </c>
      <c r="H45" s="3" t="n">
        <v>0.89408</v>
      </c>
      <c r="I45" s="3" t="n">
        <v>0</v>
      </c>
      <c r="J45" s="4" t="n">
        <v>45.2926897227238</v>
      </c>
    </row>
    <row r="46" customFormat="false" ht="15" hidden="false" customHeight="false" outlineLevel="0" collapsed="false">
      <c r="A46" s="0" t="n">
        <f aca="false">A45+1</f>
        <v>44</v>
      </c>
      <c r="B46" s="1" t="n">
        <f aca="false">B45+H46*1</f>
        <v>16.98752</v>
      </c>
      <c r="C46" s="1" t="n">
        <f aca="false">B46*$K$1</f>
        <v>38.00108224</v>
      </c>
      <c r="D46" s="1" t="n">
        <v>14.5145878853738</v>
      </c>
      <c r="E46" s="1" t="n">
        <f aca="false">D46*$K$1</f>
        <v>32.4691330995812</v>
      </c>
      <c r="F46" s="2" t="n">
        <v>2.5</v>
      </c>
      <c r="G46" s="12" t="n">
        <f aca="false">B46*F46+5</f>
        <v>47.4688</v>
      </c>
      <c r="H46" s="3" t="n">
        <v>0.89408</v>
      </c>
      <c r="I46" s="3" t="n">
        <v>0</v>
      </c>
      <c r="J46" s="4" t="n">
        <v>47.8516927117637</v>
      </c>
    </row>
    <row r="47" customFormat="false" ht="15" hidden="false" customHeight="false" outlineLevel="0" collapsed="false">
      <c r="A47" s="0" t="n">
        <f aca="false">A46+1</f>
        <v>45</v>
      </c>
      <c r="B47" s="1" t="n">
        <f aca="false">B46+H47*1</f>
        <v>17.8816</v>
      </c>
      <c r="C47" s="1" t="n">
        <f aca="false">B47*$K$1</f>
        <v>40.0011392</v>
      </c>
      <c r="D47" s="1" t="n">
        <v>15.5654639699493</v>
      </c>
      <c r="E47" s="1" t="n">
        <f aca="false">D47*$K$1</f>
        <v>34.8199429007766</v>
      </c>
      <c r="F47" s="2" t="n">
        <v>2.5</v>
      </c>
      <c r="G47" s="12" t="n">
        <f aca="false">B47*F47+5</f>
        <v>49.704</v>
      </c>
      <c r="H47" s="3" t="n">
        <v>0.89408</v>
      </c>
      <c r="I47" s="3" t="n">
        <v>0</v>
      </c>
      <c r="J47" s="4" t="n">
        <v>50.2423094876809</v>
      </c>
    </row>
    <row r="48" customFormat="false" ht="15" hidden="false" customHeight="false" outlineLevel="0" collapsed="false">
      <c r="A48" s="0" t="n">
        <f aca="false">A47+1</f>
        <v>46</v>
      </c>
      <c r="B48" s="1" t="n">
        <f aca="false">B47+H48*1</f>
        <v>17.8816</v>
      </c>
      <c r="C48" s="1" t="n">
        <f aca="false">B48*$K$1</f>
        <v>40.0011392</v>
      </c>
      <c r="D48" s="1" t="n">
        <v>16.5865946981352</v>
      </c>
      <c r="E48" s="1" t="n">
        <f aca="false">D48*$K$1</f>
        <v>37.1042123397284</v>
      </c>
      <c r="F48" s="2" t="n">
        <v>2.5</v>
      </c>
      <c r="G48" s="12" t="n">
        <f aca="false">B48*F48+5</f>
        <v>49.704</v>
      </c>
      <c r="H48" s="3" t="n">
        <v>0</v>
      </c>
      <c r="I48" s="3" t="n">
        <v>0</v>
      </c>
      <c r="J48" s="4" t="n">
        <v>52.033123915922</v>
      </c>
    </row>
    <row r="49" customFormat="false" ht="15" hidden="false" customHeight="false" outlineLevel="0" collapsed="false">
      <c r="A49" s="0" t="n">
        <f aca="false">A48+1</f>
        <v>47</v>
      </c>
      <c r="B49" s="1" t="n">
        <f aca="false">B48+H49*1</f>
        <v>17.8816</v>
      </c>
      <c r="C49" s="1" t="n">
        <f aca="false">B49*$K$1</f>
        <v>40.0011392</v>
      </c>
      <c r="D49" s="1" t="n">
        <v>17.4793311680815</v>
      </c>
      <c r="E49" s="1" t="n">
        <f aca="false">D49*$K$1</f>
        <v>39.1012638229983</v>
      </c>
      <c r="F49" s="2" t="n">
        <v>2.5</v>
      </c>
      <c r="G49" s="12" t="n">
        <f aca="false">B49*F49+5</f>
        <v>49.704</v>
      </c>
      <c r="H49" s="3" t="n">
        <v>0</v>
      </c>
      <c r="I49" s="3" t="n">
        <v>0</v>
      </c>
      <c r="J49" s="4" t="n">
        <v>52.8586373826882</v>
      </c>
    </row>
    <row r="50" customFormat="false" ht="15" hidden="false" customHeight="false" outlineLevel="0" collapsed="false">
      <c r="A50" s="0" t="n">
        <f aca="false">A49+1</f>
        <v>48</v>
      </c>
      <c r="B50" s="1" t="n">
        <f aca="false">B49+H50*1</f>
        <v>17.8816</v>
      </c>
      <c r="C50" s="1" t="n">
        <f aca="false">B50*$K$1</f>
        <v>40.0011392</v>
      </c>
      <c r="D50" s="1" t="n">
        <v>18.1423835742298</v>
      </c>
      <c r="E50" s="1" t="n">
        <f aca="false">D50*$K$1</f>
        <v>40.5845120555521</v>
      </c>
      <c r="F50" s="2" t="n">
        <v>2.5</v>
      </c>
      <c r="G50" s="12" t="n">
        <f aca="false">B50*F50+5</f>
        <v>49.704</v>
      </c>
      <c r="H50" s="3" t="n">
        <v>0</v>
      </c>
      <c r="I50" s="3" t="n">
        <v>0</v>
      </c>
      <c r="J50" s="4" t="n">
        <v>52.9043687495106</v>
      </c>
    </row>
    <row r="51" customFormat="false" ht="15" hidden="false" customHeight="false" outlineLevel="0" collapsed="false">
      <c r="A51" s="0" t="n">
        <f aca="false">A50+1</f>
        <v>49</v>
      </c>
      <c r="B51" s="1" t="n">
        <f aca="false">B50+H51*1</f>
        <v>17.8816</v>
      </c>
      <c r="C51" s="1" t="n">
        <f aca="false">B51*$K$1</f>
        <v>40.0011392</v>
      </c>
      <c r="D51" s="1" t="n">
        <v>18.54481885183</v>
      </c>
      <c r="E51" s="1" t="n">
        <f aca="false">D51*$K$1</f>
        <v>41.4847597715437</v>
      </c>
      <c r="F51" s="2" t="n">
        <v>2.5</v>
      </c>
      <c r="G51" s="12" t="n">
        <f aca="false">B51*F51+5</f>
        <v>49.704</v>
      </c>
      <c r="H51" s="3" t="n">
        <v>0</v>
      </c>
      <c r="I51" s="3" t="n">
        <v>0</v>
      </c>
      <c r="J51" s="4" t="n">
        <v>52.420115155664</v>
      </c>
    </row>
    <row r="52" customFormat="false" ht="15" hidden="false" customHeight="false" outlineLevel="0" collapsed="false">
      <c r="A52" s="0" t="n">
        <f aca="false">A51+1</f>
        <v>50</v>
      </c>
      <c r="B52" s="1" t="n">
        <f aca="false">B51+H52*1</f>
        <v>17.8816</v>
      </c>
      <c r="C52" s="1" t="n">
        <f aca="false">B52*$K$1</f>
        <v>40.0011392</v>
      </c>
      <c r="D52" s="1" t="n">
        <v>18.7078353737227</v>
      </c>
      <c r="E52" s="1" t="n">
        <f aca="false">D52*$K$1</f>
        <v>41.8494277310177</v>
      </c>
      <c r="F52" s="2" t="n">
        <v>2.5</v>
      </c>
      <c r="G52" s="12" t="n">
        <f aca="false">B52*F52+5</f>
        <v>49.704</v>
      </c>
      <c r="H52" s="3" t="n">
        <v>0</v>
      </c>
      <c r="I52" s="3" t="n">
        <v>0</v>
      </c>
      <c r="J52" s="4" t="n">
        <v>51.658564886388</v>
      </c>
    </row>
    <row r="53" customFormat="false" ht="15" hidden="false" customHeight="false" outlineLevel="0" collapsed="false">
      <c r="A53" s="0" t="n">
        <f aca="false">A52+1</f>
        <v>51</v>
      </c>
      <c r="B53" s="1" t="n">
        <f aca="false">B52+H53*1</f>
        <v>17.8816</v>
      </c>
      <c r="C53" s="1" t="n">
        <f aca="false">B53*$K$1</f>
        <v>40.0011392</v>
      </c>
      <c r="D53" s="1" t="n">
        <v>18.6841605780456</v>
      </c>
      <c r="E53" s="1" t="n">
        <f aca="false">D53*$K$1</f>
        <v>41.796467213088</v>
      </c>
      <c r="F53" s="2" t="n">
        <v>2.5</v>
      </c>
      <c r="G53" s="12" t="n">
        <f aca="false">B53*F53+5</f>
        <v>49.704</v>
      </c>
      <c r="H53" s="3" t="n">
        <v>0</v>
      </c>
      <c r="I53" s="3" t="n">
        <v>0</v>
      </c>
      <c r="J53" s="4" t="n">
        <v>50.8336891997477</v>
      </c>
    </row>
    <row r="54" customFormat="false" ht="15" hidden="false" customHeight="false" outlineLevel="0" collapsed="false">
      <c r="A54" s="0" t="n">
        <f aca="false">A53+1</f>
        <v>52</v>
      </c>
      <c r="B54" s="1" t="n">
        <f aca="false">B53+H54*1</f>
        <v>17.8816</v>
      </c>
      <c r="C54" s="1" t="n">
        <f aca="false">B54*$K$1</f>
        <v>40.0011392</v>
      </c>
      <c r="D54" s="1" t="n">
        <v>18.5391701242085</v>
      </c>
      <c r="E54" s="1" t="n">
        <f aca="false">D54*$K$1</f>
        <v>41.4721235678544</v>
      </c>
      <c r="F54" s="2" t="n">
        <v>2.5</v>
      </c>
      <c r="G54" s="12" t="n">
        <f aca="false">B54*F54+5</f>
        <v>49.704</v>
      </c>
      <c r="H54" s="3" t="n">
        <v>0</v>
      </c>
      <c r="I54" s="3" t="n">
        <v>0</v>
      </c>
      <c r="J54" s="4" t="n">
        <v>50.0990847438534</v>
      </c>
    </row>
    <row r="55" customFormat="false" ht="15" hidden="false" customHeight="false" outlineLevel="0" collapsed="false">
      <c r="A55" s="0" t="n">
        <f aca="false">A54+1</f>
        <v>53</v>
      </c>
      <c r="B55" s="1" t="n">
        <f aca="false">B54+H55*1</f>
        <v>17.8816</v>
      </c>
      <c r="C55" s="1" t="n">
        <f aca="false">B55*$K$1</f>
        <v>40.0011392</v>
      </c>
      <c r="D55" s="1" t="n">
        <v>18.3361985733863</v>
      </c>
      <c r="E55" s="1" t="n">
        <f aca="false">D55*$K$1</f>
        <v>41.0180762086652</v>
      </c>
      <c r="F55" s="2" t="n">
        <v>2.5</v>
      </c>
      <c r="G55" s="12" t="n">
        <f aca="false">B55*F55+5</f>
        <v>49.704</v>
      </c>
      <c r="H55" s="3" t="n">
        <v>0</v>
      </c>
      <c r="I55" s="3" t="n">
        <v>0</v>
      </c>
      <c r="J55" s="4" t="n">
        <v>49.543171767514</v>
      </c>
    </row>
    <row r="56" customFormat="false" ht="15" hidden="false" customHeight="false" outlineLevel="0" collapsed="false">
      <c r="A56" s="0" t="n">
        <f aca="false">A55+1</f>
        <v>54</v>
      </c>
      <c r="B56" s="1" t="n">
        <f aca="false">B55+H56*1</f>
        <v>17.8816</v>
      </c>
      <c r="C56" s="1" t="n">
        <f aca="false">B56*$K$1</f>
        <v>40.0011392</v>
      </c>
      <c r="D56" s="1" t="n">
        <v>18.1270226701838</v>
      </c>
      <c r="E56" s="1" t="n">
        <f aca="false">D56*$K$1</f>
        <v>40.5501497132012</v>
      </c>
      <c r="F56" s="2" t="n">
        <v>2.5</v>
      </c>
      <c r="G56" s="12" t="n">
        <f aca="false">B56*F56+5</f>
        <v>49.704</v>
      </c>
      <c r="H56" s="3" t="n">
        <v>0</v>
      </c>
      <c r="I56" s="3" t="n">
        <v>0</v>
      </c>
      <c r="J56" s="4" t="n">
        <v>49.1964620127763</v>
      </c>
    </row>
    <row r="57" customFormat="false" ht="15" hidden="false" customHeight="false" outlineLevel="0" collapsed="false">
      <c r="A57" s="0" t="n">
        <f aca="false">A56+1</f>
        <v>55</v>
      </c>
      <c r="B57" s="1" t="n">
        <f aca="false">B56+H57*1</f>
        <v>17.8816</v>
      </c>
      <c r="C57" s="1" t="n">
        <f aca="false">B57*$K$1</f>
        <v>40.0011392</v>
      </c>
      <c r="D57" s="1" t="n">
        <v>17.9473425507901</v>
      </c>
      <c r="E57" s="1" t="n">
        <f aca="false">D57*$K$1</f>
        <v>40.1482052861175</v>
      </c>
      <c r="F57" s="2" t="n">
        <v>2.5</v>
      </c>
      <c r="G57" s="12" t="n">
        <f aca="false">B57*F57+5</f>
        <v>49.704</v>
      </c>
      <c r="H57" s="3" t="n">
        <v>0</v>
      </c>
      <c r="I57" s="3" t="n">
        <v>0</v>
      </c>
      <c r="J57" s="4" t="n">
        <v>49.0457466533232</v>
      </c>
    </row>
    <row r="58" customFormat="false" ht="15" hidden="false" customHeight="false" outlineLevel="0" collapsed="false">
      <c r="A58" s="0" t="n">
        <f aca="false">A57+1</f>
        <v>56</v>
      </c>
      <c r="B58" s="1" t="n">
        <f aca="false">B57+H58*1</f>
        <v>17.8816</v>
      </c>
      <c r="C58" s="1" t="n">
        <f aca="false">B58*$K$1</f>
        <v>40.0011392</v>
      </c>
      <c r="D58" s="1" t="n">
        <v>17.8163396959315</v>
      </c>
      <c r="E58" s="1" t="n">
        <f aca="false">D58*$K$1</f>
        <v>39.8551518997988</v>
      </c>
      <c r="F58" s="2" t="n">
        <v>2.5</v>
      </c>
      <c r="G58" s="12" t="n">
        <f aca="false">B58*F58+5</f>
        <v>49.704</v>
      </c>
      <c r="H58" s="3" t="n">
        <v>0</v>
      </c>
      <c r="I58" s="3" t="n">
        <v>0</v>
      </c>
      <c r="J58" s="4" t="n">
        <v>49.0506395197417</v>
      </c>
    </row>
    <row r="59" customFormat="false" ht="15" hidden="false" customHeight="false" outlineLevel="0" collapsed="false">
      <c r="A59" s="0" t="n">
        <f aca="false">A58+1</f>
        <v>57</v>
      </c>
      <c r="B59" s="1" t="n">
        <f aca="false">B58+H59*1</f>
        <v>17.8816</v>
      </c>
      <c r="C59" s="1" t="n">
        <f aca="false">B59*$K$1</f>
        <v>40.0011392</v>
      </c>
      <c r="D59" s="1" t="n">
        <v>17.7390383292409</v>
      </c>
      <c r="E59" s="1" t="n">
        <f aca="false">D59*$K$1</f>
        <v>39.6822287425119</v>
      </c>
      <c r="F59" s="2" t="n">
        <v>2.5</v>
      </c>
      <c r="G59" s="12" t="n">
        <f aca="false">B59*F59+5</f>
        <v>49.704</v>
      </c>
      <c r="H59" s="3" t="n">
        <v>0</v>
      </c>
      <c r="I59" s="3" t="n">
        <v>0</v>
      </c>
      <c r="J59" s="4" t="n">
        <v>49.1590372692585</v>
      </c>
    </row>
    <row r="60" customFormat="false" ht="15" hidden="false" customHeight="false" outlineLevel="0" collapsed="false">
      <c r="A60" s="0" t="n">
        <f aca="false">A59+1</f>
        <v>58</v>
      </c>
      <c r="B60" s="1" t="n">
        <f aca="false">B59+H60*1</f>
        <v>17.8816</v>
      </c>
      <c r="C60" s="1" t="n">
        <f aca="false">B60*$K$1</f>
        <v>40.0011392</v>
      </c>
      <c r="D60" s="1" t="n">
        <v>17.7101658242832</v>
      </c>
      <c r="E60" s="1" t="n">
        <f aca="false">D60*$K$1</f>
        <v>39.6176409489215</v>
      </c>
      <c r="F60" s="2" t="n">
        <v>2.5</v>
      </c>
      <c r="G60" s="12" t="n">
        <f aca="false">B60*F60+5</f>
        <v>49.704</v>
      </c>
      <c r="H60" s="3" t="n">
        <v>0</v>
      </c>
      <c r="I60" s="3" t="n">
        <v>0</v>
      </c>
      <c r="J60" s="4" t="n">
        <v>49.3193662980584</v>
      </c>
    </row>
    <row r="61" customFormat="false" ht="15" hidden="false" customHeight="false" outlineLevel="0" collapsed="false">
      <c r="A61" s="0" t="n">
        <f aca="false">A60+1</f>
        <v>59</v>
      </c>
      <c r="B61" s="1" t="n">
        <f aca="false">B60+H61*1</f>
        <v>17.8816</v>
      </c>
      <c r="C61" s="1" t="n">
        <f aca="false">B61*$K$1</f>
        <v>40.0011392</v>
      </c>
      <c r="D61" s="1" t="n">
        <v>17.7183966838981</v>
      </c>
      <c r="E61" s="1" t="n">
        <f aca="false">D61*$K$1</f>
        <v>39.6360533818801</v>
      </c>
      <c r="F61" s="2" t="n">
        <v>2.5</v>
      </c>
      <c r="G61" s="12" t="n">
        <f aca="false">B61*F61+5</f>
        <v>49.704</v>
      </c>
      <c r="H61" s="3" t="n">
        <v>0</v>
      </c>
      <c r="I61" s="3" t="n">
        <v>0</v>
      </c>
      <c r="J61" s="4" t="n">
        <v>49.488705664962</v>
      </c>
    </row>
    <row r="62" customFormat="false" ht="15" hidden="false" customHeight="false" outlineLevel="0" collapsed="false">
      <c r="A62" s="0" t="n">
        <f aca="false">A61+1</f>
        <v>60</v>
      </c>
      <c r="B62" s="1" t="n">
        <f aca="false">B61+H62*1</f>
        <v>17.8816</v>
      </c>
      <c r="C62" s="1" t="n">
        <f aca="false">B62*$K$1</f>
        <v>40.0011392</v>
      </c>
      <c r="D62" s="1" t="n">
        <v>17.7501707891106</v>
      </c>
      <c r="E62" s="1" t="n">
        <f aca="false">D62*$K$1</f>
        <v>39.7071320552404</v>
      </c>
      <c r="F62" s="2" t="n">
        <v>2.5</v>
      </c>
      <c r="G62" s="12" t="n">
        <f aca="false">B62*F62+5</f>
        <v>49.704</v>
      </c>
      <c r="H62" s="3" t="n">
        <v>0</v>
      </c>
      <c r="I62" s="3" t="n">
        <v>0</v>
      </c>
      <c r="J62" s="4" t="n">
        <v>49.6368391381062</v>
      </c>
    </row>
    <row r="63" customFormat="false" ht="15" hidden="false" customHeight="false" outlineLevel="0" collapsed="false">
      <c r="A63" s="0" t="n">
        <f aca="false">A62+1</f>
        <v>61</v>
      </c>
      <c r="B63" s="1" t="n">
        <f aca="false">B57-H63*1</f>
        <v>16.98752</v>
      </c>
      <c r="C63" s="1" t="n">
        <f aca="false">B63*$K$1</f>
        <v>38.00108224</v>
      </c>
      <c r="D63" s="1" t="n">
        <v>17.8015528002227</v>
      </c>
      <c r="E63" s="1" t="n">
        <f aca="false">D63*$K$1</f>
        <v>39.8220736140982</v>
      </c>
      <c r="F63" s="2" t="n">
        <v>2.5</v>
      </c>
      <c r="G63" s="12" t="n">
        <f aca="false">B63*F63+5</f>
        <v>47.4688</v>
      </c>
      <c r="H63" s="3" t="n">
        <v>0.89408</v>
      </c>
      <c r="I63" s="3" t="n">
        <v>0</v>
      </c>
      <c r="J63" s="4" t="n">
        <v>49.284985586776</v>
      </c>
    </row>
    <row r="64" customFormat="false" ht="15" hidden="false" customHeight="false" outlineLevel="0" collapsed="false">
      <c r="A64" s="0" t="n">
        <f aca="false">A63+1</f>
        <v>62</v>
      </c>
      <c r="B64" s="1" t="n">
        <f aca="false">B63-H64*1</f>
        <v>16.09344</v>
      </c>
      <c r="C64" s="1" t="n">
        <f aca="false">B64*$K$1</f>
        <v>36.00102528</v>
      </c>
      <c r="D64" s="1" t="n">
        <v>17.7697924620345</v>
      </c>
      <c r="E64" s="1" t="n">
        <f aca="false">D64*$K$1</f>
        <v>39.7510257375712</v>
      </c>
      <c r="F64" s="2" t="n">
        <v>2.5</v>
      </c>
      <c r="G64" s="12" t="n">
        <f aca="false">B64*F64+5</f>
        <v>45.2336</v>
      </c>
      <c r="H64" s="3" t="n">
        <v>0.89408</v>
      </c>
      <c r="I64" s="3" t="n">
        <v>0</v>
      </c>
      <c r="J64" s="4" t="n">
        <v>48.0198421477454</v>
      </c>
    </row>
    <row r="65" customFormat="false" ht="15" hidden="false" customHeight="false" outlineLevel="0" collapsed="false">
      <c r="A65" s="0" t="n">
        <f aca="false">A64+1</f>
        <v>63</v>
      </c>
      <c r="B65" s="1" t="n">
        <f aca="false">B64-H65*1</f>
        <v>15.19936</v>
      </c>
      <c r="C65" s="1" t="n">
        <f aca="false">B65*$K$1</f>
        <v>34.00096832</v>
      </c>
      <c r="D65" s="1" t="n">
        <v>17.5435706214815</v>
      </c>
      <c r="E65" s="1" t="n">
        <f aca="false">D65*$K$1</f>
        <v>39.2449674802541</v>
      </c>
      <c r="F65" s="2" t="n">
        <v>2.5</v>
      </c>
      <c r="G65" s="12" t="n">
        <f aca="false">B65*F65+5</f>
        <v>42.9984</v>
      </c>
      <c r="H65" s="3" t="n">
        <v>0.89408</v>
      </c>
      <c r="I65" s="3" t="n">
        <v>0</v>
      </c>
      <c r="J65" s="4" t="n">
        <v>45.9865202083934</v>
      </c>
    </row>
    <row r="66" customFormat="false" ht="15" hidden="false" customHeight="false" outlineLevel="0" collapsed="false">
      <c r="A66" s="0" t="n">
        <f aca="false">A65+1</f>
        <v>64</v>
      </c>
      <c r="B66" s="1" t="n">
        <f aca="false">B65-H66*1</f>
        <v>14.30528</v>
      </c>
      <c r="C66" s="1" t="n">
        <f aca="false">B66*$K$1</f>
        <v>32.00091136</v>
      </c>
      <c r="D66" s="1" t="n">
        <v>17.0795654034681</v>
      </c>
      <c r="E66" s="1" t="n">
        <f aca="false">D66*$K$1</f>
        <v>38.2069878075581</v>
      </c>
      <c r="F66" s="2" t="n">
        <v>2.5</v>
      </c>
      <c r="G66" s="12" t="n">
        <f aca="false">B66*F66+5</f>
        <v>40.7632</v>
      </c>
      <c r="H66" s="3" t="n">
        <v>0.89408</v>
      </c>
      <c r="I66" s="3" t="n">
        <v>0</v>
      </c>
      <c r="J66" s="4" t="n">
        <v>43.405868030624</v>
      </c>
    </row>
    <row r="67" customFormat="false" ht="15" hidden="false" customHeight="false" outlineLevel="0" collapsed="false">
      <c r="A67" s="0" t="n">
        <f aca="false">A66+1</f>
        <v>65</v>
      </c>
      <c r="B67" s="1" t="n">
        <f aca="false">B66-H67*1</f>
        <v>13.4112</v>
      </c>
      <c r="C67" s="1" t="n">
        <f aca="false">B67*$K$1</f>
        <v>30.0008544</v>
      </c>
      <c r="D67" s="1" t="n">
        <v>16.3869982279926</v>
      </c>
      <c r="E67" s="1" t="n">
        <f aca="false">D67*$K$1</f>
        <v>36.6577150360194</v>
      </c>
      <c r="F67" s="2" t="n">
        <v>2.5</v>
      </c>
      <c r="G67" s="12" t="n">
        <f aca="false">B67*F67+5</f>
        <v>38.528</v>
      </c>
      <c r="H67" s="3" t="n">
        <v>0.89408</v>
      </c>
      <c r="I67" s="3" t="n">
        <v>0</v>
      </c>
      <c r="J67" s="4" t="n">
        <v>40.5139623812186</v>
      </c>
    </row>
    <row r="68" customFormat="false" ht="15" hidden="false" customHeight="false" outlineLevel="0" collapsed="false">
      <c r="A68" s="0" t="n">
        <f aca="false">A67+1</f>
        <v>66</v>
      </c>
      <c r="B68" s="1" t="n">
        <f aca="false">B67-H68*1</f>
        <v>12.51712</v>
      </c>
      <c r="C68" s="1" t="n">
        <f aca="false">B68*$K$1</f>
        <v>28.00079744</v>
      </c>
      <c r="D68" s="1" t="n">
        <v>15.508822575037</v>
      </c>
      <c r="E68" s="1" t="n">
        <f aca="false">D68*$K$1</f>
        <v>34.6932361003578</v>
      </c>
      <c r="F68" s="2" t="n">
        <v>2.5</v>
      </c>
      <c r="G68" s="12" t="n">
        <f aca="false">B68*F68+5</f>
        <v>36.2928</v>
      </c>
      <c r="H68" s="3" t="n">
        <v>0.89408</v>
      </c>
      <c r="I68" s="3" t="n">
        <v>0</v>
      </c>
      <c r="J68" s="4" t="n">
        <v>37.5191043806387</v>
      </c>
    </row>
    <row r="69" customFormat="false" ht="15" hidden="false" customHeight="false" outlineLevel="0" collapsed="false">
      <c r="A69" s="0" t="n">
        <f aca="false">A68+1</f>
        <v>67</v>
      </c>
      <c r="B69" s="1" t="n">
        <f aca="false">B68-H69*1</f>
        <v>11.62304</v>
      </c>
      <c r="C69" s="1" t="n">
        <f aca="false">B69*$K$1</f>
        <v>26.00074048</v>
      </c>
      <c r="D69" s="1" t="n">
        <v>14.5036891631167</v>
      </c>
      <c r="E69" s="1" t="n">
        <f aca="false">D69*$K$1</f>
        <v>32.4447526578921</v>
      </c>
      <c r="F69" s="2" t="n">
        <v>2.5</v>
      </c>
      <c r="G69" s="12" t="n">
        <f aca="false">B69*F69+5</f>
        <v>34.0576</v>
      </c>
      <c r="H69" s="3" t="n">
        <v>0.89408</v>
      </c>
      <c r="I69" s="3" t="n">
        <v>0</v>
      </c>
      <c r="J69" s="4" t="n">
        <v>34.5774659581207</v>
      </c>
    </row>
    <row r="70" customFormat="false" ht="15" hidden="false" customHeight="false" outlineLevel="0" collapsed="false">
      <c r="A70" s="0" t="n">
        <f aca="false">A69+1</f>
        <v>68</v>
      </c>
      <c r="B70" s="1" t="n">
        <f aca="false">B69-H70*1</f>
        <v>10.72896</v>
      </c>
      <c r="C70" s="1" t="n">
        <f aca="false">B70*$K$1</f>
        <v>24.00068352</v>
      </c>
      <c r="D70" s="1" t="n">
        <v>13.431333099906</v>
      </c>
      <c r="E70" s="1" t="n">
        <f aca="false">D70*$K$1</f>
        <v>30.0458921444897</v>
      </c>
      <c r="F70" s="2" t="n">
        <v>2.5</v>
      </c>
      <c r="G70" s="12" t="n">
        <f aca="false">B70*F70+5</f>
        <v>31.8224</v>
      </c>
      <c r="H70" s="3" t="n">
        <v>0.89408</v>
      </c>
      <c r="I70" s="3" t="n">
        <v>0</v>
      </c>
      <c r="J70" s="4" t="n">
        <v>31.7851545723444</v>
      </c>
    </row>
    <row r="71" customFormat="false" ht="15" hidden="false" customHeight="false" outlineLevel="0" collapsed="false">
      <c r="A71" s="0" t="n">
        <f aca="false">A70+1</f>
        <v>69</v>
      </c>
      <c r="B71" s="1" t="n">
        <f aca="false">B70-H71*1</f>
        <v>9.83488</v>
      </c>
      <c r="C71" s="1" t="n">
        <f aca="false">B71*$K$1</f>
        <v>22.00062656</v>
      </c>
      <c r="D71" s="1" t="n">
        <v>12.3426055596893</v>
      </c>
      <c r="E71" s="1" t="n">
        <f aca="false">D71*$K$1</f>
        <v>27.610408637025</v>
      </c>
      <c r="F71" s="2" t="n">
        <v>2.5</v>
      </c>
      <c r="G71" s="12" t="n">
        <f aca="false">B71*F71+5</f>
        <v>29.5872</v>
      </c>
      <c r="H71" s="3" t="n">
        <v>0.89408</v>
      </c>
      <c r="I71" s="3" t="n">
        <v>0</v>
      </c>
      <c r="J71" s="4" t="n">
        <v>29.1825585168158</v>
      </c>
    </row>
    <row r="72" customFormat="false" ht="15" hidden="false" customHeight="false" outlineLevel="0" collapsed="false">
      <c r="A72" s="0" t="n">
        <f aca="false">A71+1</f>
        <v>70</v>
      </c>
      <c r="B72" s="1" t="n">
        <f aca="false">B71-H72*1</f>
        <v>8.9408</v>
      </c>
      <c r="C72" s="1" t="n">
        <f aca="false">B72*$K$1</f>
        <v>20.0005696</v>
      </c>
      <c r="D72" s="1" t="n">
        <v>11.2742221182429</v>
      </c>
      <c r="E72" s="1" t="n">
        <f aca="false">D72*$K$1</f>
        <v>25.2204348785094</v>
      </c>
      <c r="F72" s="2" t="n">
        <v>2.5</v>
      </c>
      <c r="G72" s="12" t="n">
        <f aca="false">B72*F72+5</f>
        <v>27.352</v>
      </c>
      <c r="H72" s="3" t="n">
        <v>0.89408</v>
      </c>
      <c r="I72" s="3" t="n">
        <v>0</v>
      </c>
      <c r="J72" s="4" t="n">
        <v>26.7662238346716</v>
      </c>
    </row>
    <row r="73" customFormat="false" ht="15" hidden="false" customHeight="false" outlineLevel="0" collapsed="false">
      <c r="A73" s="0" t="n">
        <f aca="false">A72+1</f>
        <v>71</v>
      </c>
      <c r="B73" s="1" t="n">
        <f aca="false">B72+H73*1</f>
        <v>8.9408</v>
      </c>
      <c r="C73" s="1" t="n">
        <f aca="false">B73*$K$1</f>
        <v>20.0005696</v>
      </c>
      <c r="D73" s="1" t="n">
        <v>10.2385764309073</v>
      </c>
      <c r="E73" s="1" t="n">
        <f aca="false">D73*$K$1</f>
        <v>22.9036954759396</v>
      </c>
      <c r="F73" s="2" t="n">
        <v>2.5</v>
      </c>
      <c r="G73" s="12" t="n">
        <f aca="false">B73*F73+5</f>
        <v>27.352</v>
      </c>
      <c r="H73" s="3" t="n">
        <v>0</v>
      </c>
      <c r="I73" s="3" t="n">
        <v>0</v>
      </c>
      <c r="J73" s="4" t="n">
        <v>24.9658095551939</v>
      </c>
    </row>
    <row r="74" customFormat="false" ht="15" hidden="false" customHeight="false" outlineLevel="0" collapsed="false">
      <c r="A74" s="0" t="n">
        <f aca="false">A73+1</f>
        <v>72</v>
      </c>
      <c r="B74" s="1" t="n">
        <f aca="false">B73+H74*1</f>
        <v>8.9408</v>
      </c>
      <c r="C74" s="1" t="n">
        <f aca="false">B74*$K$1</f>
        <v>20.0005696</v>
      </c>
      <c r="D74" s="1" t="n">
        <v>9.33566586891154</v>
      </c>
      <c r="E74" s="1" t="n">
        <f aca="false">D74*$K$1</f>
        <v>20.8838845487551</v>
      </c>
      <c r="F74" s="2" t="n">
        <v>2.5</v>
      </c>
      <c r="G74" s="12" t="n">
        <f aca="false">B74*F74+5</f>
        <v>27.352</v>
      </c>
      <c r="H74" s="3" t="n">
        <v>0</v>
      </c>
      <c r="I74" s="3" t="n">
        <v>0</v>
      </c>
      <c r="J74" s="4" t="n">
        <v>24.1430434252239</v>
      </c>
    </row>
    <row r="75" customFormat="false" ht="15" hidden="false" customHeight="false" outlineLevel="0" collapsed="false">
      <c r="A75" s="0" t="n">
        <f aca="false">A74+1</f>
        <v>73</v>
      </c>
      <c r="B75" s="1" t="n">
        <f aca="false">B74+H75*1</f>
        <v>8.9408</v>
      </c>
      <c r="C75" s="1" t="n">
        <f aca="false">B75*$K$1</f>
        <v>20.0005696</v>
      </c>
      <c r="D75" s="1" t="n">
        <v>8.66698561467348</v>
      </c>
      <c r="E75" s="1" t="n">
        <f aca="false">D75*$K$1</f>
        <v>19.3880468200246</v>
      </c>
      <c r="F75" s="2" t="n">
        <v>2.5</v>
      </c>
      <c r="G75" s="12" t="n">
        <f aca="false">B75*F75+5</f>
        <v>27.352</v>
      </c>
      <c r="H75" s="3" t="n">
        <v>0</v>
      </c>
      <c r="I75" s="3" t="n">
        <v>0</v>
      </c>
      <c r="J75" s="4" t="n">
        <v>24.1078927390347</v>
      </c>
    </row>
    <row r="76" customFormat="false" ht="15" hidden="false" customHeight="false" outlineLevel="0" collapsed="false">
      <c r="A76" s="0" t="n">
        <f aca="false">A75+1</f>
        <v>74</v>
      </c>
      <c r="B76" s="1" t="n">
        <f aca="false">B75+H76*1</f>
        <v>8.9408</v>
      </c>
      <c r="C76" s="1" t="n">
        <f aca="false">B76*$K$1</f>
        <v>20.0005696</v>
      </c>
      <c r="D76" s="1" t="n">
        <v>8.2628749409389</v>
      </c>
      <c r="E76" s="1" t="n">
        <f aca="false">D76*$K$1</f>
        <v>18.4840512428803</v>
      </c>
      <c r="F76" s="2" t="n">
        <v>2.5</v>
      </c>
      <c r="G76" s="12" t="n">
        <f aca="false">B76*F76+5</f>
        <v>27.352</v>
      </c>
      <c r="H76" s="3" t="n">
        <v>0</v>
      </c>
      <c r="I76" s="3" t="n">
        <v>0</v>
      </c>
      <c r="J76" s="4" t="n">
        <v>24.6062747806774</v>
      </c>
    </row>
    <row r="77" customFormat="false" ht="15" hidden="false" customHeight="false" outlineLevel="0" collapsed="false">
      <c r="A77" s="0" t="n">
        <f aca="false">A76+1</f>
        <v>75</v>
      </c>
      <c r="B77" s="1" t="n">
        <f aca="false">B76+H77*1</f>
        <v>8.9408</v>
      </c>
      <c r="C77" s="1" t="n">
        <f aca="false">B77*$K$1</f>
        <v>20.0005696</v>
      </c>
      <c r="D77" s="1" t="n">
        <v>8.10110159666706</v>
      </c>
      <c r="E77" s="1" t="n">
        <f aca="false">D77*$K$1</f>
        <v>18.1221642717442</v>
      </c>
      <c r="F77" s="2" t="n">
        <v>2.5</v>
      </c>
      <c r="G77" s="12" t="n">
        <f aca="false">B77*F77+5</f>
        <v>27.352</v>
      </c>
      <c r="H77" s="3" t="n">
        <v>0</v>
      </c>
      <c r="I77" s="3" t="n">
        <v>0</v>
      </c>
      <c r="J77" s="4" t="n">
        <v>25.3820581798738</v>
      </c>
    </row>
    <row r="78" customFormat="false" ht="15" hidden="false" customHeight="false" outlineLevel="0" collapsed="false">
      <c r="A78" s="0" t="n">
        <f aca="false">A77+1</f>
        <v>76</v>
      </c>
      <c r="B78" s="1" t="n">
        <f aca="false">B77+H78*1</f>
        <v>8.9408</v>
      </c>
      <c r="C78" s="1" t="n">
        <f aca="false">B78*$K$1</f>
        <v>20.0005696</v>
      </c>
      <c r="D78" s="1" t="n">
        <v>8.12777564948687</v>
      </c>
      <c r="E78" s="1" t="n">
        <f aca="false">D78*$K$1</f>
        <v>18.1818341279021</v>
      </c>
      <c r="F78" s="2" t="n">
        <v>2.5</v>
      </c>
      <c r="G78" s="12" t="n">
        <f aca="false">B78*F78+5</f>
        <v>27.352</v>
      </c>
      <c r="H78" s="3" t="n">
        <v>0</v>
      </c>
      <c r="I78" s="3" t="n">
        <v>0</v>
      </c>
      <c r="J78" s="4" t="n">
        <v>26.2189472042621</v>
      </c>
    </row>
    <row r="79" customFormat="false" ht="15" hidden="false" customHeight="false" outlineLevel="0" collapsed="false">
      <c r="A79" s="0" t="n">
        <f aca="false">A78+1</f>
        <v>77</v>
      </c>
      <c r="B79" s="1" t="n">
        <f aca="false">B78+H79*1</f>
        <v>8.9408</v>
      </c>
      <c r="C79" s="1" t="n">
        <f aca="false">B79*$K$1</f>
        <v>20.0005696</v>
      </c>
      <c r="D79" s="1" t="n">
        <v>8.2764597768371</v>
      </c>
      <c r="E79" s="1" t="n">
        <f aca="false">D79*$K$1</f>
        <v>18.5144405207846</v>
      </c>
      <c r="F79" s="2" t="n">
        <v>2.5</v>
      </c>
      <c r="G79" s="12" t="n">
        <f aca="false">B79*F79+5</f>
        <v>27.352</v>
      </c>
      <c r="H79" s="3" t="n">
        <v>0</v>
      </c>
      <c r="I79" s="3" t="n">
        <v>0</v>
      </c>
      <c r="J79" s="4" t="n">
        <v>26.9621444312998</v>
      </c>
    </row>
    <row r="80" customFormat="false" ht="15" hidden="false" customHeight="false" outlineLevel="0" collapsed="false">
      <c r="A80" s="0" t="n">
        <f aca="false">A79+1</f>
        <v>78</v>
      </c>
      <c r="B80" s="1" t="n">
        <f aca="false">B79+H80*1</f>
        <v>8.9408</v>
      </c>
      <c r="C80" s="1" t="n">
        <f aca="false">B80*$K$1</f>
        <v>20.0005696</v>
      </c>
      <c r="D80" s="1" t="n">
        <v>8.48299614342781</v>
      </c>
      <c r="E80" s="1" t="n">
        <f aca="false">D80*$K$1</f>
        <v>18.976462372848</v>
      </c>
      <c r="F80" s="2" t="n">
        <v>2.5</v>
      </c>
      <c r="G80" s="12" t="n">
        <f aca="false">B80*F80+5</f>
        <v>27.352</v>
      </c>
      <c r="H80" s="3" t="n">
        <v>0</v>
      </c>
      <c r="I80" s="3" t="n">
        <v>0</v>
      </c>
      <c r="J80" s="4" t="n">
        <v>27.5229751576296</v>
      </c>
    </row>
    <row r="81" customFormat="false" ht="15" hidden="false" customHeight="false" outlineLevel="0" collapsed="false">
      <c r="A81" s="0" t="n">
        <f aca="false">A80+1</f>
        <v>79</v>
      </c>
      <c r="B81" s="1" t="n">
        <f aca="false">B80+H81*1</f>
        <v>8.9408</v>
      </c>
      <c r="C81" s="1" t="n">
        <f aca="false">B81*$K$1</f>
        <v>20.0005696</v>
      </c>
      <c r="D81" s="1" t="n">
        <v>8.69507695982688</v>
      </c>
      <c r="E81" s="1" t="n">
        <f aca="false">D81*$K$1</f>
        <v>19.4508871591327</v>
      </c>
      <c r="F81" s="2" t="n">
        <v>2.5</v>
      </c>
      <c r="G81" s="12" t="n">
        <f aca="false">B81*F81+5</f>
        <v>27.352</v>
      </c>
      <c r="H81" s="3" t="n">
        <v>0</v>
      </c>
      <c r="I81" s="3" t="n">
        <v>0</v>
      </c>
      <c r="J81" s="4" t="n">
        <v>27.8713483701823</v>
      </c>
    </row>
    <row r="82" customFormat="false" ht="15" hidden="false" customHeight="false" outlineLevel="0" collapsed="false">
      <c r="A82" s="0" t="n">
        <f aca="false">A81+1</f>
        <v>80</v>
      </c>
      <c r="B82" s="1" t="n">
        <f aca="false">B81+H82*1</f>
        <v>8.9408</v>
      </c>
      <c r="C82" s="1" t="n">
        <f aca="false">B82*$K$1</f>
        <v>20.0005696</v>
      </c>
      <c r="D82" s="1" t="n">
        <v>8.87675234279242</v>
      </c>
      <c r="E82" s="1" t="n">
        <f aca="false">D82*$K$1</f>
        <v>19.8572949908266</v>
      </c>
      <c r="F82" s="2" t="n">
        <v>2.5</v>
      </c>
      <c r="G82" s="12" t="n">
        <f aca="false">B82*F82+5</f>
        <v>27.352</v>
      </c>
      <c r="H82" s="3" t="n">
        <v>0</v>
      </c>
      <c r="I82" s="3" t="n">
        <v>0</v>
      </c>
      <c r="J82" s="4" t="n">
        <v>28.0212784566371</v>
      </c>
    </row>
    <row r="83" customFormat="false" ht="15" hidden="false" customHeight="false" outlineLevel="0" collapsed="false">
      <c r="A83" s="0" t="n">
        <f aca="false">A82+1</f>
        <v>81</v>
      </c>
      <c r="B83" s="1" t="n">
        <f aca="false">B82+H83*1</f>
        <v>8.9408</v>
      </c>
      <c r="C83" s="1" t="n">
        <f aca="false">B83*$K$1</f>
        <v>20.0005696</v>
      </c>
      <c r="D83" s="1" t="n">
        <v>9.0088197780907</v>
      </c>
      <c r="E83" s="1" t="n">
        <f aca="false">D83*$K$1</f>
        <v>20.1527298435889</v>
      </c>
      <c r="F83" s="2" t="n">
        <v>2.5</v>
      </c>
      <c r="G83" s="12" t="n">
        <f aca="false">B83*F83+5</f>
        <v>27.352</v>
      </c>
      <c r="H83" s="3" t="n">
        <v>0</v>
      </c>
      <c r="I83" s="3" t="n">
        <v>0</v>
      </c>
      <c r="J83" s="4" t="n">
        <v>28.0140854651132</v>
      </c>
    </row>
    <row r="84" customFormat="false" ht="15" hidden="false" customHeight="false" outlineLevel="0" collapsed="false">
      <c r="A84" s="0" t="n">
        <f aca="false">A83+1</f>
        <v>82</v>
      </c>
      <c r="B84" s="1" t="n">
        <f aca="false">B83+H84*1</f>
        <v>8.9408</v>
      </c>
      <c r="C84" s="1" t="n">
        <f aca="false">B84*$K$1</f>
        <v>20.0005696</v>
      </c>
      <c r="D84" s="1" t="n">
        <v>9.08639068154002</v>
      </c>
      <c r="E84" s="1" t="n">
        <f aca="false">D84*$K$1</f>
        <v>20.326255954605</v>
      </c>
      <c r="F84" s="2" t="n">
        <v>2.5</v>
      </c>
      <c r="G84" s="12" t="n">
        <f aca="false">B84*F84+5</f>
        <v>27.352</v>
      </c>
      <c r="H84" s="3" t="n">
        <v>0</v>
      </c>
      <c r="I84" s="3" t="n">
        <v>0</v>
      </c>
      <c r="J84" s="4" t="n">
        <v>27.902742367518</v>
      </c>
    </row>
    <row r="85" customFormat="false" ht="15" hidden="false" customHeight="false" outlineLevel="0" collapsed="false">
      <c r="A85" s="0" t="n">
        <f aca="false">A84+1</f>
        <v>83</v>
      </c>
      <c r="B85" s="1" t="n">
        <f aca="false">B84+H85*1</f>
        <v>8.9408</v>
      </c>
      <c r="C85" s="1" t="n">
        <f aca="false">B85*$K$1</f>
        <v>20.0005696</v>
      </c>
      <c r="D85" s="1" t="n">
        <v>9.11495650184405</v>
      </c>
      <c r="E85" s="1" t="n">
        <f aca="false">D85*$K$1</f>
        <v>20.3901576946251</v>
      </c>
      <c r="F85" s="2" t="n">
        <v>2.5</v>
      </c>
      <c r="G85" s="12" t="n">
        <f aca="false">B85*F85+5</f>
        <v>27.352</v>
      </c>
      <c r="H85" s="3" t="n">
        <v>0</v>
      </c>
      <c r="I85" s="3" t="n">
        <v>0</v>
      </c>
      <c r="J85" s="4" t="n">
        <v>27.7395094216447</v>
      </c>
    </row>
    <row r="86" customFormat="false" ht="15" hidden="false" customHeight="false" outlineLevel="0" collapsed="false">
      <c r="A86" s="0" t="n">
        <f aca="false">A85+1</f>
        <v>84</v>
      </c>
      <c r="B86" s="1" t="n">
        <f aca="false">B85+H86*1</f>
        <v>8.9408</v>
      </c>
      <c r="C86" s="1" t="n">
        <f aca="false">B86*$K$1</f>
        <v>20.0005696</v>
      </c>
      <c r="D86" s="1" t="n">
        <v>9.10608210333335</v>
      </c>
      <c r="E86" s="1" t="n">
        <f aca="false">D86*$K$1</f>
        <v>20.3703056651567</v>
      </c>
      <c r="F86" s="2" t="n">
        <v>2.5</v>
      </c>
      <c r="G86" s="12" t="n">
        <f aca="false">B86*F86+5</f>
        <v>27.352</v>
      </c>
      <c r="H86" s="3" t="n">
        <v>0</v>
      </c>
      <c r="I86" s="3" t="n">
        <v>0</v>
      </c>
      <c r="J86" s="4" t="n">
        <v>27.5677611136392</v>
      </c>
    </row>
    <row r="87" customFormat="false" ht="15" hidden="false" customHeight="false" outlineLevel="0" collapsed="false">
      <c r="A87" s="0" t="n">
        <f aca="false">A86+1</f>
        <v>85</v>
      </c>
      <c r="B87" s="1" t="n">
        <f aca="false">B86+H87*1</f>
        <v>8.9408</v>
      </c>
      <c r="C87" s="1" t="n">
        <f aca="false">B87*$K$1</f>
        <v>20.0005696</v>
      </c>
      <c r="D87" s="1" t="n">
        <v>9.0735422302841</v>
      </c>
      <c r="E87" s="1" t="n">
        <f aca="false">D87*$K$1</f>
        <v>20.2975139691455</v>
      </c>
      <c r="F87" s="2" t="n">
        <v>2.5</v>
      </c>
      <c r="G87" s="12" t="n">
        <f aca="false">B87*F87+5</f>
        <v>27.352</v>
      </c>
      <c r="H87" s="3" t="n">
        <v>0</v>
      </c>
      <c r="I87" s="3" t="n">
        <v>0</v>
      </c>
      <c r="J87" s="4" t="n">
        <v>27.417938015146</v>
      </c>
    </row>
    <row r="88" customFormat="false" ht="15" hidden="false" customHeight="false" outlineLevel="0" collapsed="false">
      <c r="A88" s="0" t="n">
        <f aca="false">A87+1</f>
        <v>86</v>
      </c>
      <c r="B88" s="1" t="n">
        <f aca="false">B82+H88*1</f>
        <v>10.4308</v>
      </c>
      <c r="C88" s="1" t="n">
        <f aca="false">B88*$K$1</f>
        <v>23.3336996</v>
      </c>
      <c r="D88" s="1" t="n">
        <v>9.01547653431915</v>
      </c>
      <c r="E88" s="1" t="n">
        <f aca="false">D88*$K$1</f>
        <v>20.1676210072719</v>
      </c>
      <c r="F88" s="2" t="n">
        <v>2.5</v>
      </c>
      <c r="G88" s="12" t="n">
        <f aca="false">B88*F88+5</f>
        <v>31.077</v>
      </c>
      <c r="H88" s="3" t="n">
        <v>1.49</v>
      </c>
      <c r="I88" s="3" t="n">
        <v>0</v>
      </c>
      <c r="J88" s="4" t="n">
        <v>28.0767478844746</v>
      </c>
    </row>
    <row r="89" customFormat="false" ht="15" hidden="false" customHeight="false" outlineLevel="0" collapsed="false">
      <c r="A89" s="0" t="n">
        <f aca="false">A88+1</f>
        <v>87</v>
      </c>
      <c r="B89" s="1" t="n">
        <f aca="false">B88+H89*1</f>
        <v>11.9208</v>
      </c>
      <c r="C89" s="1" t="n">
        <f aca="false">B89*$K$1</f>
        <v>26.6668296</v>
      </c>
      <c r="D89" s="1" t="n">
        <v>9.09632721212418</v>
      </c>
      <c r="E89" s="1" t="n">
        <f aca="false">D89*$K$1</f>
        <v>20.3484839735218</v>
      </c>
      <c r="F89" s="2" t="n">
        <v>2.5</v>
      </c>
      <c r="G89" s="12" t="n">
        <f aca="false">B89*F89+5</f>
        <v>34.802</v>
      </c>
      <c r="H89" s="3" t="n">
        <v>1.49</v>
      </c>
      <c r="I89" s="3" t="n">
        <v>0</v>
      </c>
      <c r="J89" s="4" t="n">
        <v>30.2294263505936</v>
      </c>
    </row>
    <row r="90" customFormat="false" ht="15" hidden="false" customHeight="false" outlineLevel="0" collapsed="false">
      <c r="A90" s="0" t="n">
        <f aca="false">A89+1</f>
        <v>88</v>
      </c>
      <c r="B90" s="1" t="n">
        <f aca="false">B89+H90*1</f>
        <v>13.4108</v>
      </c>
      <c r="C90" s="1" t="n">
        <f aca="false">B90*$K$1</f>
        <v>29.9999596</v>
      </c>
      <c r="D90" s="1" t="n">
        <v>9.49699919938687</v>
      </c>
      <c r="E90" s="1" t="n">
        <f aca="false">D90*$K$1</f>
        <v>21.2447872090284</v>
      </c>
      <c r="F90" s="2" t="n">
        <v>2.5</v>
      </c>
      <c r="G90" s="12" t="n">
        <f aca="false">B90*F90+5</f>
        <v>38.527</v>
      </c>
      <c r="H90" s="3" t="n">
        <v>1.49</v>
      </c>
      <c r="I90" s="3" t="n">
        <v>0</v>
      </c>
      <c r="J90" s="4" t="n">
        <v>33.6362978119237</v>
      </c>
    </row>
    <row r="91" customFormat="false" ht="15" hidden="false" customHeight="false" outlineLevel="0" collapsed="false">
      <c r="A91" s="0" t="n">
        <f aca="false">A90+1</f>
        <v>89</v>
      </c>
      <c r="B91" s="1" t="n">
        <f aca="false">B90+H91*1</f>
        <v>14.9008</v>
      </c>
      <c r="C91" s="1" t="n">
        <f aca="false">B91*$K$1</f>
        <v>33.3330896</v>
      </c>
      <c r="D91" s="1" t="n">
        <v>10.2872833089931</v>
      </c>
      <c r="E91" s="1" t="n">
        <f aca="false">D91*$K$1</f>
        <v>23.0126527622176</v>
      </c>
      <c r="F91" s="2" t="n">
        <v>2.5</v>
      </c>
      <c r="G91" s="12" t="n">
        <f aca="false">B91*F91+5</f>
        <v>42.252</v>
      </c>
      <c r="H91" s="3" t="n">
        <v>1.49</v>
      </c>
      <c r="I91" s="3" t="n">
        <v>0</v>
      </c>
      <c r="J91" s="4" t="n">
        <v>37.9349406367101</v>
      </c>
    </row>
    <row r="92" customFormat="false" ht="15" hidden="false" customHeight="false" outlineLevel="0" collapsed="false">
      <c r="A92" s="0" t="n">
        <f aca="false">A91+1</f>
        <v>90</v>
      </c>
      <c r="B92" s="1" t="n">
        <f aca="false">B91+H92*1</f>
        <v>16.3908</v>
      </c>
      <c r="C92" s="1" t="n">
        <f aca="false">B92*$K$1</f>
        <v>36.6662196</v>
      </c>
      <c r="D92" s="1" t="n">
        <v>11.4512706331846</v>
      </c>
      <c r="E92" s="1" t="n">
        <f aca="false">D92*$K$1</f>
        <v>25.6164924064339</v>
      </c>
      <c r="F92" s="2" t="n">
        <v>2.5</v>
      </c>
      <c r="G92" s="12" t="n">
        <f aca="false">B92*F92+5</f>
        <v>45.977</v>
      </c>
      <c r="H92" s="3" t="n">
        <v>1.49</v>
      </c>
      <c r="I92" s="3" t="n">
        <v>0</v>
      </c>
      <c r="J92" s="4" t="n">
        <v>42.7389756897273</v>
      </c>
    </row>
    <row r="93" customFormat="false" ht="15" hidden="false" customHeight="false" outlineLevel="0" collapsed="false">
      <c r="A93" s="0" t="n">
        <f aca="false">A92+1</f>
        <v>91</v>
      </c>
      <c r="B93" s="1" t="n">
        <f aca="false">B92+H93*1</f>
        <v>17.8808</v>
      </c>
      <c r="C93" s="1" t="n">
        <f aca="false">B93*$K$1</f>
        <v>39.9993496</v>
      </c>
      <c r="D93" s="1" t="n">
        <v>12.9181739734814</v>
      </c>
      <c r="E93" s="1" t="n">
        <f aca="false">D93*$K$1</f>
        <v>28.8979551786779</v>
      </c>
      <c r="F93" s="2" t="n">
        <v>2.5</v>
      </c>
      <c r="G93" s="12" t="n">
        <f aca="false">B93*F93+5</f>
        <v>49.702</v>
      </c>
      <c r="H93" s="3" t="n">
        <v>1.49</v>
      </c>
      <c r="I93" s="3" t="n">
        <v>0</v>
      </c>
      <c r="J93" s="4" t="n">
        <v>47.7081310942913</v>
      </c>
    </row>
    <row r="94" customFormat="false" ht="15" hidden="false" customHeight="false" outlineLevel="0" collapsed="false">
      <c r="A94" s="0" t="n">
        <f aca="false">A93+1</f>
        <v>92</v>
      </c>
      <c r="B94" s="1" t="n">
        <f aca="false">B93-H94*1</f>
        <v>17.8808</v>
      </c>
      <c r="C94" s="1" t="n">
        <f aca="false">B94*$K$1</f>
        <v>39.9993496</v>
      </c>
      <c r="D94" s="1" t="n">
        <v>14.6067143551558</v>
      </c>
      <c r="E94" s="1" t="n">
        <f aca="false">D94*$K$1</f>
        <v>32.6752200124835</v>
      </c>
      <c r="F94" s="2" t="n">
        <v>2.5</v>
      </c>
      <c r="G94" s="12" t="n">
        <f aca="false">B94*F94+5</f>
        <v>49.702</v>
      </c>
      <c r="H94" s="3" t="n">
        <v>0</v>
      </c>
      <c r="I94" s="3" t="n">
        <v>0</v>
      </c>
      <c r="J94" s="4" t="n">
        <v>51.8179497138242</v>
      </c>
    </row>
    <row r="95" customFormat="false" ht="15" hidden="false" customHeight="false" outlineLevel="0" collapsed="false">
      <c r="A95" s="0" t="n">
        <f aca="false">A94+1</f>
        <v>93</v>
      </c>
      <c r="B95" s="1" t="n">
        <f aca="false">B94-H95*1</f>
        <v>17.8808</v>
      </c>
      <c r="C95" s="1" t="n">
        <f aca="false">B95*$K$1</f>
        <v>39.9993496</v>
      </c>
      <c r="D95" s="1" t="n">
        <v>16.2651756435996</v>
      </c>
      <c r="E95" s="1" t="n">
        <f aca="false">D95*$K$1</f>
        <v>36.3851979147323</v>
      </c>
      <c r="F95" s="2" t="n">
        <v>2.5</v>
      </c>
      <c r="G95" s="12" t="n">
        <f aca="false">B95*F95+5</f>
        <v>49.702</v>
      </c>
      <c r="H95" s="3" t="n">
        <v>0</v>
      </c>
      <c r="I95" s="3" t="n">
        <v>0</v>
      </c>
      <c r="J95" s="4" t="n">
        <v>54.2320086835358</v>
      </c>
    </row>
    <row r="96" customFormat="false" ht="15" hidden="false" customHeight="false" outlineLevel="0" collapsed="false">
      <c r="A96" s="0" t="n">
        <f aca="false">A95+1</f>
        <v>94</v>
      </c>
      <c r="B96" s="1" t="n">
        <f aca="false">B95-H96*1</f>
        <v>17.8808</v>
      </c>
      <c r="C96" s="1" t="n">
        <f aca="false">B96*$K$1</f>
        <v>39.9993496</v>
      </c>
      <c r="D96" s="1" t="n">
        <v>17.6366492613731</v>
      </c>
      <c r="E96" s="1" t="n">
        <f aca="false">D96*$K$1</f>
        <v>39.4531843976916</v>
      </c>
      <c r="F96" s="2" t="n">
        <v>2.5</v>
      </c>
      <c r="G96" s="12" t="n">
        <f aca="false">B96*F96+5</f>
        <v>49.702</v>
      </c>
      <c r="H96" s="3" t="n">
        <v>0</v>
      </c>
      <c r="I96" s="3" t="n">
        <v>0</v>
      </c>
      <c r="J96" s="4" t="n">
        <v>55.1211365870404</v>
      </c>
    </row>
    <row r="97" customFormat="false" ht="15" hidden="false" customHeight="false" outlineLevel="0" collapsed="false">
      <c r="A97" s="0" t="n">
        <f aca="false">A96+1</f>
        <v>95</v>
      </c>
      <c r="B97" s="1" t="n">
        <f aca="false">B96-H97*1</f>
        <v>17.8808</v>
      </c>
      <c r="C97" s="1" t="n">
        <f aca="false">B97*$K$1</f>
        <v>39.9993496</v>
      </c>
      <c r="D97" s="1" t="n">
        <v>18.5951224982554</v>
      </c>
      <c r="E97" s="1" t="n">
        <f aca="false">D97*$K$1</f>
        <v>41.5972890285973</v>
      </c>
      <c r="F97" s="2" t="n">
        <v>2.5</v>
      </c>
      <c r="G97" s="12" t="n">
        <f aca="false">B97*F97+5</f>
        <v>49.702</v>
      </c>
      <c r="H97" s="3" t="n">
        <v>0</v>
      </c>
      <c r="I97" s="3" t="n">
        <v>0</v>
      </c>
      <c r="J97" s="4" t="n">
        <v>54.8451710021409</v>
      </c>
    </row>
    <row r="98" customFormat="false" ht="15" hidden="false" customHeight="false" outlineLevel="0" collapsed="false">
      <c r="A98" s="0" t="n">
        <f aca="false">A97+1</f>
        <v>96</v>
      </c>
      <c r="B98" s="1" t="n">
        <f aca="false">B97-H98*1</f>
        <v>17.8808</v>
      </c>
      <c r="C98" s="1" t="n">
        <f aca="false">B98*$K$1</f>
        <v>39.9993496</v>
      </c>
      <c r="D98" s="1" t="n">
        <v>19.1225860079666</v>
      </c>
      <c r="E98" s="1" t="n">
        <f aca="false">D98*$K$1</f>
        <v>42.7772248998213</v>
      </c>
      <c r="F98" s="2" t="n">
        <v>2.5</v>
      </c>
      <c r="G98" s="12" t="n">
        <f aca="false">B98*F98+5</f>
        <v>49.702</v>
      </c>
      <c r="H98" s="3" t="n">
        <v>0</v>
      </c>
      <c r="I98" s="3" t="n">
        <v>0</v>
      </c>
      <c r="J98" s="4" t="n">
        <v>53.8327336666728</v>
      </c>
    </row>
    <row r="99" customFormat="false" ht="15" hidden="false" customHeight="false" outlineLevel="0" collapsed="false">
      <c r="A99" s="0" t="n">
        <f aca="false">A98+1</f>
        <v>97</v>
      </c>
      <c r="B99" s="1" t="n">
        <f aca="false">B98-H99*1</f>
        <v>17.8808</v>
      </c>
      <c r="C99" s="1" t="n">
        <f aca="false">B99*$K$1</f>
        <v>39.9993496</v>
      </c>
      <c r="D99" s="1" t="n">
        <v>19.2763142025268</v>
      </c>
      <c r="E99" s="1" t="n">
        <f aca="false">D99*$K$1</f>
        <v>43.1211148710525</v>
      </c>
      <c r="F99" s="2" t="n">
        <v>2.5</v>
      </c>
      <c r="G99" s="12" t="n">
        <f aca="false">B99*F99+5</f>
        <v>49.702</v>
      </c>
      <c r="H99" s="3" t="n">
        <v>0</v>
      </c>
      <c r="I99" s="3" t="n">
        <v>0</v>
      </c>
      <c r="J99" s="4" t="n">
        <v>52.4895865159076</v>
      </c>
    </row>
    <row r="100" customFormat="false" ht="15" hidden="false" customHeight="false" outlineLevel="0" collapsed="false">
      <c r="A100" s="0" t="n">
        <f aca="false">A99+1</f>
        <v>98</v>
      </c>
      <c r="B100" s="1" t="n">
        <f aca="false">B99-H100*1</f>
        <v>17.8808</v>
      </c>
      <c r="C100" s="1" t="n">
        <f aca="false">B100*$K$1</f>
        <v>39.9993496</v>
      </c>
      <c r="D100" s="1" t="n">
        <v>19.15482352523</v>
      </c>
      <c r="E100" s="1" t="n">
        <f aca="false">D100*$K$1</f>
        <v>42.8493402259395</v>
      </c>
      <c r="F100" s="2" t="n">
        <v>2.5</v>
      </c>
      <c r="G100" s="12" t="n">
        <f aca="false">B100*F100+5</f>
        <v>49.702</v>
      </c>
      <c r="H100" s="3" t="n">
        <v>0</v>
      </c>
      <c r="I100" s="3" t="n">
        <v>0</v>
      </c>
      <c r="J100" s="4" t="n">
        <v>51.1408877505243</v>
      </c>
    </row>
    <row r="101" customFormat="false" ht="15" hidden="false" customHeight="false" outlineLevel="0" collapsed="false">
      <c r="A101" s="0" t="n">
        <f aca="false">A100+1</f>
        <v>99</v>
      </c>
      <c r="B101" s="1" t="n">
        <f aca="false">B100-H101*1</f>
        <v>17.8808</v>
      </c>
      <c r="C101" s="1" t="n">
        <f aca="false">B101*$K$1</f>
        <v>39.9993496</v>
      </c>
      <c r="D101" s="1" t="n">
        <v>18.8684215441202</v>
      </c>
      <c r="E101" s="1" t="n">
        <f aca="false">D101*$K$1</f>
        <v>42.2086589941969</v>
      </c>
      <c r="F101" s="2" t="n">
        <v>2.5</v>
      </c>
      <c r="G101" s="12" t="n">
        <f aca="false">B101*F101+5</f>
        <v>49.702</v>
      </c>
      <c r="H101" s="3" t="n">
        <v>0</v>
      </c>
      <c r="I101" s="3" t="n">
        <v>0</v>
      </c>
      <c r="J101" s="4" t="n">
        <v>50.005458815463</v>
      </c>
    </row>
    <row r="102" customFormat="false" ht="15" hidden="false" customHeight="false" outlineLevel="0" collapsed="false">
      <c r="A102" s="0" t="n">
        <f aca="false">A101+1</f>
        <v>100</v>
      </c>
      <c r="B102" s="1" t="n">
        <f aca="false">B101-H102*1</f>
        <v>17.8808</v>
      </c>
      <c r="C102" s="1" t="n">
        <f aca="false">B102*$K$1</f>
        <v>39.9993496</v>
      </c>
      <c r="D102" s="1" t="n">
        <v>18.5175712390158</v>
      </c>
      <c r="E102" s="1" t="n">
        <f aca="false">D102*$K$1</f>
        <v>41.4238068616784</v>
      </c>
      <c r="F102" s="2" t="n">
        <v>2.5</v>
      </c>
      <c r="G102" s="12" t="n">
        <f aca="false">B102*F102+5</f>
        <v>49.702</v>
      </c>
      <c r="H102" s="3" t="n">
        <v>0</v>
      </c>
      <c r="I102" s="3" t="n">
        <v>0</v>
      </c>
      <c r="J102" s="4" t="n">
        <v>49.1956459597875</v>
      </c>
    </row>
    <row r="103" customFormat="false" ht="15" hidden="false" customHeight="false" outlineLevel="0" collapsed="false">
      <c r="A103" s="0" t="n">
        <f aca="false">A102+1</f>
        <v>101</v>
      </c>
      <c r="B103" s="1" t="n">
        <f aca="false">B102-H103*1</f>
        <v>17.8808</v>
      </c>
      <c r="C103" s="1" t="n">
        <f aca="false">B103*$K$1</f>
        <v>39.9993496</v>
      </c>
      <c r="D103" s="1" t="n">
        <v>18.1799741507397</v>
      </c>
      <c r="E103" s="1" t="n">
        <f aca="false">D103*$K$1</f>
        <v>40.6686021752047</v>
      </c>
      <c r="F103" s="2" t="n">
        <v>2.5</v>
      </c>
      <c r="G103" s="12" t="n">
        <f aca="false">B103*F103+5</f>
        <v>49.702</v>
      </c>
      <c r="H103" s="3" t="n">
        <v>0</v>
      </c>
      <c r="I103" s="3" t="n">
        <v>0</v>
      </c>
      <c r="J103" s="4" t="n">
        <v>48.7343581269868</v>
      </c>
    </row>
    <row r="104" customFormat="false" ht="15" hidden="false" customHeight="false" outlineLevel="0" collapsed="false">
      <c r="A104" s="0" t="n">
        <f aca="false">A103+1</f>
        <v>102</v>
      </c>
      <c r="B104" s="1" t="n">
        <f aca="false">B103-H104*1</f>
        <v>17.8808</v>
      </c>
      <c r="C104" s="1" t="n">
        <f aca="false">B104*$K$1</f>
        <v>39.9993496</v>
      </c>
      <c r="D104" s="1" t="n">
        <v>17.9055752833227</v>
      </c>
      <c r="E104" s="1" t="n">
        <f aca="false">D104*$K$1</f>
        <v>40.0547719087929</v>
      </c>
      <c r="F104" s="2" t="n">
        <v>2.5</v>
      </c>
      <c r="G104" s="12" t="n">
        <f aca="false">B104*F104+5</f>
        <v>49.702</v>
      </c>
      <c r="H104" s="3" t="n">
        <v>0</v>
      </c>
      <c r="I104" s="3" t="n">
        <v>0</v>
      </c>
      <c r="J104" s="4" t="n">
        <v>48.5808755963944</v>
      </c>
    </row>
    <row r="105" customFormat="false" ht="15" hidden="false" customHeight="false" outlineLevel="0" collapsed="false">
      <c r="A105" s="0" t="n">
        <f aca="false">A104+1</f>
        <v>103</v>
      </c>
      <c r="B105" s="1" t="n">
        <f aca="false">B104-H105*1</f>
        <v>17.8808</v>
      </c>
      <c r="C105" s="1" t="n">
        <f aca="false">B105*$K$1</f>
        <v>39.9993496</v>
      </c>
      <c r="D105" s="1" t="n">
        <v>17.7176809968216</v>
      </c>
      <c r="E105" s="1" t="n">
        <f aca="false">D105*$K$1</f>
        <v>39.6344523898899</v>
      </c>
      <c r="F105" s="2" t="n">
        <v>2.5</v>
      </c>
      <c r="G105" s="12" t="n">
        <f aca="false">B105*F105+5</f>
        <v>49.702</v>
      </c>
      <c r="H105" s="3" t="n">
        <v>0</v>
      </c>
      <c r="I105" s="3" t="n">
        <v>0</v>
      </c>
      <c r="J105" s="4" t="n">
        <v>48.6583846532708</v>
      </c>
    </row>
    <row r="106" customFormat="false" ht="15" hidden="false" customHeight="false" outlineLevel="0" collapsed="false">
      <c r="A106" s="0" t="n">
        <f aca="false">A105+1</f>
        <v>104</v>
      </c>
      <c r="B106" s="1" t="n">
        <f aca="false">B105-H106*1</f>
        <v>17.8808</v>
      </c>
      <c r="C106" s="1" t="n">
        <f aca="false">B106*$K$1</f>
        <v>39.9993496</v>
      </c>
      <c r="D106" s="1" t="n">
        <v>17.617994105758</v>
      </c>
      <c r="E106" s="1" t="n">
        <f aca="false">D106*$K$1</f>
        <v>39.4114528145806</v>
      </c>
      <c r="F106" s="2" t="n">
        <v>2.5</v>
      </c>
      <c r="G106" s="12" t="n">
        <f aca="false">B106*F106+5</f>
        <v>49.702</v>
      </c>
      <c r="H106" s="3" t="n">
        <v>0</v>
      </c>
      <c r="I106" s="3" t="n">
        <v>0</v>
      </c>
      <c r="J106" s="4" t="n">
        <v>48.8782390591755</v>
      </c>
    </row>
    <row r="107" customFormat="false" ht="15" hidden="false" customHeight="false" outlineLevel="0" collapsed="false">
      <c r="A107" s="0" t="n">
        <f aca="false">A106+1</f>
        <v>105</v>
      </c>
      <c r="B107" s="1" t="n">
        <f aca="false">B101-H107*1</f>
        <v>16.3908</v>
      </c>
      <c r="C107" s="1" t="n">
        <f aca="false">B107*$K$1</f>
        <v>36.6662196</v>
      </c>
      <c r="D107" s="1" t="n">
        <v>17.6083642844209</v>
      </c>
      <c r="E107" s="1" t="n">
        <f aca="false">D107*$K$1</f>
        <v>39.3899109042496</v>
      </c>
      <c r="F107" s="2" t="n">
        <v>2.5</v>
      </c>
      <c r="G107" s="12" t="n">
        <f aca="false">B107*F107+5</f>
        <v>45.977</v>
      </c>
      <c r="H107" s="3" t="n">
        <v>1.49</v>
      </c>
      <c r="I107" s="3" t="n">
        <v>0</v>
      </c>
      <c r="J107" s="4" t="n">
        <v>48.3882910168122</v>
      </c>
    </row>
    <row r="108" customFormat="false" ht="15" hidden="false" customHeight="false" outlineLevel="0" collapsed="false">
      <c r="A108" s="0" t="n">
        <f aca="false">A107+1</f>
        <v>106</v>
      </c>
      <c r="B108" s="1" t="n">
        <f aca="false">B107-H108*1</f>
        <v>14.9008</v>
      </c>
      <c r="C108" s="1" t="n">
        <f aca="false">B108*$K$1</f>
        <v>33.3330896</v>
      </c>
      <c r="D108" s="1" t="n">
        <v>17.5139598215157</v>
      </c>
      <c r="E108" s="1" t="n">
        <f aca="false">D108*$K$1</f>
        <v>39.1787281207306</v>
      </c>
      <c r="F108" s="2" t="n">
        <v>2.5</v>
      </c>
      <c r="G108" s="12" t="n">
        <f aca="false">B108*F108+5</f>
        <v>42.252</v>
      </c>
      <c r="H108" s="3" t="n">
        <v>1.49</v>
      </c>
      <c r="I108" s="3" t="n">
        <v>0</v>
      </c>
      <c r="J108" s="4" t="n">
        <v>46.4435447963813</v>
      </c>
    </row>
    <row r="109" customFormat="false" ht="15" hidden="false" customHeight="false" outlineLevel="0" collapsed="false">
      <c r="A109" s="0" t="n">
        <f aca="false">A108+1</f>
        <v>107</v>
      </c>
      <c r="B109" s="1" t="n">
        <f aca="false">B108-H109*1</f>
        <v>13.4108</v>
      </c>
      <c r="C109" s="1" t="n">
        <f aca="false">B109*$K$1</f>
        <v>29.9999596</v>
      </c>
      <c r="D109" s="1" t="n">
        <v>17.1382016946492</v>
      </c>
      <c r="E109" s="1" t="n">
        <f aca="false">D109*$K$1</f>
        <v>38.3381571909303</v>
      </c>
      <c r="F109" s="2" t="n">
        <v>2.5</v>
      </c>
      <c r="G109" s="12" t="n">
        <f aca="false">B109*F109+5</f>
        <v>38.527</v>
      </c>
      <c r="H109" s="3" t="n">
        <v>1.49</v>
      </c>
      <c r="I109" s="3" t="n">
        <v>0</v>
      </c>
      <c r="J109" s="4" t="n">
        <v>43.2373374556257</v>
      </c>
    </row>
    <row r="110" customFormat="false" ht="15" hidden="false" customHeight="false" outlineLevel="0" collapsed="false">
      <c r="A110" s="0" t="n">
        <f aca="false">A109+1</f>
        <v>108</v>
      </c>
      <c r="B110" s="1" t="n">
        <f aca="false">B109-H110*1</f>
        <v>11.9208</v>
      </c>
      <c r="C110" s="1" t="n">
        <f aca="false">B110*$K$1</f>
        <v>26.6668296</v>
      </c>
      <c r="D110" s="1" t="n">
        <v>16.3946049529702</v>
      </c>
      <c r="E110" s="1" t="n">
        <f aca="false">D110*$K$1</f>
        <v>36.6747312797943</v>
      </c>
      <c r="F110" s="2" t="n">
        <v>2.5</v>
      </c>
      <c r="G110" s="12" t="n">
        <f aca="false">B110*F110+5</f>
        <v>34.802</v>
      </c>
      <c r="H110" s="3" t="n">
        <v>1.49</v>
      </c>
      <c r="I110" s="3" t="n">
        <v>0</v>
      </c>
      <c r="J110" s="4" t="n">
        <v>39.1022028650498</v>
      </c>
    </row>
    <row r="111" customFormat="false" ht="15" hidden="false" customHeight="false" outlineLevel="0" collapsed="false">
      <c r="A111" s="0" t="n">
        <f aca="false">A110+1</f>
        <v>109</v>
      </c>
      <c r="B111" s="1" t="n">
        <f aca="false">B110-H111*1</f>
        <v>10.4308</v>
      </c>
      <c r="C111" s="1" t="n">
        <f aca="false">B111*$K$1</f>
        <v>23.3336996</v>
      </c>
      <c r="D111" s="1" t="n">
        <v>15.2843866065581</v>
      </c>
      <c r="E111" s="1" t="n">
        <f aca="false">D111*$K$1</f>
        <v>34.1911728388705</v>
      </c>
      <c r="F111" s="2" t="n">
        <v>2.5</v>
      </c>
      <c r="G111" s="12" t="n">
        <f aca="false">B111*F111+5</f>
        <v>31.077</v>
      </c>
      <c r="H111" s="3" t="n">
        <v>1.49</v>
      </c>
      <c r="I111" s="3" t="n">
        <v>0</v>
      </c>
      <c r="J111" s="4" t="n">
        <v>34.4104666873891</v>
      </c>
    </row>
    <row r="112" customFormat="false" ht="15" hidden="false" customHeight="false" outlineLevel="0" collapsed="false">
      <c r="A112" s="0" t="n">
        <f aca="false">A111+1</f>
        <v>110</v>
      </c>
      <c r="B112" s="1" t="n">
        <f aca="false">B111-H112*1</f>
        <v>8.9408</v>
      </c>
      <c r="C112" s="1" t="n">
        <f aca="false">B112*$K$1</f>
        <v>20.0005696</v>
      </c>
      <c r="D112" s="1" t="n">
        <v>13.867347665241</v>
      </c>
      <c r="E112" s="1" t="n">
        <f aca="false">D112*$K$1</f>
        <v>31.0212567271441</v>
      </c>
      <c r="F112" s="2" t="n">
        <v>2.5</v>
      </c>
      <c r="G112" s="12" t="n">
        <f aca="false">B112*F112+5</f>
        <v>27.352</v>
      </c>
      <c r="H112" s="3" t="n">
        <v>1.49</v>
      </c>
      <c r="I112" s="3" t="n">
        <v>0</v>
      </c>
      <c r="J112" s="4" t="n">
        <v>29.5012208666126</v>
      </c>
    </row>
    <row r="113" customFormat="false" ht="15" hidden="false" customHeight="false" outlineLevel="0" collapsed="false">
      <c r="A113" s="0" t="n">
        <f aca="false">A112+1</f>
        <v>111</v>
      </c>
      <c r="B113" s="1" t="n">
        <f aca="false">B112-H113*1</f>
        <v>8.9408</v>
      </c>
      <c r="C113" s="1" t="n">
        <f aca="false">B113*$K$1</f>
        <v>20.0005696</v>
      </c>
      <c r="D113" s="1" t="n">
        <v>12.2180321193195</v>
      </c>
      <c r="E113" s="1" t="n">
        <f aca="false">D113*$K$1</f>
        <v>27.3317378509177</v>
      </c>
      <c r="F113" s="2" t="n">
        <v>2.5</v>
      </c>
      <c r="G113" s="12" t="n">
        <f aca="false">B113*F113+5</f>
        <v>27.352</v>
      </c>
      <c r="H113" s="3" t="n">
        <v>0</v>
      </c>
      <c r="I113" s="3" t="n">
        <v>0</v>
      </c>
      <c r="J113" s="4" t="n">
        <v>25.4065605770818</v>
      </c>
    </row>
    <row r="114" customFormat="false" ht="15" hidden="false" customHeight="false" outlineLevel="0" collapsed="false">
      <c r="A114" s="0" t="n">
        <f aca="false">A113+1</f>
        <v>112</v>
      </c>
      <c r="B114" s="1" t="n">
        <f aca="false">B113-H114*1</f>
        <v>8.9408</v>
      </c>
      <c r="C114" s="1" t="n">
        <f aca="false">B114*$K$1</f>
        <v>20.0005696</v>
      </c>
      <c r="D114" s="1" t="n">
        <v>10.5853539546781</v>
      </c>
      <c r="E114" s="1" t="n">
        <f aca="false">D114*$K$1</f>
        <v>23.6794367966149</v>
      </c>
      <c r="F114" s="2" t="n">
        <v>2.5</v>
      </c>
      <c r="G114" s="12" t="n">
        <f aca="false">B114*F114+5</f>
        <v>27.352</v>
      </c>
      <c r="H114" s="3" t="n">
        <v>0</v>
      </c>
      <c r="I114" s="3" t="n">
        <v>0</v>
      </c>
      <c r="J114" s="4" t="n">
        <v>22.9752278457413</v>
      </c>
    </row>
    <row r="115" customFormat="false" ht="15" hidden="false" customHeight="false" outlineLevel="0" collapsed="false">
      <c r="A115" s="0" t="n">
        <f aca="false">A114+1</f>
        <v>113</v>
      </c>
      <c r="B115" s="1" t="n">
        <f aca="false">B114-H115*1</f>
        <v>8.9408</v>
      </c>
      <c r="C115" s="1" t="n">
        <f aca="false">B115*$K$1</f>
        <v>20.0005696</v>
      </c>
      <c r="D115" s="1" t="n">
        <v>9.22650630851243</v>
      </c>
      <c r="E115" s="1" t="n">
        <f aca="false">D115*$K$1</f>
        <v>20.6396946121423</v>
      </c>
      <c r="F115" s="2" t="n">
        <v>2.5</v>
      </c>
      <c r="G115" s="12" t="n">
        <f aca="false">B115*F115+5</f>
        <v>27.352</v>
      </c>
      <c r="H115" s="3" t="n">
        <v>0</v>
      </c>
      <c r="I115" s="3" t="n">
        <v>0</v>
      </c>
      <c r="J115" s="4" t="n">
        <v>22.0498686283993</v>
      </c>
    </row>
    <row r="116" customFormat="false" ht="15" hidden="false" customHeight="false" outlineLevel="0" collapsed="false">
      <c r="A116" s="0" t="n">
        <f aca="false">A115+1</f>
        <v>114</v>
      </c>
      <c r="B116" s="1" t="n">
        <f aca="false">B115-H116*1</f>
        <v>8.9408</v>
      </c>
      <c r="C116" s="1" t="n">
        <f aca="false">B116*$K$1</f>
        <v>20.0005696</v>
      </c>
      <c r="D116" s="1" t="n">
        <v>8.26980944891276</v>
      </c>
      <c r="E116" s="1" t="n">
        <f aca="false">D116*$K$1</f>
        <v>18.4995637372178</v>
      </c>
      <c r="F116" s="2" t="n">
        <v>2.5</v>
      </c>
      <c r="G116" s="12" t="n">
        <f aca="false">B116*F116+5</f>
        <v>27.352</v>
      </c>
      <c r="H116" s="3" t="n">
        <v>0</v>
      </c>
      <c r="I116" s="3" t="n">
        <v>0</v>
      </c>
      <c r="J116" s="4" t="n">
        <v>22.2827263425183</v>
      </c>
    </row>
    <row r="117" customFormat="false" ht="15" hidden="false" customHeight="false" outlineLevel="0" collapsed="false">
      <c r="A117" s="0" t="n">
        <f aca="false">A116+1</f>
        <v>115</v>
      </c>
      <c r="B117" s="1" t="n">
        <f aca="false">B116-H117*1</f>
        <v>8.9408</v>
      </c>
      <c r="C117" s="1" t="n">
        <f aca="false">B117*$K$1</f>
        <v>20.0005696</v>
      </c>
      <c r="D117" s="1" t="n">
        <v>7.73656487789825</v>
      </c>
      <c r="E117" s="1" t="n">
        <f aca="false">D117*$K$1</f>
        <v>17.3066956318584</v>
      </c>
      <c r="F117" s="2" t="n">
        <v>2.5</v>
      </c>
      <c r="G117" s="12" t="n">
        <f aca="false">B117*F117+5</f>
        <v>27.352</v>
      </c>
      <c r="H117" s="3" t="n">
        <v>0</v>
      </c>
      <c r="I117" s="3" t="n">
        <v>0</v>
      </c>
      <c r="J117" s="4" t="n">
        <v>23.2543825633627</v>
      </c>
    </row>
    <row r="118" customFormat="false" ht="15" hidden="false" customHeight="false" outlineLevel="0" collapsed="false">
      <c r="A118" s="0" t="n">
        <f aca="false">A117+1</f>
        <v>116</v>
      </c>
      <c r="B118" s="1" t="n">
        <f aca="false">B117-H118*1</f>
        <v>8.9408</v>
      </c>
      <c r="C118" s="1" t="n">
        <f aca="false">B118*$K$1</f>
        <v>20.0005696</v>
      </c>
      <c r="D118" s="1" t="n">
        <v>7.5729205672809</v>
      </c>
      <c r="E118" s="1" t="n">
        <f aca="false">D118*$K$1</f>
        <v>16.9406233090074</v>
      </c>
      <c r="F118" s="2" t="n">
        <v>2.5</v>
      </c>
      <c r="G118" s="12" t="n">
        <f aca="false">B118*F118+5</f>
        <v>27.352</v>
      </c>
      <c r="H118" s="3" t="n">
        <v>0</v>
      </c>
      <c r="I118" s="3" t="n">
        <v>0</v>
      </c>
      <c r="J118" s="4" t="n">
        <v>24.5648692714053</v>
      </c>
    </row>
    <row r="119" customFormat="false" ht="15" hidden="false" customHeight="false" outlineLevel="0" collapsed="false">
      <c r="A119" s="0" t="n">
        <f aca="false">A118+1</f>
        <v>117</v>
      </c>
      <c r="B119" s="1" t="n">
        <f aca="false">B118-H119*1</f>
        <v>8.9408</v>
      </c>
      <c r="C119" s="1" t="n">
        <f aca="false">B119*$K$1</f>
        <v>20.0005696</v>
      </c>
      <c r="D119" s="1" t="n">
        <v>7.68331911582905</v>
      </c>
      <c r="E119" s="1" t="n">
        <f aca="false">D119*$K$1</f>
        <v>17.1875848621096</v>
      </c>
      <c r="F119" s="2" t="n">
        <v>2.5</v>
      </c>
      <c r="G119" s="12" t="n">
        <f aca="false">B119*F119+5</f>
        <v>27.352</v>
      </c>
      <c r="H119" s="3" t="n">
        <v>0</v>
      </c>
      <c r="I119" s="3" t="n">
        <v>0</v>
      </c>
      <c r="J119" s="4" t="n">
        <v>25.891604951174</v>
      </c>
    </row>
    <row r="120" customFormat="false" ht="15" hidden="false" customHeight="false" outlineLevel="0" collapsed="false">
      <c r="A120" s="0" t="n">
        <f aca="false">A119+1</f>
        <v>118</v>
      </c>
      <c r="B120" s="1" t="n">
        <f aca="false">B119-H120*1</f>
        <v>8.9408</v>
      </c>
      <c r="C120" s="1" t="n">
        <f aca="false">B120*$K$1</f>
        <v>20.0005696</v>
      </c>
      <c r="D120" s="1" t="n">
        <v>7.95962537862039</v>
      </c>
      <c r="E120" s="1" t="n">
        <f aca="false">D120*$K$1</f>
        <v>17.8056819719738</v>
      </c>
      <c r="F120" s="2" t="n">
        <v>2.5</v>
      </c>
      <c r="G120" s="12" t="n">
        <f aca="false">B120*F120+5</f>
        <v>27.352</v>
      </c>
      <c r="H120" s="3" t="n">
        <v>0</v>
      </c>
      <c r="I120" s="3" t="n">
        <v>0</v>
      </c>
      <c r="J120" s="4" t="n">
        <v>27.0157740235147</v>
      </c>
    </row>
    <row r="121" customFormat="false" ht="15" hidden="false" customHeight="false" outlineLevel="0" collapsed="false">
      <c r="A121" s="0" t="n">
        <f aca="false">A120+1</f>
        <v>119</v>
      </c>
      <c r="B121" s="1" t="n">
        <f aca="false">B120-H121*1</f>
        <v>8.9408</v>
      </c>
      <c r="C121" s="1" t="n">
        <f aca="false">B121*$K$1</f>
        <v>20.0005696</v>
      </c>
      <c r="D121" s="1" t="n">
        <v>8.30267207072209</v>
      </c>
      <c r="E121" s="1" t="n">
        <f aca="false">D121*$K$1</f>
        <v>18.5730774222053</v>
      </c>
      <c r="F121" s="2" t="n">
        <v>2.5</v>
      </c>
      <c r="G121" s="12" t="n">
        <f aca="false">B121*F121+5</f>
        <v>27.352</v>
      </c>
      <c r="H121" s="3" t="n">
        <v>0</v>
      </c>
      <c r="I121" s="3" t="n">
        <v>0</v>
      </c>
      <c r="J121" s="4" t="n">
        <v>27.8233121411047</v>
      </c>
    </row>
    <row r="122" customFormat="false" ht="15" hidden="false" customHeight="false" outlineLevel="0" collapsed="false">
      <c r="A122" s="0" t="n">
        <f aca="false">A121+1</f>
        <v>120</v>
      </c>
      <c r="B122" s="1" t="n">
        <f aca="false">B121-H122*1</f>
        <v>8.9408</v>
      </c>
      <c r="C122" s="1" t="n">
        <f aca="false">B122*$K$1</f>
        <v>20.0005696</v>
      </c>
      <c r="D122" s="1" t="n">
        <v>8.63525728053896</v>
      </c>
      <c r="E122" s="1" t="n">
        <f aca="false">D122*$K$1</f>
        <v>19.3170705365657</v>
      </c>
      <c r="F122" s="2" t="n">
        <v>2.5</v>
      </c>
      <c r="G122" s="12" t="n">
        <f aca="false">B122*F122+5</f>
        <v>27.352</v>
      </c>
      <c r="H122" s="3" t="n">
        <v>0</v>
      </c>
      <c r="I122" s="3" t="n">
        <v>0</v>
      </c>
      <c r="J122" s="4" t="n">
        <v>28.2887132461028</v>
      </c>
    </row>
    <row r="123" customFormat="false" ht="15" hidden="false" customHeight="false" outlineLevel="0" collapsed="false">
      <c r="A123" s="0" t="n">
        <f aca="false">A122+1</f>
        <v>121</v>
      </c>
      <c r="B123" s="1" t="n">
        <f aca="false">B122-H123*1</f>
        <v>8.9408</v>
      </c>
      <c r="C123" s="1" t="n">
        <f aca="false">B123*$K$1</f>
        <v>20.0005696</v>
      </c>
      <c r="D123" s="1" t="n">
        <v>8.90732170758287</v>
      </c>
      <c r="E123" s="1" t="n">
        <f aca="false">D123*$K$1</f>
        <v>19.9256786598629</v>
      </c>
      <c r="F123" s="2" t="n">
        <v>2.5</v>
      </c>
      <c r="G123" s="12" t="n">
        <f aca="false">B123*F123+5</f>
        <v>27.352</v>
      </c>
      <c r="H123" s="3" t="n">
        <v>0</v>
      </c>
      <c r="I123" s="3" t="n">
        <v>0</v>
      </c>
      <c r="J123" s="4" t="n">
        <v>28.4499286555465</v>
      </c>
    </row>
    <row r="124" customFormat="false" ht="15" hidden="false" customHeight="false" outlineLevel="0" collapsed="false">
      <c r="A124" s="0" t="n">
        <f aca="false">A123+1</f>
        <v>122</v>
      </c>
      <c r="B124" s="1" t="n">
        <f aca="false">B123-H124*1</f>
        <v>8.9408</v>
      </c>
      <c r="C124" s="1" t="n">
        <f aca="false">B124*$K$1</f>
        <v>20.0005696</v>
      </c>
      <c r="D124" s="1" t="n">
        <v>9.09505161773276</v>
      </c>
      <c r="E124" s="1" t="n">
        <f aca="false">D124*$K$1</f>
        <v>20.3456304688682</v>
      </c>
      <c r="F124" s="2" t="n">
        <v>2.5</v>
      </c>
      <c r="G124" s="12" t="n">
        <f aca="false">B124*F124+5</f>
        <v>27.352</v>
      </c>
      <c r="H124" s="3" t="n">
        <v>0</v>
      </c>
      <c r="I124" s="3" t="n">
        <v>0</v>
      </c>
      <c r="J124" s="4" t="n">
        <v>28.3813342840501</v>
      </c>
    </row>
    <row r="125" customFormat="false" ht="15" hidden="false" customHeight="false" outlineLevel="0" collapsed="false">
      <c r="A125" s="0" t="n">
        <f aca="false">A124+1</f>
        <v>123</v>
      </c>
      <c r="B125" s="1" t="n">
        <f aca="false">B124-H125*1</f>
        <v>8.9408</v>
      </c>
      <c r="C125" s="1" t="n">
        <f aca="false">B125*$K$1</f>
        <v>20.0005696</v>
      </c>
      <c r="D125" s="1" t="n">
        <v>9.19605500390467</v>
      </c>
      <c r="E125" s="1" t="n">
        <f aca="false">D125*$K$1</f>
        <v>20.5715750437347</v>
      </c>
      <c r="F125" s="2" t="n">
        <v>2.5</v>
      </c>
      <c r="G125" s="12" t="n">
        <f aca="false">B125*F125+5</f>
        <v>27.352</v>
      </c>
      <c r="H125" s="3" t="n">
        <v>0</v>
      </c>
      <c r="I125" s="3" t="n">
        <v>0</v>
      </c>
      <c r="J125" s="4" t="n">
        <v>28.1697523626979</v>
      </c>
    </row>
    <row r="126" customFormat="false" ht="15" hidden="false" customHeight="false" outlineLevel="0" collapsed="false">
      <c r="A126" s="0" t="n">
        <f aca="false">A125+1</f>
        <v>124</v>
      </c>
      <c r="B126" s="1" t="n">
        <f aca="false">B120+H126*1</f>
        <v>10.9408</v>
      </c>
      <c r="C126" s="1" t="n">
        <f aca="false">B126*$K$1</f>
        <v>24.4745696</v>
      </c>
      <c r="D126" s="1" t="n">
        <v>9.20268202387524</v>
      </c>
      <c r="E126" s="1" t="n">
        <f aca="false">D126*$K$1</f>
        <v>20.5863996874089</v>
      </c>
      <c r="F126" s="2" t="n">
        <v>2.5</v>
      </c>
      <c r="G126" s="12" t="n">
        <f aca="false">B126*F126+5</f>
        <v>32.352</v>
      </c>
      <c r="H126" s="3" t="n">
        <v>2</v>
      </c>
      <c r="I126" s="3" t="n">
        <v>0</v>
      </c>
      <c r="J126" s="4" t="n">
        <v>28.9297115214997</v>
      </c>
    </row>
    <row r="127" customFormat="false" ht="15" hidden="false" customHeight="false" outlineLevel="0" collapsed="false">
      <c r="A127" s="0" t="n">
        <f aca="false">A126+1</f>
        <v>125</v>
      </c>
      <c r="B127" s="1" t="n">
        <f aca="false">B126+H127*1</f>
        <v>12.9408</v>
      </c>
      <c r="C127" s="1" t="n">
        <f aca="false">B127*$K$1</f>
        <v>28.9485696</v>
      </c>
      <c r="D127" s="1" t="n">
        <v>9.34187858097426</v>
      </c>
      <c r="E127" s="1" t="n">
        <f aca="false">D127*$K$1</f>
        <v>20.8977823856394</v>
      </c>
      <c r="F127" s="2" t="n">
        <v>2.5</v>
      </c>
      <c r="G127" s="12" t="n">
        <f aca="false">B127*F127+5</f>
        <v>37.352</v>
      </c>
      <c r="H127" s="3" t="n">
        <v>2</v>
      </c>
      <c r="I127" s="3" t="n">
        <v>0</v>
      </c>
      <c r="J127" s="4" t="n">
        <v>31.6385501173622</v>
      </c>
    </row>
    <row r="128" customFormat="false" ht="15" hidden="false" customHeight="false" outlineLevel="0" collapsed="false">
      <c r="A128" s="0" t="n">
        <f aca="false">A127+1</f>
        <v>126</v>
      </c>
      <c r="B128" s="1" t="n">
        <f aca="false">B127+H128*1</f>
        <v>14.9408</v>
      </c>
      <c r="C128" s="1" t="n">
        <f aca="false">B128*$K$1</f>
        <v>33.4225696</v>
      </c>
      <c r="D128" s="1" t="n">
        <v>9.86930878621546</v>
      </c>
      <c r="E128" s="1" t="n">
        <f aca="false">D128*$K$1</f>
        <v>22.077643754764</v>
      </c>
      <c r="F128" s="2" t="n">
        <v>2.5</v>
      </c>
      <c r="G128" s="12" t="n">
        <f aca="false">B128*F128+5</f>
        <v>42.352</v>
      </c>
      <c r="H128" s="3" t="n">
        <v>2</v>
      </c>
      <c r="I128" s="3" t="n">
        <v>0</v>
      </c>
      <c r="J128" s="4" t="n">
        <v>36.0221934329513</v>
      </c>
    </row>
    <row r="129" customFormat="false" ht="15" hidden="false" customHeight="false" outlineLevel="0" collapsed="false">
      <c r="A129" s="0" t="n">
        <f aca="false">A128+1</f>
        <v>127</v>
      </c>
      <c r="B129" s="1" t="n">
        <f aca="false">B128+H129*1</f>
        <v>16.9408</v>
      </c>
      <c r="C129" s="1" t="n">
        <f aca="false">B129*$K$1</f>
        <v>37.8965696</v>
      </c>
      <c r="D129" s="1" t="n">
        <v>10.893861927946</v>
      </c>
      <c r="E129" s="1" t="n">
        <f aca="false">D129*$K$1</f>
        <v>24.3695691328152</v>
      </c>
      <c r="F129" s="2" t="n">
        <v>2.5</v>
      </c>
      <c r="G129" s="12" t="n">
        <f aca="false">B129*F129+5</f>
        <v>47.352</v>
      </c>
      <c r="H129" s="3" t="n">
        <v>2</v>
      </c>
      <c r="I129" s="3" t="n">
        <v>0</v>
      </c>
      <c r="J129" s="4" t="n">
        <v>41.6274930316981</v>
      </c>
    </row>
    <row r="130" customFormat="false" ht="15" hidden="false" customHeight="false" outlineLevel="0" collapsed="false">
      <c r="A130" s="0" t="n">
        <f aca="false">A129+1</f>
        <v>128</v>
      </c>
      <c r="B130" s="1" t="n">
        <f aca="false">B129+H130*1</f>
        <v>18.9408</v>
      </c>
      <c r="C130" s="1" t="n">
        <f aca="false">B130*$K$1</f>
        <v>42.3705696</v>
      </c>
      <c r="D130" s="1" t="n">
        <v>12.4085364700853</v>
      </c>
      <c r="E130" s="1" t="n">
        <f aca="false">D130*$K$1</f>
        <v>27.7578960835808</v>
      </c>
      <c r="F130" s="2" t="n">
        <v>2.5</v>
      </c>
      <c r="G130" s="12" t="n">
        <f aca="false">B130*F130+5</f>
        <v>52.352</v>
      </c>
      <c r="H130" s="3" t="n">
        <v>2</v>
      </c>
      <c r="I130" s="3" t="n">
        <v>0</v>
      </c>
      <c r="J130" s="4" t="n">
        <v>47.9541878394473</v>
      </c>
    </row>
    <row r="131" customFormat="false" ht="15" hidden="false" customHeight="false" outlineLevel="0" collapsed="false">
      <c r="A131" s="0" t="n">
        <f aca="false">A130+1</f>
        <v>129</v>
      </c>
      <c r="B131" s="1" t="n">
        <f aca="false">B130+H131*1</f>
        <v>18.9408</v>
      </c>
      <c r="C131" s="1" t="n">
        <f aca="false">B131*$K$1</f>
        <v>42.3705696</v>
      </c>
      <c r="D131" s="1" t="n">
        <v>14.3497847400298</v>
      </c>
      <c r="E131" s="1" t="n">
        <f aca="false">D131*$K$1</f>
        <v>32.1004684634467</v>
      </c>
      <c r="F131" s="2" t="n">
        <v>2.5</v>
      </c>
      <c r="G131" s="12" t="n">
        <f aca="false">B131*F131+5</f>
        <v>52.352</v>
      </c>
      <c r="H131" s="3" t="n">
        <v>0</v>
      </c>
      <c r="I131" s="3" t="n">
        <v>0</v>
      </c>
      <c r="J131" s="4" t="n">
        <v>53.5175939604276</v>
      </c>
    </row>
    <row r="132" customFormat="false" ht="15" hidden="false" customHeight="false" outlineLevel="0" collapsed="false">
      <c r="A132" s="0" t="n">
        <f aca="false">A131+1</f>
        <v>130</v>
      </c>
      <c r="B132" s="1" t="n">
        <f aca="false">B131+H132*1</f>
        <v>18.9408</v>
      </c>
      <c r="C132" s="1" t="n">
        <f aca="false">B132*$K$1</f>
        <v>42.3705696</v>
      </c>
      <c r="D132" s="1" t="n">
        <v>16.3894958134456</v>
      </c>
      <c r="E132" s="1" t="n">
        <f aca="false">D132*$K$1</f>
        <v>36.6633021346778</v>
      </c>
      <c r="F132" s="2" t="n">
        <v>2.5</v>
      </c>
      <c r="G132" s="12" t="n">
        <f aca="false">B132*F132+5</f>
        <v>52.352</v>
      </c>
      <c r="H132" s="3" t="n">
        <v>0</v>
      </c>
      <c r="I132" s="3" t="n">
        <v>0</v>
      </c>
      <c r="J132" s="4" t="n">
        <v>57.0587812567669</v>
      </c>
    </row>
    <row r="133" customFormat="false" ht="15" hidden="false" customHeight="false" outlineLevel="0" collapsed="false">
      <c r="A133" s="0" t="n">
        <f aca="false">A132+1</f>
        <v>131</v>
      </c>
      <c r="B133" s="1" t="n">
        <f aca="false">B132+H133*1</f>
        <v>18.9408</v>
      </c>
      <c r="C133" s="1" t="n">
        <f aca="false">B133*$K$1</f>
        <v>42.3705696</v>
      </c>
      <c r="D133" s="1" t="n">
        <v>18.1670319975539</v>
      </c>
      <c r="E133" s="1" t="n">
        <f aca="false">D133*$K$1</f>
        <v>40.6396505785281</v>
      </c>
      <c r="F133" s="2" t="n">
        <v>2.5</v>
      </c>
      <c r="G133" s="12" t="n">
        <f aca="false">B133*F133+5</f>
        <v>52.352</v>
      </c>
      <c r="H133" s="3" t="n">
        <v>0</v>
      </c>
      <c r="I133" s="3" t="n">
        <v>0</v>
      </c>
      <c r="J133" s="4" t="n">
        <v>58.6748948691804</v>
      </c>
    </row>
    <row r="134" customFormat="false" ht="15" hidden="false" customHeight="false" outlineLevel="0" collapsed="false">
      <c r="A134" s="0" t="n">
        <f aca="false">A133+1</f>
        <v>132</v>
      </c>
      <c r="B134" s="1" t="n">
        <f aca="false">B133+H134*1</f>
        <v>18.9408</v>
      </c>
      <c r="C134" s="1" t="n">
        <f aca="false">B134*$K$1</f>
        <v>42.3705696</v>
      </c>
      <c r="D134" s="1" t="n">
        <v>19.4828669231188</v>
      </c>
      <c r="E134" s="1" t="n">
        <f aca="false">D134*$K$1</f>
        <v>43.5831733070168</v>
      </c>
      <c r="F134" s="2" t="n">
        <v>2.5</v>
      </c>
      <c r="G134" s="12" t="n">
        <f aca="false">B134*F134+5</f>
        <v>52.352</v>
      </c>
      <c r="H134" s="3" t="n">
        <v>0</v>
      </c>
      <c r="I134" s="3" t="n">
        <v>0</v>
      </c>
      <c r="J134" s="4" t="n">
        <v>58.7407665957921</v>
      </c>
    </row>
    <row r="135" customFormat="false" ht="15" hidden="false" customHeight="false" outlineLevel="0" collapsed="false">
      <c r="A135" s="0" t="n">
        <f aca="false">A134+1</f>
        <v>133</v>
      </c>
      <c r="B135" s="1" t="n">
        <f aca="false">B134+H135*1</f>
        <v>18.9408</v>
      </c>
      <c r="C135" s="1" t="n">
        <f aca="false">B135*$K$1</f>
        <v>42.3705696</v>
      </c>
      <c r="D135" s="1" t="n">
        <v>20.2775561860445</v>
      </c>
      <c r="E135" s="1" t="n">
        <f aca="false">D135*$K$1</f>
        <v>45.3608931881815</v>
      </c>
      <c r="F135" s="2" t="n">
        <v>2.5</v>
      </c>
      <c r="G135" s="12" t="n">
        <f aca="false">B135*F135+5</f>
        <v>52.352</v>
      </c>
      <c r="H135" s="3" t="n">
        <v>0</v>
      </c>
      <c r="I135" s="3" t="n">
        <v>0</v>
      </c>
      <c r="J135" s="4" t="n">
        <v>57.7570337318161</v>
      </c>
    </row>
    <row r="136" customFormat="false" ht="15" hidden="false" customHeight="false" outlineLevel="0" collapsed="false">
      <c r="A136" s="0" t="n">
        <f aca="false">A135+1</f>
        <v>134</v>
      </c>
      <c r="B136" s="1" t="n">
        <f aca="false">B135+H136*1</f>
        <v>18.9408</v>
      </c>
      <c r="C136" s="1" t="n">
        <f aca="false">B136*$K$1</f>
        <v>42.3705696</v>
      </c>
      <c r="D136" s="1" t="n">
        <v>20.5951053723307</v>
      </c>
      <c r="E136" s="1" t="n">
        <f aca="false">D136*$K$1</f>
        <v>46.0712507179038</v>
      </c>
      <c r="F136" s="2" t="n">
        <v>2.5</v>
      </c>
      <c r="G136" s="12" t="n">
        <f aca="false">B136*F136+5</f>
        <v>52.352</v>
      </c>
      <c r="H136" s="3" t="n">
        <v>0</v>
      </c>
      <c r="I136" s="3" t="n">
        <v>0</v>
      </c>
      <c r="J136" s="4" t="n">
        <v>56.2281042341301</v>
      </c>
    </row>
    <row r="137" customFormat="false" ht="15" hidden="false" customHeight="false" outlineLevel="0" collapsed="false">
      <c r="A137" s="0" t="n">
        <f aca="false">A136+1</f>
        <v>135</v>
      </c>
      <c r="B137" s="1" t="n">
        <f aca="false">B136+H137*1</f>
        <v>18.9408</v>
      </c>
      <c r="C137" s="1" t="n">
        <f aca="false">B137*$K$1</f>
        <v>42.3705696</v>
      </c>
      <c r="D137" s="1" t="n">
        <v>20.5417745403911</v>
      </c>
      <c r="E137" s="1" t="n">
        <f aca="false">D137*$K$1</f>
        <v>45.9519496468549</v>
      </c>
      <c r="F137" s="2" t="n">
        <v>2.5</v>
      </c>
      <c r="G137" s="12" t="n">
        <f aca="false">B137*F137+5</f>
        <v>52.352</v>
      </c>
      <c r="H137" s="3" t="n">
        <v>0</v>
      </c>
      <c r="I137" s="3" t="n">
        <v>0</v>
      </c>
      <c r="J137" s="4" t="n">
        <v>54.5797596051232</v>
      </c>
    </row>
    <row r="138" customFormat="false" ht="15" hidden="false" customHeight="false" outlineLevel="0" collapsed="false">
      <c r="A138" s="0" t="n">
        <f aca="false">A137+1</f>
        <v>136</v>
      </c>
      <c r="B138" s="1" t="n">
        <f aca="false">B137+H138*1</f>
        <v>18.9408</v>
      </c>
      <c r="C138" s="1" t="n">
        <f aca="false">B138*$K$1</f>
        <v>42.3705696</v>
      </c>
      <c r="D138" s="1" t="n">
        <v>20.2484520167526</v>
      </c>
      <c r="E138" s="1" t="n">
        <f aca="false">D138*$K$1</f>
        <v>45.2957871614756</v>
      </c>
      <c r="F138" s="2" t="n">
        <v>2.5</v>
      </c>
      <c r="G138" s="12" t="n">
        <f aca="false">B138*F138+5</f>
        <v>52.352</v>
      </c>
      <c r="H138" s="3" t="n">
        <v>0</v>
      </c>
      <c r="I138" s="3" t="n">
        <v>0</v>
      </c>
      <c r="J138" s="4" t="n">
        <v>53.1165806373024</v>
      </c>
    </row>
    <row r="139" customFormat="false" ht="15" hidden="false" customHeight="false" outlineLevel="0" collapsed="false">
      <c r="A139" s="0" t="n">
        <f aca="false">A138+1</f>
        <v>137</v>
      </c>
      <c r="B139" s="1" t="n">
        <f aca="false">B138+H139*1</f>
        <v>18.9408</v>
      </c>
      <c r="C139" s="1" t="n">
        <f aca="false">B139*$K$1</f>
        <v>42.3705696</v>
      </c>
      <c r="D139" s="1" t="n">
        <v>19.8414740631032</v>
      </c>
      <c r="E139" s="1" t="n">
        <f aca="false">D139*$K$1</f>
        <v>44.3853774791619</v>
      </c>
      <c r="F139" s="2" t="n">
        <v>2.5</v>
      </c>
      <c r="G139" s="12" t="n">
        <f aca="false">B139*F139+5</f>
        <v>52.352</v>
      </c>
      <c r="H139" s="3" t="n">
        <v>0</v>
      </c>
      <c r="I139" s="3" t="n">
        <v>0</v>
      </c>
      <c r="J139" s="4" t="n">
        <v>52.0129130487792</v>
      </c>
    </row>
    <row r="140" customFormat="false" ht="15" hidden="false" customHeight="false" outlineLevel="0" collapsed="false">
      <c r="A140" s="0" t="n">
        <f aca="false">A139+1</f>
        <v>138</v>
      </c>
      <c r="B140" s="1" t="n">
        <f aca="false">B139+H140*1</f>
        <v>18.9408</v>
      </c>
      <c r="C140" s="1" t="n">
        <f aca="false">B140*$K$1</f>
        <v>42.3705696</v>
      </c>
      <c r="D140" s="1" t="n">
        <v>19.4237999453491</v>
      </c>
      <c r="E140" s="1" t="n">
        <f aca="false">D140*$K$1</f>
        <v>43.4510404777459</v>
      </c>
      <c r="F140" s="2" t="n">
        <v>2.5</v>
      </c>
      <c r="G140" s="12" t="n">
        <f aca="false">B140*F140+5</f>
        <v>52.352</v>
      </c>
      <c r="H140" s="3" t="n">
        <v>0</v>
      </c>
      <c r="I140" s="3" t="n">
        <v>0</v>
      </c>
      <c r="J140" s="4" t="n">
        <v>51.3277658278232</v>
      </c>
    </row>
    <row r="141" customFormat="false" ht="15" hidden="false" customHeight="false" outlineLevel="0" collapsed="false">
      <c r="A141" s="0" t="n">
        <f aca="false">A140+1</f>
        <v>139</v>
      </c>
      <c r="B141" s="1" t="n">
        <f aca="false">B140+H141*1</f>
        <v>18.9408</v>
      </c>
      <c r="C141" s="1" t="n">
        <f aca="false">B141*$K$1</f>
        <v>42.3705696</v>
      </c>
      <c r="D141" s="1" t="n">
        <v>19.0661561454427</v>
      </c>
      <c r="E141" s="1" t="n">
        <f aca="false">D141*$K$1</f>
        <v>42.6509912973553</v>
      </c>
      <c r="F141" s="2" t="n">
        <v>2.5</v>
      </c>
      <c r="G141" s="12" t="n">
        <f aca="false">B141*F141+5</f>
        <v>52.352</v>
      </c>
      <c r="H141" s="3" t="n">
        <v>0</v>
      </c>
      <c r="I141" s="3" t="n">
        <v>0</v>
      </c>
      <c r="J141" s="4" t="n">
        <v>51.0333528327683</v>
      </c>
    </row>
    <row r="142" customFormat="false" ht="15" hidden="false" customHeight="false" outlineLevel="0" collapsed="false">
      <c r="A142" s="0" t="n">
        <f aca="false">A141+1</f>
        <v>140</v>
      </c>
      <c r="B142" s="1" t="n">
        <f aca="false">B141+H142*1</f>
        <v>18.9408</v>
      </c>
      <c r="C142" s="1" t="n">
        <f aca="false">B142*$K$1</f>
        <v>42.3705696</v>
      </c>
      <c r="D142" s="1" t="n">
        <v>18.8062869121498</v>
      </c>
      <c r="E142" s="1" t="n">
        <f aca="false">D142*$K$1</f>
        <v>42.0696638224791</v>
      </c>
      <c r="F142" s="2" t="n">
        <v>2.5</v>
      </c>
      <c r="G142" s="12" t="n">
        <f aca="false">B142*F142+5</f>
        <v>52.352</v>
      </c>
      <c r="H142" s="3" t="n">
        <v>0</v>
      </c>
      <c r="I142" s="3" t="n">
        <v>0</v>
      </c>
      <c r="J142" s="4" t="n">
        <v>51.048186378544</v>
      </c>
    </row>
    <row r="143" customFormat="false" ht="15" hidden="false" customHeight="false" outlineLevel="0" collapsed="false">
      <c r="A143" s="0" t="n">
        <f aca="false">A142+1</f>
        <v>141</v>
      </c>
      <c r="B143" s="1" t="n">
        <f aca="false">B142+H143*1</f>
        <v>18.9408</v>
      </c>
      <c r="C143" s="1" t="n">
        <f aca="false">B143*$K$1</f>
        <v>42.3705696</v>
      </c>
      <c r="D143" s="1" t="n">
        <v>18.6537584383702</v>
      </c>
      <c r="E143" s="1" t="n">
        <f aca="false">D143*$K$1</f>
        <v>41.7284576266341</v>
      </c>
      <c r="F143" s="2" t="n">
        <v>2.5</v>
      </c>
      <c r="G143" s="12" t="n">
        <f aca="false">B143*F143+5</f>
        <v>52.352</v>
      </c>
      <c r="H143" s="3" t="n">
        <v>0</v>
      </c>
      <c r="I143" s="3" t="n">
        <v>0</v>
      </c>
      <c r="J143" s="4" t="n">
        <v>51.2678972754316</v>
      </c>
    </row>
    <row r="144" customFormat="false" ht="15" hidden="false" customHeight="false" outlineLevel="0" collapsed="false">
      <c r="A144" s="0" t="n">
        <f aca="false">A143+1</f>
        <v>142</v>
      </c>
      <c r="B144" s="1" t="n">
        <f aca="false">B138-H144*1</f>
        <v>16.9408</v>
      </c>
      <c r="C144" s="1" t="n">
        <f aca="false">B144*$K$1</f>
        <v>37.8965696</v>
      </c>
      <c r="D144" s="1" t="n">
        <v>18.6177122636371</v>
      </c>
      <c r="E144" s="1" t="n">
        <f aca="false">D144*$K$1</f>
        <v>41.6478223337562</v>
      </c>
      <c r="F144" s="2" t="n">
        <v>2.5</v>
      </c>
      <c r="G144" s="12" t="n">
        <f aca="false">B144*F144+5</f>
        <v>47.352</v>
      </c>
      <c r="H144" s="3" t="n">
        <v>2</v>
      </c>
      <c r="I144" s="3" t="n">
        <v>0</v>
      </c>
      <c r="J144" s="4" t="n">
        <v>50.5562391504539</v>
      </c>
    </row>
    <row r="145" customFormat="false" ht="15" hidden="false" customHeight="false" outlineLevel="0" collapsed="false">
      <c r="A145" s="0" t="n">
        <f aca="false">A144+1</f>
        <v>143</v>
      </c>
      <c r="B145" s="1" t="n">
        <f aca="false">B144-H145*1</f>
        <v>14.9408</v>
      </c>
      <c r="C145" s="1" t="n">
        <f aca="false">B145*$K$1</f>
        <v>33.4225696</v>
      </c>
      <c r="D145" s="1" t="n">
        <v>18.4686456543331</v>
      </c>
      <c r="E145" s="1" t="n">
        <f aca="false">D145*$K$1</f>
        <v>41.3143603287431</v>
      </c>
      <c r="F145" s="2" t="n">
        <v>2.5</v>
      </c>
      <c r="G145" s="12" t="n">
        <f aca="false">B145*F145+5</f>
        <v>42.352</v>
      </c>
      <c r="H145" s="3" t="n">
        <v>2</v>
      </c>
      <c r="I145" s="3" t="n">
        <v>0</v>
      </c>
      <c r="J145" s="4" t="n">
        <v>47.9148546949291</v>
      </c>
    </row>
    <row r="146" customFormat="false" ht="15" hidden="false" customHeight="false" outlineLevel="0" collapsed="false">
      <c r="A146" s="0" t="n">
        <f aca="false">A145+1</f>
        <v>144</v>
      </c>
      <c r="B146" s="1" t="n">
        <f aca="false">B145-H146*1</f>
        <v>12.9408</v>
      </c>
      <c r="C146" s="1" t="n">
        <f aca="false">B146*$K$1</f>
        <v>28.9485696</v>
      </c>
      <c r="D146" s="1" t="n">
        <v>17.9460356215779</v>
      </c>
      <c r="E146" s="1" t="n">
        <f aca="false">D146*$K$1</f>
        <v>40.1452816854698</v>
      </c>
      <c r="F146" s="2" t="n">
        <v>2.5</v>
      </c>
      <c r="G146" s="12" t="n">
        <f aca="false">B146*F146+5</f>
        <v>37.352</v>
      </c>
      <c r="H146" s="3" t="n">
        <v>2</v>
      </c>
      <c r="I146" s="3" t="n">
        <v>0</v>
      </c>
      <c r="J146" s="4" t="n">
        <v>43.6006497355977</v>
      </c>
    </row>
    <row r="147" customFormat="false" ht="15" hidden="false" customHeight="false" outlineLevel="0" collapsed="false">
      <c r="A147" s="0" t="n">
        <f aca="false">A146+1</f>
        <v>145</v>
      </c>
      <c r="B147" s="1" t="n">
        <f aca="false">B146-H147*1</f>
        <v>10.9408</v>
      </c>
      <c r="C147" s="1" t="n">
        <f aca="false">B147*$K$1</f>
        <v>24.4745696</v>
      </c>
      <c r="D147" s="1" t="n">
        <v>16.9353728551753</v>
      </c>
      <c r="E147" s="1" t="n">
        <f aca="false">D147*$K$1</f>
        <v>37.8844290770271</v>
      </c>
      <c r="F147" s="2" t="n">
        <v>2.5</v>
      </c>
      <c r="G147" s="12" t="n">
        <f aca="false">B147*F147+5</f>
        <v>32.352</v>
      </c>
      <c r="H147" s="3" t="n">
        <v>2</v>
      </c>
      <c r="I147" s="3" t="n">
        <v>0</v>
      </c>
      <c r="J147" s="4" t="n">
        <v>38.0549464987275</v>
      </c>
    </row>
    <row r="148" customFormat="false" ht="15" hidden="false" customHeight="false" outlineLevel="0" collapsed="false">
      <c r="A148" s="0" t="n">
        <f aca="false">A147+1</f>
        <v>146</v>
      </c>
      <c r="B148" s="1" t="n">
        <f aca="false">B147-H148*1</f>
        <v>8.9408</v>
      </c>
      <c r="C148" s="1" t="n">
        <f aca="false">B148*$K$1</f>
        <v>20.0005696</v>
      </c>
      <c r="D148" s="1" t="n">
        <v>15.4384329328159</v>
      </c>
      <c r="E148" s="1" t="n">
        <f aca="false">D148*$K$1</f>
        <v>34.5357744707092</v>
      </c>
      <c r="F148" s="2" t="n">
        <v>2.5</v>
      </c>
      <c r="G148" s="12" t="n">
        <f aca="false">B148*F148+5</f>
        <v>27.352</v>
      </c>
      <c r="H148" s="3" t="n">
        <v>2</v>
      </c>
      <c r="I148" s="3" t="n">
        <v>0</v>
      </c>
      <c r="J148" s="4" t="n">
        <v>31.7716633370655</v>
      </c>
    </row>
    <row r="149" customFormat="false" ht="15" hidden="false" customHeight="false" outlineLevel="0" collapsed="false">
      <c r="A149" s="0" t="n">
        <f aca="false">A148+1</f>
        <v>147</v>
      </c>
      <c r="B149" s="1" t="n">
        <f aca="false">B148-H149*1</f>
        <v>8.9408</v>
      </c>
      <c r="C149" s="1" t="n">
        <f aca="false">B149*$K$1</f>
        <v>20.0005696</v>
      </c>
      <c r="D149" s="1" t="n">
        <v>13.5146424774393</v>
      </c>
      <c r="E149" s="1" t="n">
        <f aca="false">D149*$K$1</f>
        <v>30.2322552220317</v>
      </c>
      <c r="F149" s="2" t="n">
        <v>2.5</v>
      </c>
      <c r="G149" s="12" t="n">
        <f aca="false">B149*F149+5</f>
        <v>27.352</v>
      </c>
      <c r="H149" s="3" t="n">
        <v>0</v>
      </c>
      <c r="I149" s="3" t="n">
        <v>0</v>
      </c>
      <c r="J149" s="4" t="n">
        <v>26.233837054486</v>
      </c>
    </row>
    <row r="150" customFormat="false" ht="15" hidden="false" customHeight="false" outlineLevel="0" collapsed="false">
      <c r="A150" s="0" t="n">
        <f aca="false">A149+1</f>
        <v>148</v>
      </c>
      <c r="B150" s="1" t="n">
        <f aca="false">B149-H150*1</f>
        <v>8.9408</v>
      </c>
      <c r="C150" s="1" t="n">
        <f aca="false">B150*$K$1</f>
        <v>20.0005696</v>
      </c>
      <c r="D150" s="1" t="n">
        <v>11.4893949291989</v>
      </c>
      <c r="E150" s="1" t="n">
        <f aca="false">D150*$K$1</f>
        <v>25.7017764566179</v>
      </c>
      <c r="F150" s="2" t="n">
        <v>2.5</v>
      </c>
      <c r="G150" s="12" t="n">
        <f aca="false">B150*F150+5</f>
        <v>27.352</v>
      </c>
      <c r="H150" s="3" t="n">
        <v>0</v>
      </c>
      <c r="I150" s="3" t="n">
        <v>0</v>
      </c>
      <c r="J150" s="4" t="n">
        <v>22.7021628109953</v>
      </c>
    </row>
    <row r="151" customFormat="false" ht="15" hidden="false" customHeight="false" outlineLevel="0" collapsed="false">
      <c r="A151" s="0" t="n">
        <f aca="false">A150+1</f>
        <v>149</v>
      </c>
      <c r="B151" s="1" t="n">
        <f aca="false">B150-H151*1</f>
        <v>8.9408</v>
      </c>
      <c r="C151" s="1" t="n">
        <f aca="false">B151*$K$1</f>
        <v>20.0005696</v>
      </c>
      <c r="D151" s="1" t="n">
        <v>9.72198841048049</v>
      </c>
      <c r="E151" s="1" t="n">
        <f aca="false">D151*$K$1</f>
        <v>21.7480880742449</v>
      </c>
      <c r="F151" s="2" t="n">
        <v>2.5</v>
      </c>
      <c r="G151" s="12" t="n">
        <f aca="false">B151*F151+5</f>
        <v>27.352</v>
      </c>
      <c r="H151" s="3" t="n">
        <v>0</v>
      </c>
      <c r="I151" s="3" t="n">
        <v>0</v>
      </c>
      <c r="J151" s="4" t="n">
        <v>21.0832633902114</v>
      </c>
    </row>
    <row r="152" customFormat="false" ht="15" hidden="false" customHeight="false" outlineLevel="0" collapsed="false">
      <c r="A152" s="0" t="n">
        <f aca="false">A151+1</f>
        <v>150</v>
      </c>
      <c r="B152" s="1" t="n">
        <f aca="false">B151-H152*1</f>
        <v>8.9408</v>
      </c>
      <c r="C152" s="1" t="n">
        <f aca="false">B152*$K$1</f>
        <v>20.0005696</v>
      </c>
      <c r="D152" s="1" t="n">
        <v>8.4117487505599</v>
      </c>
      <c r="E152" s="1" t="n">
        <f aca="false">D152*$K$1</f>
        <v>18.8170819550025</v>
      </c>
      <c r="F152" s="2" t="n">
        <v>2.5</v>
      </c>
      <c r="G152" s="12" t="n">
        <f aca="false">B152*F152+5</f>
        <v>27.352</v>
      </c>
      <c r="H152" s="3" t="n">
        <v>0</v>
      </c>
      <c r="I152" s="3" t="n">
        <v>0</v>
      </c>
      <c r="J152" s="4" t="n">
        <v>21.0068110907453</v>
      </c>
    </row>
    <row r="153" customFormat="false" ht="15" hidden="false" customHeight="false" outlineLevel="0" collapsed="false">
      <c r="A153" s="0" t="n">
        <f aca="false">A152+1</f>
        <v>151</v>
      </c>
      <c r="B153" s="1" t="n">
        <f aca="false">B152-H153*1</f>
        <v>8.9408</v>
      </c>
      <c r="C153" s="1" t="n">
        <f aca="false">B153*$K$1</f>
        <v>20.0005696</v>
      </c>
      <c r="D153" s="1" t="n">
        <v>7.61871548173194</v>
      </c>
      <c r="E153" s="1" t="n">
        <f aca="false">D153*$K$1</f>
        <v>17.0430665326343</v>
      </c>
      <c r="F153" s="2" t="n">
        <v>2.5</v>
      </c>
      <c r="G153" s="12" t="n">
        <f aca="false">B153*F153+5</f>
        <v>27.352</v>
      </c>
      <c r="H153" s="3" t="n">
        <v>0</v>
      </c>
      <c r="I153" s="3" t="n">
        <v>0</v>
      </c>
      <c r="J153" s="4" t="n">
        <v>21.9764414541032</v>
      </c>
    </row>
    <row r="154" customFormat="false" ht="15" hidden="false" customHeight="false" outlineLevel="0" collapsed="false">
      <c r="A154" s="0" t="n">
        <f aca="false">A153+1</f>
        <v>152</v>
      </c>
      <c r="B154" s="1" t="n">
        <f aca="false">B153-H154*1</f>
        <v>8.9408</v>
      </c>
      <c r="C154" s="1" t="n">
        <f aca="false">B154*$K$1</f>
        <v>20.0005696</v>
      </c>
      <c r="D154" s="1" t="n">
        <v>7.29991567116327</v>
      </c>
      <c r="E154" s="1" t="n">
        <f aca="false">D154*$K$1</f>
        <v>16.3299113563922</v>
      </c>
      <c r="F154" s="2" t="n">
        <v>2.5</v>
      </c>
      <c r="G154" s="12" t="n">
        <f aca="false">B154*F154+5</f>
        <v>27.352</v>
      </c>
      <c r="H154" s="3" t="n">
        <v>0</v>
      </c>
      <c r="I154" s="3" t="n">
        <v>0</v>
      </c>
      <c r="J154" s="4" t="n">
        <v>23.4911769125738</v>
      </c>
    </row>
    <row r="155" customFormat="false" ht="15" hidden="false" customHeight="false" outlineLevel="0" collapsed="false">
      <c r="A155" s="0" t="n">
        <f aca="false">A154+1</f>
        <v>153</v>
      </c>
      <c r="B155" s="1" t="n">
        <f aca="false">B154-H155*1</f>
        <v>8.9408</v>
      </c>
      <c r="C155" s="1" t="n">
        <f aca="false">B155*$K$1</f>
        <v>20.0005696</v>
      </c>
      <c r="D155" s="1" t="n">
        <v>7.35024901014168</v>
      </c>
      <c r="E155" s="1" t="n">
        <f aca="false">D155*$K$1</f>
        <v>16.4425070356869</v>
      </c>
      <c r="F155" s="2" t="n">
        <v>2.5</v>
      </c>
      <c r="G155" s="12" t="n">
        <f aca="false">B155*F155+5</f>
        <v>27.352</v>
      </c>
      <c r="H155" s="3" t="n">
        <v>0</v>
      </c>
      <c r="I155" s="3" t="n">
        <v>0</v>
      </c>
      <c r="J155" s="4" t="n">
        <v>25.1275498143614</v>
      </c>
    </row>
    <row r="156" customFormat="false" ht="15" hidden="false" customHeight="false" outlineLevel="0" collapsed="false">
      <c r="A156" s="0" t="n">
        <f aca="false">A155+1</f>
        <v>154</v>
      </c>
      <c r="B156" s="1" t="n">
        <f aca="false">B155-H156*1</f>
        <v>8.9408</v>
      </c>
      <c r="C156" s="1" t="n">
        <f aca="false">B156*$K$1</f>
        <v>20.0005696</v>
      </c>
      <c r="D156" s="1" t="n">
        <v>7.6398855139231</v>
      </c>
      <c r="E156" s="1" t="n">
        <f aca="false">D156*$K$1</f>
        <v>17.090423894646</v>
      </c>
      <c r="F156" s="2" t="n">
        <v>2.5</v>
      </c>
      <c r="G156" s="12" t="n">
        <f aca="false">B156*F156+5</f>
        <v>27.352</v>
      </c>
      <c r="H156" s="3" t="n">
        <v>0</v>
      </c>
      <c r="I156" s="3" t="n">
        <v>0</v>
      </c>
      <c r="J156" s="4" t="n">
        <v>26.5821726157378</v>
      </c>
    </row>
    <row r="157" customFormat="false" ht="15" hidden="false" customHeight="false" outlineLevel="0" collapsed="false">
      <c r="A157" s="0" t="n">
        <f aca="false">A156+1</f>
        <v>155</v>
      </c>
      <c r="B157" s="1" t="n">
        <f aca="false">B156-H157*1</f>
        <v>8.9408</v>
      </c>
      <c r="C157" s="1" t="n">
        <f aca="false">B157*$K$1</f>
        <v>20.0005696</v>
      </c>
      <c r="D157" s="1" t="n">
        <v>8.04330902132857</v>
      </c>
      <c r="E157" s="1" t="n">
        <f aca="false">D157*$K$1</f>
        <v>17.992882280712</v>
      </c>
      <c r="F157" s="2" t="n">
        <v>2.5</v>
      </c>
      <c r="G157" s="12" t="n">
        <f aca="false">B157*F157+5</f>
        <v>27.352</v>
      </c>
      <c r="H157" s="3" t="n">
        <v>0</v>
      </c>
      <c r="I157" s="3" t="n">
        <v>0</v>
      </c>
      <c r="J157" s="4" t="n">
        <v>27.6809498146617</v>
      </c>
    </row>
    <row r="158" customFormat="false" ht="15" hidden="false" customHeight="false" outlineLevel="0" collapsed="false">
      <c r="A158" s="0" t="n">
        <f aca="false">A157+1</f>
        <v>156</v>
      </c>
      <c r="B158" s="1" t="n">
        <f aca="false">B157-H158*1</f>
        <v>8.9408</v>
      </c>
      <c r="C158" s="1" t="n">
        <f aca="false">B158*$K$1</f>
        <v>20.0005696</v>
      </c>
      <c r="D158" s="1" t="n">
        <v>8.45808874730481</v>
      </c>
      <c r="E158" s="1" t="n">
        <f aca="false">D158*$K$1</f>
        <v>18.9207445277209</v>
      </c>
      <c r="F158" s="2" t="n">
        <v>2.5</v>
      </c>
      <c r="G158" s="12" t="n">
        <f aca="false">B158*F158+5</f>
        <v>27.352</v>
      </c>
      <c r="H158" s="3" t="n">
        <v>0</v>
      </c>
      <c r="I158" s="3" t="n">
        <v>0</v>
      </c>
      <c r="J158" s="4" t="n">
        <v>28.3644503404705</v>
      </c>
    </row>
    <row r="159" customFormat="false" ht="15" hidden="false" customHeight="false" outlineLevel="0" collapsed="false">
      <c r="A159" s="0" t="n">
        <f aca="false">A158+1</f>
        <v>157</v>
      </c>
      <c r="B159" s="1" t="n">
        <f aca="false">B158-H159*1</f>
        <v>8.9408</v>
      </c>
      <c r="C159" s="1" t="n">
        <f aca="false">B159*$K$1</f>
        <v>20.0005696</v>
      </c>
      <c r="D159" s="1" t="n">
        <v>8.81374621408165</v>
      </c>
      <c r="E159" s="1" t="n">
        <f aca="false">D159*$K$1</f>
        <v>19.7163502809007</v>
      </c>
      <c r="F159" s="2" t="n">
        <v>2.5</v>
      </c>
      <c r="G159" s="12" t="n">
        <f aca="false">B159*F159+5</f>
        <v>27.352</v>
      </c>
      <c r="H159" s="3" t="n">
        <v>0</v>
      </c>
      <c r="I159" s="3" t="n">
        <v>0</v>
      </c>
      <c r="J159" s="4" t="n">
        <v>28.6596555714348</v>
      </c>
    </row>
    <row r="160" customFormat="false" ht="15" hidden="false" customHeight="false" outlineLevel="0" collapsed="false">
      <c r="A160" s="0" t="n">
        <f aca="false">A159+1</f>
        <v>158</v>
      </c>
      <c r="B160" s="1" t="n">
        <f aca="false">B159-H160*1</f>
        <v>8.9408</v>
      </c>
      <c r="C160" s="1" t="n">
        <f aca="false">B160*$K$1</f>
        <v>20.0005696</v>
      </c>
      <c r="D160" s="1" t="n">
        <v>9.07255729426031</v>
      </c>
      <c r="E160" s="1" t="n">
        <f aca="false">D160*$K$1</f>
        <v>20.2953106672603</v>
      </c>
      <c r="F160" s="2" t="n">
        <v>2.5</v>
      </c>
      <c r="G160" s="12" t="n">
        <f aca="false">B160*F160+5</f>
        <v>27.352</v>
      </c>
      <c r="H160" s="3" t="n">
        <v>0</v>
      </c>
      <c r="I160" s="3" t="n">
        <v>0</v>
      </c>
      <c r="J160" s="4" t="n">
        <v>28.6471214254057</v>
      </c>
    </row>
    <row r="161" customFormat="false" ht="15" hidden="false" customHeight="false" outlineLevel="0" collapsed="false">
      <c r="A161" s="0" t="n">
        <f aca="false">A160+1</f>
        <v>159</v>
      </c>
      <c r="B161" s="1" t="n">
        <f aca="false">B155-H161*1</f>
        <v>8.04672</v>
      </c>
      <c r="C161" s="1" t="n">
        <f aca="false">B161*$K$1</f>
        <v>18.00051264</v>
      </c>
      <c r="D161" s="1" t="n">
        <v>9.23376074687685</v>
      </c>
      <c r="E161" s="1" t="n">
        <f aca="false">D161*$K$1</f>
        <v>20.6559227907635</v>
      </c>
      <c r="F161" s="2" t="n">
        <v>2.5</v>
      </c>
      <c r="G161" s="12" t="n">
        <f aca="false">B161*F161+5</f>
        <v>25.1168</v>
      </c>
      <c r="H161" s="3" t="n">
        <v>0.89408</v>
      </c>
      <c r="I161" s="3" t="n">
        <v>0</v>
      </c>
      <c r="J161" s="4" t="n">
        <v>27.9684087817575</v>
      </c>
    </row>
    <row r="162" customFormat="false" ht="15" hidden="false" customHeight="false" outlineLevel="0" collapsed="false">
      <c r="A162" s="0" t="n">
        <f aca="false">A161+1</f>
        <v>160</v>
      </c>
      <c r="B162" s="1" t="n">
        <f aca="false">B161-H162*1</f>
        <v>7.15264</v>
      </c>
      <c r="C162" s="1" t="n">
        <f aca="false">B162*$K$1</f>
        <v>16.00045568</v>
      </c>
      <c r="D162" s="1" t="n">
        <v>9.21559234517746</v>
      </c>
      <c r="E162" s="1" t="n">
        <f aca="false">D162*$K$1</f>
        <v>20.615280076162</v>
      </c>
      <c r="F162" s="2" t="n">
        <v>2.5</v>
      </c>
      <c r="G162" s="12" t="n">
        <f aca="false">B162*F162+5</f>
        <v>22.8816</v>
      </c>
      <c r="H162" s="3" t="n">
        <v>0.89408</v>
      </c>
      <c r="I162" s="3" t="n">
        <v>0</v>
      </c>
      <c r="J162" s="4" t="n">
        <v>26.3176090281495</v>
      </c>
    </row>
    <row r="163" customFormat="false" ht="15" hidden="false" customHeight="false" outlineLevel="0" collapsed="false">
      <c r="A163" s="0" t="n">
        <f aca="false">A162+1</f>
        <v>161</v>
      </c>
      <c r="B163" s="1" t="n">
        <f aca="false">B162-H163*1</f>
        <v>6.25856</v>
      </c>
      <c r="C163" s="1" t="n">
        <f aca="false">B163*$K$1</f>
        <v>14.00039872</v>
      </c>
      <c r="D163" s="1" t="n">
        <v>8.93628049685882</v>
      </c>
      <c r="E163" s="1" t="n">
        <f aca="false">D163*$K$1</f>
        <v>19.9904594714732</v>
      </c>
      <c r="F163" s="2" t="n">
        <v>2.5</v>
      </c>
      <c r="G163" s="12" t="n">
        <f aca="false">B163*F163+5</f>
        <v>20.6464</v>
      </c>
      <c r="H163" s="3" t="n">
        <v>0.89408</v>
      </c>
      <c r="I163" s="3" t="n">
        <v>0</v>
      </c>
      <c r="J163" s="4" t="n">
        <v>23.9212713852023</v>
      </c>
    </row>
    <row r="164" customFormat="false" ht="15" hidden="false" customHeight="false" outlineLevel="0" collapsed="false">
      <c r="A164" s="0" t="n">
        <f aca="false">A163+1</f>
        <v>162</v>
      </c>
      <c r="B164" s="1" t="n">
        <f aca="false">B163-H164*1</f>
        <v>5.36448</v>
      </c>
      <c r="C164" s="1" t="n">
        <f aca="false">B164*$K$1</f>
        <v>12.00034176</v>
      </c>
      <c r="D164" s="1" t="n">
        <v>8.38303514257997</v>
      </c>
      <c r="E164" s="1" t="n">
        <f aca="false">D164*$K$1</f>
        <v>18.7528496139514</v>
      </c>
      <c r="F164" s="2" t="n">
        <v>2.5</v>
      </c>
      <c r="G164" s="12" t="n">
        <f aca="false">B164*F164+5</f>
        <v>18.4112</v>
      </c>
      <c r="H164" s="3" t="n">
        <v>0.89408</v>
      </c>
      <c r="I164" s="3" t="n">
        <v>0</v>
      </c>
      <c r="J164" s="4" t="n">
        <v>21.0511829376435</v>
      </c>
    </row>
    <row r="165" customFormat="false" ht="15" hidden="false" customHeight="false" outlineLevel="0" collapsed="false">
      <c r="A165" s="0" t="n">
        <f aca="false">A164+1</f>
        <v>163</v>
      </c>
      <c r="B165" s="1" t="n">
        <f aca="false">B164-H165*1</f>
        <v>4.4704</v>
      </c>
      <c r="C165" s="1" t="n">
        <f aca="false">B165*$K$1</f>
        <v>10.0002848</v>
      </c>
      <c r="D165" s="1" t="n">
        <v>7.59135695775043</v>
      </c>
      <c r="E165" s="1" t="n">
        <f aca="false">D165*$K$1</f>
        <v>16.9818655144877</v>
      </c>
      <c r="F165" s="2" t="n">
        <v>2.5</v>
      </c>
      <c r="G165" s="12" t="n">
        <f aca="false">B165*F165+5</f>
        <v>16.176</v>
      </c>
      <c r="H165" s="3" t="n">
        <v>0.89408</v>
      </c>
      <c r="I165" s="3" t="n">
        <v>0</v>
      </c>
      <c r="J165" s="4" t="n">
        <v>17.9657226699342</v>
      </c>
    </row>
    <row r="166" customFormat="false" ht="15" hidden="false" customHeight="false" outlineLevel="0" collapsed="false">
      <c r="A166" s="0" t="n">
        <f aca="false">A165+1</f>
        <v>164</v>
      </c>
      <c r="B166" s="1" t="n">
        <f aca="false">B165-H166*1</f>
        <v>3.57632</v>
      </c>
      <c r="C166" s="1" t="n">
        <f aca="false">B166*$K$1</f>
        <v>8.00022783999999</v>
      </c>
      <c r="D166" s="1" t="n">
        <v>6.62340047711548</v>
      </c>
      <c r="E166" s="1" t="n">
        <f aca="false">D166*$K$1</f>
        <v>14.8165468673073</v>
      </c>
      <c r="F166" s="2" t="n">
        <v>2.5</v>
      </c>
      <c r="G166" s="12" t="n">
        <f aca="false">B166*F166+5</f>
        <v>13.9408</v>
      </c>
      <c r="H166" s="3" t="n">
        <v>0.89408</v>
      </c>
      <c r="I166" s="3" t="n">
        <v>0</v>
      </c>
      <c r="J166" s="4" t="n">
        <v>14.8727128520577</v>
      </c>
    </row>
    <row r="167" customFormat="false" ht="15" hidden="false" customHeight="false" outlineLevel="0" collapsed="false">
      <c r="A167" s="0" t="n">
        <f aca="false">A166+1</f>
        <v>165</v>
      </c>
      <c r="B167" s="1" t="n">
        <f aca="false">B166-H167*1</f>
        <v>2.68224</v>
      </c>
      <c r="C167" s="1" t="n">
        <f aca="false">B167*$K$1</f>
        <v>6.00017087999999</v>
      </c>
      <c r="D167" s="1" t="n">
        <v>5.54918427022065</v>
      </c>
      <c r="E167" s="1" t="n">
        <f aca="false">D167*$K$1</f>
        <v>12.4135252124836</v>
      </c>
      <c r="F167" s="2" t="n">
        <v>2.5</v>
      </c>
      <c r="G167" s="12" t="n">
        <f aca="false">B167*F167+5</f>
        <v>11.7056</v>
      </c>
      <c r="H167" s="3" t="n">
        <v>0.89408</v>
      </c>
      <c r="I167" s="3" t="n">
        <v>0</v>
      </c>
      <c r="J167" s="4" t="n">
        <v>11.9126552263679</v>
      </c>
    </row>
    <row r="168" customFormat="false" ht="15" hidden="false" customHeight="false" outlineLevel="0" collapsed="false">
      <c r="A168" s="0" t="n">
        <f aca="false">A167+1</f>
        <v>166</v>
      </c>
      <c r="B168" s="1" t="n">
        <f aca="false">B167-H168*1</f>
        <v>1.78816</v>
      </c>
      <c r="C168" s="1" t="n">
        <f aca="false">B168*$K$1</f>
        <v>4.00011391999999</v>
      </c>
      <c r="D168" s="1" t="n">
        <v>4.43273234763521</v>
      </c>
      <c r="E168" s="1" t="n">
        <f aca="false">D168*$K$1</f>
        <v>9.91602226165997</v>
      </c>
      <c r="F168" s="2" t="n">
        <v>2.5</v>
      </c>
      <c r="G168" s="12" t="n">
        <f aca="false">B168*F168+5</f>
        <v>9.47039999999999</v>
      </c>
      <c r="H168" s="3" t="n">
        <v>0.89408</v>
      </c>
      <c r="I168" s="3" t="n">
        <v>0</v>
      </c>
      <c r="J168" s="4" t="n">
        <v>9.1583266523744</v>
      </c>
    </row>
    <row r="169" customFormat="false" ht="15" hidden="false" customHeight="false" outlineLevel="0" collapsed="false">
      <c r="A169" s="0" t="n">
        <f aca="false">A168+1</f>
        <v>167</v>
      </c>
      <c r="B169" s="1" t="n">
        <f aca="false">B168-H169*1</f>
        <v>0.894079999999997</v>
      </c>
      <c r="C169" s="1" t="n">
        <f aca="false">B169*$K$1</f>
        <v>2.00005695999999</v>
      </c>
      <c r="D169" s="1" t="n">
        <v>3.32375028136734</v>
      </c>
      <c r="E169" s="1" t="n">
        <f aca="false">D169*$K$1</f>
        <v>7.43522937941874</v>
      </c>
      <c r="F169" s="2" t="n">
        <v>2.5</v>
      </c>
      <c r="G169" s="12" t="n">
        <f aca="false">B169*F169+5</f>
        <v>7.23519999999999</v>
      </c>
      <c r="H169" s="3" t="n">
        <v>0.89408</v>
      </c>
      <c r="I169" s="3" t="n">
        <v>0</v>
      </c>
      <c r="J169" s="4" t="n">
        <v>6.62540428004468</v>
      </c>
    </row>
    <row r="170" customFormat="false" ht="15" hidden="false" customHeight="false" outlineLevel="0" collapsed="false">
      <c r="A170" s="0" t="n">
        <f aca="false">A169+1</f>
        <v>168</v>
      </c>
      <c r="B170" s="1" t="n">
        <f aca="false">B169-H170*1</f>
        <v>-3.33066907387547E-015</v>
      </c>
      <c r="C170" s="1" t="n">
        <f aca="false">B170*$K$1</f>
        <v>-7.45070671825942E-015</v>
      </c>
      <c r="D170" s="1" t="n">
        <v>2.25435003346202</v>
      </c>
      <c r="E170" s="1" t="n">
        <f aca="false">D170*$K$1</f>
        <v>5.04298102485454</v>
      </c>
      <c r="F170" s="2" t="n">
        <v>2.5</v>
      </c>
      <c r="G170" s="12" t="n">
        <f aca="false">B170*F170+5</f>
        <v>4.99999999999999</v>
      </c>
      <c r="H170" s="3" t="n">
        <v>0.89408</v>
      </c>
      <c r="I170" s="3" t="n">
        <v>0</v>
      </c>
      <c r="J170" s="4" t="n">
        <v>4.28877348588935</v>
      </c>
    </row>
    <row r="171" customFormat="false" ht="15" hidden="false" customHeight="false" outlineLevel="0" collapsed="false">
      <c r="A171" s="0" t="n">
        <f aca="false">A170+1</f>
        <v>169</v>
      </c>
      <c r="B171" s="0" t="n">
        <v>0</v>
      </c>
      <c r="C171" s="1" t="n">
        <f aca="false">B171*$K$1</f>
        <v>0</v>
      </c>
      <c r="D171" s="1" t="n">
        <v>1.23074467970447</v>
      </c>
      <c r="E171" s="1" t="n">
        <f aca="false">D171*$K$1</f>
        <v>2.7531758484989</v>
      </c>
      <c r="F171" s="2" t="n">
        <v>2.5</v>
      </c>
      <c r="G171" s="12" t="n">
        <f aca="false">B171*F171+5</f>
        <v>5</v>
      </c>
      <c r="H171" s="3" t="n">
        <v>0.89408</v>
      </c>
      <c r="I171" s="3" t="n">
        <v>0</v>
      </c>
      <c r="J171" s="4" t="n">
        <v>2.56196209056566</v>
      </c>
    </row>
    <row r="172" customFormat="false" ht="15" hidden="false" customHeight="false" outlineLevel="0" collapsed="false">
      <c r="A172" s="0" t="n">
        <f aca="false">A171+1</f>
        <v>170</v>
      </c>
      <c r="B172" s="0" t="n">
        <v>0</v>
      </c>
      <c r="C172" s="1" t="n">
        <f aca="false">B172*$K$1</f>
        <v>0</v>
      </c>
      <c r="D172" s="1" t="n">
        <v>0.346688480806948</v>
      </c>
      <c r="E172" s="1" t="n">
        <f aca="false">D172*$K$1</f>
        <v>0.775542131565143</v>
      </c>
      <c r="F172" s="2" t="n">
        <v>2.5</v>
      </c>
      <c r="G172" s="12" t="n">
        <f aca="false">B172*F172+5</f>
        <v>5</v>
      </c>
      <c r="H172" s="3" t="n">
        <v>0.89408</v>
      </c>
      <c r="I172" s="3" t="n">
        <v>0</v>
      </c>
      <c r="J172" s="4" t="n">
        <v>1.79686793015117</v>
      </c>
    </row>
    <row r="173" customFormat="false" ht="15" hidden="false" customHeight="false" outlineLevel="0" collapsed="false">
      <c r="A173" s="0" t="n">
        <f aca="false">A172+1</f>
        <v>171</v>
      </c>
      <c r="B173" s="0" t="n">
        <v>0</v>
      </c>
      <c r="C173" s="1" t="n">
        <f aca="false">B173*$K$1</f>
        <v>0</v>
      </c>
      <c r="D173" s="1" t="n">
        <v>-0.301603953855061</v>
      </c>
      <c r="E173" s="1" t="n">
        <f aca="false">D173*$K$1</f>
        <v>-0.674688044773772</v>
      </c>
      <c r="F173" s="2" t="n">
        <v>2.5</v>
      </c>
      <c r="G173" s="12" t="n">
        <f aca="false">B173*F173+5</f>
        <v>5</v>
      </c>
      <c r="H173" s="3" t="n">
        <v>0.89408</v>
      </c>
      <c r="I173" s="3" t="n">
        <v>0</v>
      </c>
      <c r="J173" s="4" t="n">
        <v>1.79943318143114</v>
      </c>
    </row>
    <row r="174" customFormat="false" ht="15" hidden="false" customHeight="false" outlineLevel="0" collapsed="false">
      <c r="A174" s="0" t="n">
        <f aca="false">A173+1</f>
        <v>172</v>
      </c>
      <c r="B174" s="0" t="n">
        <v>0</v>
      </c>
      <c r="C174" s="1" t="n">
        <f aca="false">B174*$K$1</f>
        <v>0</v>
      </c>
      <c r="D174" s="1" t="n">
        <v>-0.687579225043864</v>
      </c>
      <c r="E174" s="1" t="n">
        <f aca="false">D174*$K$1</f>
        <v>-1.53811472642312</v>
      </c>
      <c r="F174" s="2" t="n">
        <v>2.5</v>
      </c>
      <c r="G174" s="12" t="n">
        <f aca="false">B174*F174+5</f>
        <v>5</v>
      </c>
      <c r="H174" s="3" t="n">
        <v>0.89408</v>
      </c>
      <c r="I174" s="3" t="n">
        <v>0</v>
      </c>
      <c r="J174" s="4" t="n">
        <v>2.3160881090987</v>
      </c>
    </row>
    <row r="175" customFormat="false" ht="15" hidden="false" customHeight="false" outlineLevel="0" collapsed="false">
      <c r="A175" s="0" t="n">
        <f aca="false">A174+1</f>
        <v>173</v>
      </c>
      <c r="B175" s="0" t="n">
        <v>0</v>
      </c>
      <c r="C175" s="1" t="n">
        <f aca="false">B175*$K$1</f>
        <v>0</v>
      </c>
      <c r="D175" s="1" t="n">
        <v>-0.835644571482476</v>
      </c>
      <c r="E175" s="1" t="n">
        <f aca="false">D175*$K$1</f>
        <v>-1.8693369064063</v>
      </c>
      <c r="F175" s="2" t="n">
        <v>2.5</v>
      </c>
      <c r="G175" s="12" t="n">
        <f aca="false">B175*F175+5</f>
        <v>5</v>
      </c>
      <c r="H175" s="3" t="n">
        <v>0.89408</v>
      </c>
      <c r="I175" s="3" t="n">
        <v>0</v>
      </c>
      <c r="J175" s="4" t="n">
        <v>3.09417332484486</v>
      </c>
    </row>
    <row r="176" customFormat="false" ht="15" hidden="false" customHeight="false" outlineLevel="0" collapsed="false">
      <c r="A176" s="0" t="n">
        <f aca="false">A175+1</f>
        <v>174</v>
      </c>
      <c r="B176" s="0" t="n">
        <v>0</v>
      </c>
      <c r="C176" s="1" t="n">
        <f aca="false">B176*$K$1</f>
        <v>0</v>
      </c>
      <c r="D176" s="1" t="n">
        <v>-0.800435330394826</v>
      </c>
      <c r="E176" s="1" t="n">
        <f aca="false">D176*$K$1</f>
        <v>-1.79057383409323</v>
      </c>
      <c r="F176" s="2" t="n">
        <v>2.5</v>
      </c>
      <c r="G176" s="12" t="n">
        <f aca="false">B176*F176+5</f>
        <v>5</v>
      </c>
      <c r="H176" s="3" t="n">
        <v>0.89408</v>
      </c>
      <c r="I176" s="3" t="n">
        <v>0</v>
      </c>
      <c r="J176" s="4" t="n">
        <v>3.92228966340099</v>
      </c>
    </row>
    <row r="177" customFormat="false" ht="15" hidden="false" customHeight="false" outlineLevel="0" collapsed="false">
      <c r="A177" s="0" t="n">
        <f aca="false">A176+1</f>
        <v>175</v>
      </c>
      <c r="B177" s="0" t="n">
        <v>0</v>
      </c>
      <c r="C177" s="1" t="n">
        <f aca="false">B177*$K$1</f>
        <v>0</v>
      </c>
      <c r="D177" s="1" t="n">
        <v>-0.648056163655688</v>
      </c>
      <c r="E177" s="1" t="n">
        <f aca="false">D177*$K$1</f>
        <v>-1.44970163809777</v>
      </c>
      <c r="F177" s="2" t="n">
        <v>2.5</v>
      </c>
      <c r="G177" s="12" t="n">
        <f aca="false">B177*F177+5</f>
        <v>5</v>
      </c>
      <c r="H177" s="3" t="n">
        <v>0.89408</v>
      </c>
      <c r="I177" s="3" t="n">
        <v>0</v>
      </c>
      <c r="J177" s="4" t="n">
        <v>4.65070325468605</v>
      </c>
    </row>
    <row r="178" customFormat="false" ht="15" hidden="false" customHeight="false" outlineLevel="0" collapsed="false">
      <c r="A178" s="0" t="n">
        <f aca="false">A177+1</f>
        <v>176</v>
      </c>
      <c r="B178" s="0" t="n">
        <v>0</v>
      </c>
      <c r="C178" s="1" t="n">
        <f aca="false">B178*$K$1</f>
        <v>0</v>
      </c>
      <c r="D178" s="1" t="n">
        <v>-0.441663223795273</v>
      </c>
      <c r="E178" s="1" t="n">
        <f aca="false">D178*$K$1</f>
        <v>-0.988000631630026</v>
      </c>
      <c r="F178" s="2" t="n">
        <v>2.5</v>
      </c>
      <c r="G178" s="12" t="n">
        <f aca="false">B178*F178+5</f>
        <v>5</v>
      </c>
      <c r="H178" s="3" t="n">
        <v>0.89408</v>
      </c>
      <c r="I178" s="3" t="n">
        <v>0</v>
      </c>
      <c r="J178" s="4" t="n">
        <v>5.19510019578001</v>
      </c>
    </row>
    <row r="179" customFormat="false" ht="15" hidden="false" customHeight="false" outlineLevel="0" collapsed="false">
      <c r="A179" s="0" t="n">
        <f aca="false">A178+1</f>
        <v>177</v>
      </c>
      <c r="B179" s="0" t="n">
        <v>0</v>
      </c>
      <c r="C179" s="1" t="n">
        <f aca="false">B179*$K$1</f>
        <v>0</v>
      </c>
      <c r="D179" s="1" t="n">
        <v>-0.232275383651553</v>
      </c>
      <c r="E179" s="1" t="n">
        <f aca="false">D179*$K$1</f>
        <v>-0.519600033228524</v>
      </c>
      <c r="F179" s="2" t="n">
        <v>2.5</v>
      </c>
      <c r="G179" s="12" t="n">
        <f aca="false">B179*F179+5</f>
        <v>5</v>
      </c>
      <c r="H179" s="3" t="n">
        <v>0.89408</v>
      </c>
      <c r="I179" s="3" t="n">
        <v>0</v>
      </c>
      <c r="J179" s="4" t="n">
        <v>5.52857766969009</v>
      </c>
    </row>
    <row r="180" customFormat="false" ht="15" hidden="false" customHeight="false" outlineLevel="0" collapsed="false">
      <c r="A180" s="0" t="n">
        <f aca="false">A179+1</f>
        <v>178</v>
      </c>
      <c r="B180" s="0" t="n">
        <v>0</v>
      </c>
      <c r="C180" s="1" t="n">
        <f aca="false">B180*$K$1</f>
        <v>0</v>
      </c>
      <c r="D180" s="1" t="n">
        <v>-0.0545684717321708</v>
      </c>
      <c r="E180" s="1" t="n">
        <f aca="false">D180*$K$1</f>
        <v>-0.122069671264866</v>
      </c>
      <c r="F180" s="2" t="n">
        <v>2.5</v>
      </c>
      <c r="G180" s="12" t="n">
        <f aca="false">B180*F180+5</f>
        <v>5</v>
      </c>
      <c r="H180" s="3" t="n">
        <v>0.89408</v>
      </c>
      <c r="I180" s="3" t="n">
        <v>0</v>
      </c>
      <c r="J180" s="4" t="n">
        <v>5.66703940934713</v>
      </c>
    </row>
    <row r="181" customFormat="false" ht="15" hidden="false" customHeight="false" outlineLevel="0" collapsed="false">
      <c r="A181" s="0" t="n">
        <f aca="false">A180+1</f>
        <v>179</v>
      </c>
      <c r="B181" s="0" t="n">
        <v>0</v>
      </c>
      <c r="C181" s="1" t="n">
        <f aca="false">B181*$K$1</f>
        <v>0</v>
      </c>
      <c r="D181" s="1" t="n">
        <v>0.0733141104640336</v>
      </c>
      <c r="E181" s="1" t="n">
        <f aca="false">D181*$K$1</f>
        <v>0.164003665108043</v>
      </c>
      <c r="F181" s="2" t="n">
        <v>2.5</v>
      </c>
      <c r="G181" s="12" t="n">
        <f aca="false">B181*F181+5</f>
        <v>5</v>
      </c>
      <c r="H181" s="3" t="n">
        <v>0.89408</v>
      </c>
      <c r="I181" s="3" t="n">
        <v>0</v>
      </c>
      <c r="J181" s="4" t="n">
        <v>5.6525203147778</v>
      </c>
    </row>
    <row r="182" customFormat="false" ht="15" hidden="false" customHeight="false" outlineLevel="0" collapsed="false">
      <c r="A182" s="0" t="n">
        <f aca="false">A181+1</f>
        <v>180</v>
      </c>
      <c r="B182" s="0" t="n">
        <v>0</v>
      </c>
      <c r="C182" s="1" t="n">
        <f aca="false">B182*$K$1</f>
        <v>0</v>
      </c>
      <c r="D182" s="1" t="n">
        <v>0.14722843311464</v>
      </c>
      <c r="E182" s="1" t="n">
        <f aca="false">D182*$K$1</f>
        <v>0.32935000487745</v>
      </c>
      <c r="F182" s="2" t="n">
        <v>2.5</v>
      </c>
      <c r="G182" s="12" t="n">
        <f aca="false">B182*F182+5</f>
        <v>5</v>
      </c>
      <c r="H182" s="3" t="n">
        <v>0.89408</v>
      </c>
      <c r="I182" s="3" t="n">
        <v>0</v>
      </c>
      <c r="J182" s="4" t="n">
        <v>5.53780602652887</v>
      </c>
    </row>
    <row r="183" customFormat="false" ht="15" hidden="false" customHeight="false" outlineLevel="0" collapsed="false">
      <c r="A183" s="0" t="n">
        <f aca="false">A182+1</f>
        <v>181</v>
      </c>
      <c r="B183" s="0" t="n">
        <v>0</v>
      </c>
      <c r="C183" s="1" t="n">
        <f aca="false">B183*$K$1</f>
        <v>0</v>
      </c>
      <c r="D183" s="1" t="n">
        <v>0.173080035678903</v>
      </c>
      <c r="E183" s="1" t="n">
        <f aca="false">D183*$K$1</f>
        <v>0.387180039813706</v>
      </c>
      <c r="F183" s="2" t="n">
        <v>2.5</v>
      </c>
      <c r="G183" s="12" t="n">
        <f aca="false">B183*F183+5</f>
        <v>5</v>
      </c>
      <c r="H183" s="3" t="n">
        <v>0.89408</v>
      </c>
      <c r="I183" s="3" t="n">
        <v>0</v>
      </c>
      <c r="J183" s="4" t="n">
        <v>5.3743949472921</v>
      </c>
    </row>
    <row r="184" customFormat="false" ht="15" hidden="false" customHeight="false" outlineLevel="0" collapsed="false">
      <c r="A184" s="0" t="n">
        <f aca="false">A183+1</f>
        <v>182</v>
      </c>
      <c r="B184" s="0" t="n">
        <v>0</v>
      </c>
      <c r="C184" s="1" t="n">
        <f aca="false">B184*$K$1</f>
        <v>0</v>
      </c>
      <c r="D184" s="1" t="n">
        <v>0.162559699568305</v>
      </c>
      <c r="E184" s="1" t="n">
        <f aca="false">D184*$K$1</f>
        <v>0.363646047934298</v>
      </c>
      <c r="F184" s="2" t="n">
        <v>2.5</v>
      </c>
      <c r="G184" s="12" t="n">
        <f aca="false">B184*F184+5</f>
        <v>5</v>
      </c>
      <c r="H184" s="3" t="n">
        <v>0.89408</v>
      </c>
      <c r="I184" s="3" t="n">
        <v>0</v>
      </c>
      <c r="J184" s="4" t="n">
        <v>5.20463722355476</v>
      </c>
    </row>
    <row r="185" customFormat="false" ht="15" hidden="false" customHeight="false" outlineLevel="0" collapsed="false">
      <c r="A185" s="0" t="n">
        <f aca="false">A184+1</f>
        <v>183</v>
      </c>
      <c r="B185" s="0" t="n">
        <v>0</v>
      </c>
      <c r="C185" s="1" t="n">
        <f aca="false">B185*$K$1</f>
        <v>0</v>
      </c>
      <c r="D185" s="1" t="n">
        <v>0.129354687080062</v>
      </c>
      <c r="E185" s="1" t="n">
        <f aca="false">D185*$K$1</f>
        <v>0.289366434998099</v>
      </c>
      <c r="F185" s="2" t="n">
        <v>2.5</v>
      </c>
      <c r="G185" s="12" t="n">
        <f aca="false">B185*F185+5</f>
        <v>5</v>
      </c>
      <c r="H185" s="3" t="n">
        <v>0.89408</v>
      </c>
      <c r="I185" s="3" t="n">
        <v>0</v>
      </c>
      <c r="J185" s="4" t="n">
        <v>5.0579379691892</v>
      </c>
    </row>
    <row r="186" customFormat="false" ht="15" hidden="false" customHeight="false" outlineLevel="0" collapsed="false">
      <c r="A186" s="0" t="n">
        <f aca="false">A185+1</f>
        <v>184</v>
      </c>
      <c r="B186" s="0" t="n">
        <v>0</v>
      </c>
      <c r="C186" s="1" t="n">
        <f aca="false">B186*$K$1</f>
        <v>0</v>
      </c>
      <c r="D186" s="1" t="n">
        <v>0.0862882179444089</v>
      </c>
      <c r="E186" s="1" t="n">
        <f aca="false">D186*$K$1</f>
        <v>0.193026743541643</v>
      </c>
      <c r="F186" s="2" t="n">
        <v>2.5</v>
      </c>
      <c r="G186" s="12" t="n">
        <f aca="false">B186*F186+5</f>
        <v>5</v>
      </c>
      <c r="H186" s="3" t="n">
        <v>0.89408</v>
      </c>
      <c r="I186" s="3" t="n">
        <v>0</v>
      </c>
      <c r="J186" s="4" t="n">
        <v>4.95029529344265</v>
      </c>
    </row>
    <row r="187" customFormat="false" ht="15" hidden="false" customHeight="false" outlineLevel="0" collapsed="false">
      <c r="A187" s="0" t="n">
        <f aca="false">A186+1</f>
        <v>185</v>
      </c>
      <c r="B187" s="0" t="n">
        <v>0</v>
      </c>
      <c r="C187" s="1" t="n">
        <f aca="false">B187*$K$1</f>
        <v>0</v>
      </c>
      <c r="D187" s="1" t="n">
        <v>0.0435412977877748</v>
      </c>
      <c r="E187" s="1" t="n">
        <f aca="false">D187*$K$1</f>
        <v>0.0974018831512522</v>
      </c>
      <c r="F187" s="2" t="n">
        <v>2.5</v>
      </c>
      <c r="G187" s="12" t="n">
        <f aca="false">B187*F187+5</f>
        <v>5</v>
      </c>
      <c r="H187" s="3" t="n">
        <v>0.89408</v>
      </c>
      <c r="I187" s="3" t="n">
        <v>0</v>
      </c>
      <c r="J187" s="4" t="n">
        <v>4.88614771510834</v>
      </c>
    </row>
    <row r="188" customFormat="false" ht="15" hidden="false" customHeight="false" outlineLevel="0" collapsed="false">
      <c r="A188" s="0" t="n">
        <f aca="false">A187+1</f>
        <v>186</v>
      </c>
      <c r="B188" s="0" t="n">
        <v>0</v>
      </c>
      <c r="C188" s="1" t="n">
        <f aca="false">B188*$K$1</f>
        <v>0</v>
      </c>
      <c r="D188" s="1" t="n">
        <v>0.0078860509453619</v>
      </c>
      <c r="E188" s="1" t="n">
        <f aca="false">D188*$K$1</f>
        <v>0.0176410959647746</v>
      </c>
      <c r="F188" s="2" t="n">
        <v>2.5</v>
      </c>
      <c r="G188" s="12" t="n">
        <f aca="false">B188*F188+5</f>
        <v>5</v>
      </c>
      <c r="H188" s="3" t="n">
        <v>0.89408</v>
      </c>
      <c r="I188" s="3" t="n">
        <v>0</v>
      </c>
      <c r="J188" s="4" t="n">
        <v>4.86147215022061</v>
      </c>
    </row>
    <row r="189" customFormat="false" ht="15" hidden="false" customHeight="false" outlineLevel="0" collapsed="false">
      <c r="A189" s="0" t="n">
        <f aca="false">A188+1</f>
        <v>187</v>
      </c>
      <c r="B189" s="0" t="n">
        <v>0</v>
      </c>
      <c r="C189" s="1" t="n">
        <f aca="false">B189*$K$1</f>
        <v>0</v>
      </c>
      <c r="D189" s="1" t="n">
        <v>-0.0172796658015583</v>
      </c>
      <c r="E189" s="1" t="n">
        <f aca="false">D189*$K$1</f>
        <v>-0.0386546123980859</v>
      </c>
      <c r="F189" s="2" t="n">
        <v>2.5</v>
      </c>
      <c r="G189" s="12" t="n">
        <f aca="false">B189*F189+5</f>
        <v>5</v>
      </c>
      <c r="H189" s="3" t="n">
        <v>0.89408</v>
      </c>
      <c r="I189" s="3" t="n">
        <v>0</v>
      </c>
      <c r="J189" s="4" t="n">
        <v>4.86722163011814</v>
      </c>
    </row>
    <row r="190" customFormat="false" ht="15" hidden="false" customHeight="false" outlineLevel="0" collapsed="false">
      <c r="A190" s="0" t="n">
        <f aca="false">A189+1</f>
        <v>188</v>
      </c>
      <c r="B190" s="0" t="n">
        <v>0</v>
      </c>
      <c r="C190" s="1" t="n">
        <f aca="false">B190*$K$1</f>
        <v>0</v>
      </c>
      <c r="D190" s="1" t="n">
        <v>-0.0313661821723081</v>
      </c>
      <c r="E190" s="1" t="n">
        <f aca="false">D190*$K$1</f>
        <v>-0.0701661495194532</v>
      </c>
      <c r="F190" s="2" t="n">
        <v>2.5</v>
      </c>
      <c r="G190" s="12" t="n">
        <f aca="false">B190*F190+5</f>
        <v>5</v>
      </c>
      <c r="H190" s="3" t="n">
        <v>0.89408</v>
      </c>
      <c r="I190" s="3" t="n">
        <v>0</v>
      </c>
      <c r="J190" s="4" t="n">
        <v>4.89243762371052</v>
      </c>
    </row>
    <row r="191" customFormat="false" ht="15" hidden="false" customHeight="false" outlineLevel="0" collapsed="false">
      <c r="A191" s="0" t="n">
        <f aca="false">A190+1</f>
        <v>189</v>
      </c>
      <c r="B191" s="0" t="n">
        <v>0</v>
      </c>
      <c r="C191" s="1" t="n">
        <f aca="false">B191*$K$1</f>
        <v>0</v>
      </c>
      <c r="D191" s="1" t="n">
        <v>-0.035760808279295</v>
      </c>
      <c r="E191" s="1" t="n">
        <f aca="false">D191*$K$1</f>
        <v>-0.0799969281207829</v>
      </c>
      <c r="F191" s="2" t="n">
        <v>2.5</v>
      </c>
      <c r="G191" s="12" t="n">
        <f aca="false">B191*F191+5</f>
        <v>5</v>
      </c>
      <c r="H191" s="3" t="n">
        <v>0.89408</v>
      </c>
      <c r="I191" s="3" t="n">
        <v>0</v>
      </c>
      <c r="J191" s="4" t="n">
        <v>4.92664353417899</v>
      </c>
    </row>
    <row r="192" customFormat="false" ht="15" hidden="false" customHeight="false" outlineLevel="0" collapsed="false">
      <c r="A192" s="0" t="n">
        <f aca="false">A191+1</f>
        <v>190</v>
      </c>
      <c r="B192" s="0" t="n">
        <v>0</v>
      </c>
      <c r="C192" s="1" t="n">
        <f aca="false">B192*$K$1</f>
        <v>0</v>
      </c>
      <c r="D192" s="1" t="n">
        <v>-0.0329526676447224</v>
      </c>
      <c r="E192" s="1" t="n">
        <f aca="false">D192*$K$1</f>
        <v>-0.073715117521244</v>
      </c>
      <c r="F192" s="2" t="n">
        <v>2.5</v>
      </c>
      <c r="G192" s="12" t="n">
        <f aca="false">B192*F192+5</f>
        <v>5</v>
      </c>
      <c r="H192" s="3" t="n">
        <v>0.89408</v>
      </c>
      <c r="I192" s="3" t="n">
        <v>0</v>
      </c>
      <c r="J192" s="4" t="n">
        <v>4.96137133578509</v>
      </c>
    </row>
    <row r="193" customFormat="false" ht="15" hidden="false" customHeight="false" outlineLevel="0" collapsed="false">
      <c r="A193" s="0" t="n">
        <f aca="false">A192+1</f>
        <v>191</v>
      </c>
      <c r="B193" s="0" t="n">
        <v>0</v>
      </c>
      <c r="C193" s="1" t="n">
        <f aca="false">B193*$K$1</f>
        <v>0</v>
      </c>
      <c r="D193" s="1" t="n">
        <v>-0.0257688713050183</v>
      </c>
      <c r="E193" s="1" t="n">
        <f aca="false">D193*$K$1</f>
        <v>-0.0576449651093259</v>
      </c>
      <c r="F193" s="2" t="n">
        <v>2.5</v>
      </c>
      <c r="G193" s="12" t="n">
        <f aca="false">B193*F193+5</f>
        <v>5</v>
      </c>
      <c r="H193" s="3" t="n">
        <v>0.89408</v>
      </c>
      <c r="I193" s="3" t="n">
        <v>0</v>
      </c>
      <c r="J193" s="4" t="n">
        <v>4.99086160301522</v>
      </c>
    </row>
    <row r="194" customFormat="false" ht="15" hidden="false" customHeight="false" outlineLevel="0" collapsed="false">
      <c r="A194" s="0" t="n">
        <f aca="false">A193+1</f>
        <v>192</v>
      </c>
      <c r="B194" s="0" t="n">
        <v>0</v>
      </c>
      <c r="C194" s="1" t="n">
        <f aca="false">B194*$K$1</f>
        <v>0</v>
      </c>
      <c r="D194" s="1" t="n">
        <v>-0.0168082062860449</v>
      </c>
      <c r="E194" s="1" t="n">
        <f aca="false">D194*$K$1</f>
        <v>-0.0375999574618824</v>
      </c>
      <c r="F194" s="2" t="n">
        <v>2.5</v>
      </c>
      <c r="G194" s="12" t="n">
        <f aca="false">B194*F194+5</f>
        <v>5</v>
      </c>
      <c r="H194" s="3" t="n">
        <v>0.89408</v>
      </c>
      <c r="I194" s="3" t="n">
        <v>0</v>
      </c>
      <c r="J194" s="4" t="n">
        <v>5.01209690198925</v>
      </c>
    </row>
    <row r="195" customFormat="false" ht="15" hidden="false" customHeight="false" outlineLevel="0" collapsed="false">
      <c r="A195" s="0" t="n">
        <f aca="false">A194+1</f>
        <v>193</v>
      </c>
      <c r="B195" s="0" t="n">
        <v>0</v>
      </c>
      <c r="C195" s="1" t="n">
        <f aca="false">B195*$K$1</f>
        <v>0</v>
      </c>
      <c r="D195" s="1" t="n">
        <v>-0.00809831583086349</v>
      </c>
      <c r="E195" s="1" t="n">
        <f aca="false">D195*$K$1</f>
        <v>-0.0181159325136416</v>
      </c>
      <c r="F195" s="2" t="n">
        <v>2.5</v>
      </c>
      <c r="G195" s="12" t="n">
        <f aca="false">B195*F195+5</f>
        <v>5</v>
      </c>
      <c r="H195" s="3" t="n">
        <v>0.89408</v>
      </c>
      <c r="I195" s="3" t="n">
        <v>0</v>
      </c>
      <c r="J195" s="4" t="n">
        <v>5.02438301413713</v>
      </c>
    </row>
    <row r="196" customFormat="false" ht="15" hidden="false" customHeight="false" outlineLevel="0" collapsed="false">
      <c r="A196" s="0" t="n">
        <f aca="false">A195+1</f>
        <v>194</v>
      </c>
      <c r="B196" s="0" t="n">
        <v>0</v>
      </c>
      <c r="C196" s="1" t="n">
        <f aca="false">B196*$K$1</f>
        <v>0</v>
      </c>
      <c r="D196" s="1" t="n">
        <v>-0.000957824658774034</v>
      </c>
      <c r="E196" s="1" t="n">
        <f aca="false">D196*$K$1</f>
        <v>-0.00214265376167751</v>
      </c>
      <c r="F196" s="2" t="n">
        <v>2.5</v>
      </c>
      <c r="G196" s="12" t="n">
        <f aca="false">B196*F196+5</f>
        <v>5</v>
      </c>
      <c r="H196" s="3" t="n">
        <v>0.89408</v>
      </c>
      <c r="I196" s="3" t="n">
        <v>0</v>
      </c>
      <c r="J196" s="4" t="n">
        <v>5.0286944834711</v>
      </c>
    </row>
    <row r="197" customFormat="false" ht="15" hidden="false" customHeight="false" outlineLevel="0" collapsed="false">
      <c r="A197" s="0" t="n">
        <f aca="false">A196+1</f>
        <v>195</v>
      </c>
      <c r="B197" s="0" t="n">
        <v>0</v>
      </c>
      <c r="C197" s="1" t="n">
        <f aca="false">B197*$K$1</f>
        <v>0</v>
      </c>
      <c r="D197" s="1" t="n">
        <v>0.00398199454743994</v>
      </c>
      <c r="E197" s="1" t="n">
        <f aca="false">D197*$K$1</f>
        <v>0.00890772180262315</v>
      </c>
      <c r="F197" s="2" t="n">
        <v>2.5</v>
      </c>
      <c r="G197" s="12" t="n">
        <f aca="false">B197*F197+5</f>
        <v>5</v>
      </c>
      <c r="H197" s="3" t="n">
        <v>0.89408</v>
      </c>
      <c r="I197" s="3" t="n">
        <v>0</v>
      </c>
      <c r="J197" s="4" t="n">
        <v>5.02696750246628</v>
      </c>
    </row>
    <row r="198" customFormat="false" ht="15" hidden="false" customHeight="false" outlineLevel="0" collapsed="false">
      <c r="A198" s="0" t="n">
        <f aca="false">A197+1</f>
        <v>196</v>
      </c>
      <c r="B198" s="0" t="n">
        <v>0</v>
      </c>
      <c r="C198" s="1" t="n">
        <f aca="false">B198*$K$1</f>
        <v>0</v>
      </c>
      <c r="D198" s="1" t="n">
        <v>0.00665211247492806</v>
      </c>
      <c r="E198" s="1" t="n">
        <f aca="false">D198*$K$1</f>
        <v>0.0148807756064141</v>
      </c>
      <c r="F198" s="2" t="n">
        <v>2.5</v>
      </c>
      <c r="G198" s="12" t="n">
        <f aca="false">B198*F198+5</f>
        <v>5</v>
      </c>
      <c r="H198" s="3" t="n">
        <v>0.89408</v>
      </c>
      <c r="I198" s="3" t="n">
        <v>0</v>
      </c>
      <c r="J198" s="4" t="n">
        <v>5.02147126991167</v>
      </c>
    </row>
    <row r="199" customFormat="false" ht="15" hidden="false" customHeight="false" outlineLevel="0" collapsed="false">
      <c r="A199" s="0" t="n">
        <f aca="false">A198+1</f>
        <v>197</v>
      </c>
      <c r="B199" s="0" t="n">
        <v>0</v>
      </c>
      <c r="C199" s="1" t="n">
        <f aca="false">B199*$K$1</f>
        <v>0</v>
      </c>
      <c r="D199" s="1" t="n">
        <v>0.00737143386104962</v>
      </c>
      <c r="E199" s="1" t="n">
        <f aca="false">D199*$K$1</f>
        <v>0.016489897547168</v>
      </c>
      <c r="F199" s="2" t="n">
        <v>2.5</v>
      </c>
      <c r="G199" s="12" t="n">
        <f aca="false">B199*F199+5</f>
        <v>5</v>
      </c>
      <c r="H199" s="3" t="n">
        <v>0.89408</v>
      </c>
      <c r="I199" s="3" t="n">
        <v>0</v>
      </c>
      <c r="J199" s="4" t="n">
        <v>5.01433308395599</v>
      </c>
    </row>
    <row r="200" customFormat="false" ht="15" hidden="false" customHeight="false" outlineLevel="0" collapsed="false">
      <c r="A200" s="0" t="n">
        <f aca="false">A199+1</f>
        <v>198</v>
      </c>
      <c r="B200" s="0" t="n">
        <v>0</v>
      </c>
      <c r="C200" s="1" t="n">
        <f aca="false">B200*$K$1</f>
        <v>0</v>
      </c>
      <c r="D200" s="1" t="n">
        <v>0.00666755723553992</v>
      </c>
      <c r="E200" s="1" t="n">
        <f aca="false">D200*$K$1</f>
        <v>0.0149153255359028</v>
      </c>
      <c r="F200" s="2" t="n">
        <v>2.5</v>
      </c>
      <c r="G200" s="12" t="n">
        <f aca="false">B200*F200+5</f>
        <v>5</v>
      </c>
      <c r="H200" s="3" t="n">
        <v>0.89408</v>
      </c>
      <c r="I200" s="3" t="n">
        <v>0</v>
      </c>
      <c r="J200" s="4" t="n">
        <v>5.00724287915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70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D1" activeCellId="0" sqref="D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6.14"/>
    <col collapsed="false" customWidth="true" hidden="false" outlineLevel="0" max="3" min="3" style="1" width="16.43"/>
    <col collapsed="false" customWidth="true" hidden="false" outlineLevel="0" max="5" min="4" style="1" width="22.28"/>
    <col collapsed="false" customWidth="true" hidden="false" outlineLevel="0" max="6" min="6" style="0" width="11.28"/>
    <col collapsed="false" customWidth="true" hidden="false" outlineLevel="0" max="7" min="7" style="0" width="20"/>
    <col collapsed="false" customWidth="true" hidden="false" outlineLevel="0" max="9" min="8" style="3" width="17.57"/>
    <col collapsed="false" customWidth="true" hidden="false" outlineLevel="0" max="10" min="10" style="4" width="17.57"/>
  </cols>
  <sheetData>
    <row r="1" customFormat="false" ht="15" hidden="false" customHeight="false" outlineLevel="0" collapsed="false">
      <c r="A1" s="11" t="s">
        <v>0</v>
      </c>
      <c r="B1" s="11" t="s">
        <v>1</v>
      </c>
      <c r="C1" s="13" t="s">
        <v>2</v>
      </c>
      <c r="D1" s="13" t="s">
        <v>3</v>
      </c>
      <c r="E1" s="13" t="s">
        <v>4</v>
      </c>
      <c r="F1" s="11" t="s">
        <v>5</v>
      </c>
      <c r="G1" s="11" t="s">
        <v>6</v>
      </c>
      <c r="H1" s="14" t="s">
        <v>7</v>
      </c>
      <c r="I1" s="14" t="s">
        <v>8</v>
      </c>
      <c r="J1" s="15" t="s">
        <v>9</v>
      </c>
      <c r="K1" s="0" t="n">
        <v>2.237</v>
      </c>
      <c r="L1" s="10" t="s">
        <v>10</v>
      </c>
      <c r="M1" s="10" t="n">
        <v>0.5</v>
      </c>
    </row>
    <row r="2" customFormat="false" ht="15" hidden="false" customHeight="false" outlineLevel="0" collapsed="false">
      <c r="A2" s="0" t="n">
        <v>0</v>
      </c>
      <c r="B2" s="1" t="n">
        <v>0</v>
      </c>
      <c r="C2" s="1" t="n">
        <f aca="false">B2*$K$1</f>
        <v>0</v>
      </c>
      <c r="D2" s="1" t="n">
        <v>0</v>
      </c>
      <c r="E2" s="1" t="n">
        <f aca="false">D2*$K$1</f>
        <v>0</v>
      </c>
      <c r="F2" s="0" t="n">
        <v>2</v>
      </c>
      <c r="G2" s="0" t="n">
        <f aca="false">B2*F2+5</f>
        <v>5</v>
      </c>
      <c r="H2" s="3" t="n">
        <v>0</v>
      </c>
      <c r="I2" s="3" t="n">
        <v>0</v>
      </c>
      <c r="J2" s="4" t="n">
        <v>5</v>
      </c>
      <c r="L2" s="16" t="s">
        <v>11</v>
      </c>
      <c r="M2" s="16" t="n">
        <v>0.1</v>
      </c>
    </row>
    <row r="3" customFormat="false" ht="15" hidden="false" customHeight="false" outlineLevel="0" collapsed="false">
      <c r="A3" s="0" t="n">
        <f aca="false">A2+1</f>
        <v>1</v>
      </c>
      <c r="B3" s="1" t="n">
        <v>0</v>
      </c>
      <c r="C3" s="1" t="n">
        <f aca="false">B3*$K$1</f>
        <v>0</v>
      </c>
      <c r="D3" s="1" t="n">
        <v>0</v>
      </c>
      <c r="E3" s="1" t="n">
        <f aca="false">D3*$K$1</f>
        <v>0</v>
      </c>
      <c r="F3" s="0" t="n">
        <v>2</v>
      </c>
      <c r="G3" s="0" t="n">
        <f aca="false">B3*F3+5</f>
        <v>5</v>
      </c>
      <c r="H3" s="3" t="n">
        <v>0</v>
      </c>
      <c r="I3" s="3" t="n">
        <v>0</v>
      </c>
      <c r="J3" s="4" t="n">
        <v>5</v>
      </c>
      <c r="K3" s="0" t="n">
        <f aca="false">20/K1</f>
        <v>8.94054537326777</v>
      </c>
      <c r="L3" s="0" t="s">
        <v>12</v>
      </c>
      <c r="M3" s="0" t="n">
        <v>0.4</v>
      </c>
    </row>
    <row r="4" customFormat="false" ht="15" hidden="false" customHeight="false" outlineLevel="0" collapsed="false">
      <c r="A4" s="0" t="n">
        <f aca="false">A3+1</f>
        <v>2</v>
      </c>
      <c r="B4" s="1" t="n">
        <v>0</v>
      </c>
      <c r="C4" s="1" t="n">
        <f aca="false">B4*$K$1</f>
        <v>0</v>
      </c>
      <c r="D4" s="1" t="n">
        <v>0</v>
      </c>
      <c r="E4" s="1" t="n">
        <f aca="false">D4*$K$1</f>
        <v>0</v>
      </c>
      <c r="F4" s="0" t="n">
        <v>2</v>
      </c>
      <c r="G4" s="0" t="n">
        <f aca="false">B4*F4+5</f>
        <v>5</v>
      </c>
      <c r="H4" s="3" t="n">
        <v>0</v>
      </c>
      <c r="I4" s="3" t="n">
        <v>0</v>
      </c>
      <c r="J4" s="4" t="n">
        <v>5</v>
      </c>
    </row>
    <row r="5" customFormat="false" ht="15" hidden="false" customHeight="false" outlineLevel="0" collapsed="false">
      <c r="A5" s="0" t="n">
        <f aca="false">A4+1</f>
        <v>3</v>
      </c>
      <c r="B5" s="1" t="n">
        <v>0</v>
      </c>
      <c r="C5" s="1" t="n">
        <f aca="false">B5*$K$1</f>
        <v>0</v>
      </c>
      <c r="D5" s="1" t="n">
        <v>0</v>
      </c>
      <c r="E5" s="1" t="n">
        <f aca="false">D5*$K$1</f>
        <v>0</v>
      </c>
      <c r="F5" s="0" t="n">
        <v>2</v>
      </c>
      <c r="G5" s="0" t="n">
        <f aca="false">B5*F5+5</f>
        <v>5</v>
      </c>
      <c r="H5" s="3" t="n">
        <v>0</v>
      </c>
      <c r="I5" s="3" t="n">
        <v>0</v>
      </c>
      <c r="J5" s="4" t="n">
        <v>5</v>
      </c>
    </row>
    <row r="6" customFormat="false" ht="15" hidden="false" customHeight="false" outlineLevel="0" collapsed="false">
      <c r="A6" s="0" t="n">
        <f aca="false">A5+1</f>
        <v>4</v>
      </c>
      <c r="B6" s="1" t="n">
        <v>0</v>
      </c>
      <c r="C6" s="1" t="n">
        <f aca="false">B6*$K$1</f>
        <v>0</v>
      </c>
      <c r="D6" s="1" t="n">
        <v>0</v>
      </c>
      <c r="E6" s="1" t="n">
        <f aca="false">D6*$K$1</f>
        <v>0</v>
      </c>
      <c r="F6" s="0" t="n">
        <v>2</v>
      </c>
      <c r="G6" s="0" t="n">
        <f aca="false">B6*F6+5</f>
        <v>5</v>
      </c>
      <c r="H6" s="3" t="n">
        <v>0</v>
      </c>
      <c r="I6" s="3" t="n">
        <v>0</v>
      </c>
      <c r="J6" s="4" t="n">
        <v>5</v>
      </c>
    </row>
    <row r="7" customFormat="false" ht="15" hidden="false" customHeight="false" outlineLevel="0" collapsed="false">
      <c r="A7" s="0" t="n">
        <f aca="false">A6+1</f>
        <v>5</v>
      </c>
      <c r="B7" s="1" t="n">
        <v>0</v>
      </c>
      <c r="C7" s="1" t="n">
        <f aca="false">B7*$K$1</f>
        <v>0</v>
      </c>
      <c r="D7" s="1" t="n">
        <v>0</v>
      </c>
      <c r="E7" s="1" t="n">
        <f aca="false">D7*$K$1</f>
        <v>0</v>
      </c>
      <c r="F7" s="0" t="n">
        <v>2</v>
      </c>
      <c r="G7" s="0" t="n">
        <f aca="false">B7*F7+5</f>
        <v>5</v>
      </c>
      <c r="H7" s="3" t="n">
        <v>0</v>
      </c>
      <c r="I7" s="3" t="n">
        <v>0</v>
      </c>
      <c r="J7" s="4" t="n">
        <v>5</v>
      </c>
    </row>
    <row r="8" customFormat="false" ht="15" hidden="false" customHeight="false" outlineLevel="0" collapsed="false">
      <c r="A8" s="0" t="n">
        <f aca="false">A7+1</f>
        <v>6</v>
      </c>
      <c r="B8" s="1" t="n">
        <v>0</v>
      </c>
      <c r="C8" s="1" t="n">
        <f aca="false">B8*$K$1</f>
        <v>0</v>
      </c>
      <c r="D8" s="1" t="n">
        <v>0</v>
      </c>
      <c r="E8" s="1" t="n">
        <f aca="false">D8*$K$1</f>
        <v>0</v>
      </c>
      <c r="F8" s="0" t="n">
        <v>2</v>
      </c>
      <c r="G8" s="0" t="n">
        <f aca="false">B8*F8+5</f>
        <v>5</v>
      </c>
      <c r="H8" s="3" t="n">
        <v>0</v>
      </c>
      <c r="I8" s="3" t="n">
        <v>0</v>
      </c>
      <c r="J8" s="4" t="n">
        <v>5</v>
      </c>
    </row>
    <row r="9" customFormat="false" ht="15" hidden="false" customHeight="false" outlineLevel="0" collapsed="false">
      <c r="A9" s="0" t="n">
        <f aca="false">A8+1</f>
        <v>7</v>
      </c>
      <c r="B9" s="1" t="n">
        <v>0</v>
      </c>
      <c r="C9" s="1" t="n">
        <f aca="false">B9*$K$1</f>
        <v>0</v>
      </c>
      <c r="D9" s="1" t="n">
        <v>0</v>
      </c>
      <c r="E9" s="1" t="n">
        <f aca="false">D9*$K$1</f>
        <v>0</v>
      </c>
      <c r="F9" s="0" t="n">
        <v>2</v>
      </c>
      <c r="G9" s="0" t="n">
        <f aca="false">B9*F9+5</f>
        <v>5</v>
      </c>
      <c r="H9" s="3" t="n">
        <v>0</v>
      </c>
      <c r="I9" s="3" t="n">
        <v>0</v>
      </c>
      <c r="J9" s="4" t="n">
        <v>5</v>
      </c>
    </row>
    <row r="10" customFormat="false" ht="15" hidden="false" customHeight="false" outlineLevel="0" collapsed="false">
      <c r="A10" s="0" t="n">
        <f aca="false">A9+1</f>
        <v>8</v>
      </c>
      <c r="B10" s="1" t="n">
        <v>0</v>
      </c>
      <c r="C10" s="1" t="n">
        <f aca="false">B10*$K$1</f>
        <v>0</v>
      </c>
      <c r="D10" s="1" t="n">
        <v>0</v>
      </c>
      <c r="E10" s="1" t="n">
        <f aca="false">D10*$K$1</f>
        <v>0</v>
      </c>
      <c r="F10" s="0" t="n">
        <v>2</v>
      </c>
      <c r="G10" s="0" t="n">
        <f aca="false">B10*F10+5</f>
        <v>5</v>
      </c>
      <c r="H10" s="3" t="n">
        <v>0</v>
      </c>
      <c r="I10" s="3" t="n">
        <v>0</v>
      </c>
      <c r="J10" s="4" t="n">
        <v>5</v>
      </c>
    </row>
    <row r="11" customFormat="false" ht="15" hidden="false" customHeight="false" outlineLevel="0" collapsed="false">
      <c r="A11" s="0" t="n">
        <f aca="false">A10+1</f>
        <v>9</v>
      </c>
      <c r="B11" s="1" t="n">
        <v>0</v>
      </c>
      <c r="C11" s="1" t="n">
        <f aca="false">B11*$K$1</f>
        <v>0</v>
      </c>
      <c r="D11" s="1" t="n">
        <v>0</v>
      </c>
      <c r="E11" s="1" t="n">
        <f aca="false">D11*$K$1</f>
        <v>0</v>
      </c>
      <c r="F11" s="0" t="n">
        <v>2</v>
      </c>
      <c r="G11" s="0" t="n">
        <f aca="false">B11*F11+5</f>
        <v>5</v>
      </c>
      <c r="H11" s="3" t="n">
        <v>0</v>
      </c>
      <c r="I11" s="3" t="n">
        <v>0</v>
      </c>
      <c r="J11" s="4" t="n">
        <v>5</v>
      </c>
    </row>
    <row r="12" customFormat="false" ht="15" hidden="false" customHeight="false" outlineLevel="0" collapsed="false">
      <c r="A12" s="0" t="n">
        <f aca="false">A11+1</f>
        <v>10</v>
      </c>
      <c r="B12" s="1" t="n">
        <v>0</v>
      </c>
      <c r="C12" s="1" t="n">
        <f aca="false">B12*$K$1</f>
        <v>0</v>
      </c>
      <c r="D12" s="1" t="n">
        <v>0</v>
      </c>
      <c r="E12" s="1" t="n">
        <f aca="false">D12*$K$1</f>
        <v>0</v>
      </c>
      <c r="F12" s="0" t="n">
        <v>2</v>
      </c>
      <c r="G12" s="0" t="n">
        <f aca="false">B12*F12+5</f>
        <v>5</v>
      </c>
      <c r="H12" s="3" t="n">
        <v>0</v>
      </c>
      <c r="I12" s="3" t="n">
        <v>0</v>
      </c>
      <c r="J12" s="4" t="n">
        <v>5</v>
      </c>
    </row>
    <row r="13" customFormat="false" ht="15" hidden="false" customHeight="false" outlineLevel="0" collapsed="false">
      <c r="A13" s="0" t="n">
        <f aca="false">A12+1</f>
        <v>11</v>
      </c>
      <c r="B13" s="1" t="n">
        <f aca="false">B12+H13*1</f>
        <v>0.89408</v>
      </c>
      <c r="C13" s="1" t="n">
        <f aca="false">B13*$K$1</f>
        <v>2.00005696</v>
      </c>
      <c r="D13" s="1" t="n">
        <v>0.0923882666666667</v>
      </c>
      <c r="E13" s="1" t="n">
        <f aca="false">D13*$K$1</f>
        <v>0.206672552533333</v>
      </c>
      <c r="F13" s="0" t="n">
        <v>2</v>
      </c>
      <c r="G13" s="0" t="n">
        <f aca="false">B13*F13+5</f>
        <v>6.78816</v>
      </c>
      <c r="H13" s="3" t="n">
        <v>0.89408</v>
      </c>
      <c r="I13" s="3" t="n">
        <v>0</v>
      </c>
      <c r="J13" s="4" t="n">
        <v>5.41723733333333</v>
      </c>
    </row>
    <row r="14" customFormat="false" ht="15" hidden="false" customHeight="false" outlineLevel="0" collapsed="false">
      <c r="A14" s="0" t="n">
        <f aca="false">A13+1</f>
        <v>12</v>
      </c>
      <c r="B14" s="1" t="n">
        <f aca="false">B13+H14*1</f>
        <v>1.78816</v>
      </c>
      <c r="C14" s="1" t="n">
        <f aca="false">B14*$K$1</f>
        <v>4.00011392</v>
      </c>
      <c r="D14" s="1" t="n">
        <v>0.368219894044445</v>
      </c>
      <c r="E14" s="1" t="n">
        <f aca="false">D14*$K$1</f>
        <v>0.823707902977423</v>
      </c>
      <c r="F14" s="0" t="n">
        <v>2</v>
      </c>
      <c r="G14" s="0" t="n">
        <f aca="false">B14*F14+5</f>
        <v>8.57632</v>
      </c>
      <c r="H14" s="3" t="n">
        <v>0.89408</v>
      </c>
      <c r="I14" s="3" t="n">
        <v>0</v>
      </c>
      <c r="J14" s="4" t="n">
        <v>6.54325161955556</v>
      </c>
    </row>
    <row r="15" customFormat="false" ht="15" hidden="false" customHeight="false" outlineLevel="0" collapsed="false">
      <c r="A15" s="0" t="n">
        <f aca="false">A14+1</f>
        <v>13</v>
      </c>
      <c r="B15" s="1" t="n">
        <f aca="false">B14+H15*1</f>
        <v>2.68224</v>
      </c>
      <c r="C15" s="1" t="n">
        <f aca="false">B15*$K$1</f>
        <v>6.00017088</v>
      </c>
      <c r="D15" s="1" t="n">
        <v>0.817520954149452</v>
      </c>
      <c r="E15" s="1" t="n">
        <f aca="false">D15*$K$1</f>
        <v>1.82879437443232</v>
      </c>
      <c r="F15" s="0" t="n">
        <v>2</v>
      </c>
      <c r="G15" s="0" t="n">
        <f aca="false">B15*F15+5</f>
        <v>10.36448</v>
      </c>
      <c r="H15" s="3" t="n">
        <v>0.89408</v>
      </c>
      <c r="I15" s="3" t="n">
        <v>0</v>
      </c>
      <c r="J15" s="4" t="n">
        <v>8.19874006853215</v>
      </c>
    </row>
    <row r="16" customFormat="false" ht="15" hidden="false" customHeight="false" outlineLevel="0" collapsed="false">
      <c r="A16" s="0" t="n">
        <f aca="false">A15+1</f>
        <v>14</v>
      </c>
      <c r="B16" s="1" t="n">
        <f aca="false">B15+H16*1</f>
        <v>3.57632</v>
      </c>
      <c r="C16" s="1" t="n">
        <f aca="false">B16*$K$1</f>
        <v>8.00022784</v>
      </c>
      <c r="D16" s="1" t="n">
        <v>1.41945774920966</v>
      </c>
      <c r="E16" s="1" t="n">
        <f aca="false">D16*$K$1</f>
        <v>3.17532698498201</v>
      </c>
      <c r="F16" s="0" t="n">
        <v>2</v>
      </c>
      <c r="G16" s="0" t="n">
        <f aca="false">B16*F16+5</f>
        <v>12.15264</v>
      </c>
      <c r="H16" s="3" t="n">
        <v>0.89408</v>
      </c>
      <c r="I16" s="3" t="n">
        <v>0</v>
      </c>
      <c r="J16" s="4" t="n">
        <v>10.220248559368</v>
      </c>
    </row>
    <row r="17" customFormat="false" ht="15" hidden="false" customHeight="false" outlineLevel="0" collapsed="false">
      <c r="A17" s="0" t="n">
        <f aca="false">A16+1</f>
        <v>15</v>
      </c>
      <c r="B17" s="1" t="n">
        <f aca="false">B16+H17*1</f>
        <v>4.4704</v>
      </c>
      <c r="C17" s="1" t="n">
        <f aca="false">B17*$K$1</f>
        <v>10.0002848</v>
      </c>
      <c r="D17" s="1" t="n">
        <v>2.14760970930879</v>
      </c>
      <c r="E17" s="1" t="n">
        <f aca="false">D17*$K$1</f>
        <v>4.80420291972376</v>
      </c>
      <c r="F17" s="0" t="n">
        <v>2</v>
      </c>
      <c r="G17" s="0" t="n">
        <f aca="false">B17*F17+5</f>
        <v>13.9408</v>
      </c>
      <c r="H17" s="3" t="n">
        <v>0.89408</v>
      </c>
      <c r="I17" s="3" t="n">
        <v>0</v>
      </c>
      <c r="J17" s="4" t="n">
        <v>12.4682812782689</v>
      </c>
    </row>
    <row r="18" customFormat="false" ht="15" hidden="false" customHeight="false" outlineLevel="0" collapsed="false">
      <c r="A18" s="0" t="n">
        <f aca="false">A17+1</f>
        <v>16</v>
      </c>
      <c r="B18" s="1" t="n">
        <f aca="false">B17+H18*1</f>
        <v>5.36448</v>
      </c>
      <c r="C18" s="1" t="n">
        <f aca="false">B18*$K$1</f>
        <v>12.00034176</v>
      </c>
      <c r="D18" s="1" t="n">
        <v>2.97396225962914</v>
      </c>
      <c r="E18" s="1" t="n">
        <f aca="false">D18*$K$1</f>
        <v>6.65275357479039</v>
      </c>
      <c r="F18" s="0" t="n">
        <v>2</v>
      </c>
      <c r="G18" s="0" t="n">
        <f aca="false">B18*F18+5</f>
        <v>15.72896</v>
      </c>
      <c r="H18" s="3" t="n">
        <v>0.89408</v>
      </c>
      <c r="I18" s="3" t="n">
        <v>0</v>
      </c>
      <c r="J18" s="4" t="n">
        <v>14.8307878916705</v>
      </c>
    </row>
    <row r="19" customFormat="false" ht="15" hidden="false" customHeight="false" outlineLevel="0" collapsed="false">
      <c r="A19" s="0" t="n">
        <f aca="false">A18+1</f>
        <v>17</v>
      </c>
      <c r="B19" s="1" t="n">
        <f aca="false">B18+H19*1</f>
        <v>6.25856</v>
      </c>
      <c r="C19" s="1" t="n">
        <f aca="false">B19*$K$1</f>
        <v>14.00039872</v>
      </c>
      <c r="D19" s="1" t="n">
        <v>3.87171543548401</v>
      </c>
      <c r="E19" s="1" t="n">
        <f aca="false">D19*$K$1</f>
        <v>8.66102742917773</v>
      </c>
      <c r="F19" s="0" t="n">
        <v>2</v>
      </c>
      <c r="G19" s="0" t="n">
        <f aca="false">B19*F19+5</f>
        <v>17.51712</v>
      </c>
      <c r="H19" s="3" t="n">
        <v>0.89408</v>
      </c>
      <c r="I19" s="3" t="n">
        <v>0</v>
      </c>
      <c r="J19" s="4" t="n">
        <v>17.2232653860652</v>
      </c>
    </row>
    <row r="20" customFormat="false" ht="15" hidden="false" customHeight="false" outlineLevel="0" collapsed="false">
      <c r="A20" s="0" t="n">
        <f aca="false">A19+1</f>
        <v>18</v>
      </c>
      <c r="B20" s="1" t="n">
        <f aca="false">B19+H20*1</f>
        <v>7.15264</v>
      </c>
      <c r="C20" s="1" t="n">
        <f aca="false">B20*$K$1</f>
        <v>16.00045568</v>
      </c>
      <c r="D20" s="1" t="n">
        <v>4.81706904845417</v>
      </c>
      <c r="E20" s="1" t="n">
        <f aca="false">D20*$K$1</f>
        <v>10.775783461392</v>
      </c>
      <c r="F20" s="0" t="n">
        <v>2</v>
      </c>
      <c r="G20" s="0" t="n">
        <f aca="false">B20*F20+5</f>
        <v>19.30528</v>
      </c>
      <c r="H20" s="3" t="n">
        <v>0.89408</v>
      </c>
      <c r="I20" s="3" t="n">
        <v>0</v>
      </c>
      <c r="J20" s="4" t="n">
        <v>19.5865805165936</v>
      </c>
    </row>
    <row r="21" customFormat="false" ht="15" hidden="false" customHeight="false" outlineLevel="0" collapsed="false">
      <c r="A21" s="0" t="n">
        <f aca="false">A20+1</f>
        <v>19</v>
      </c>
      <c r="B21" s="1" t="n">
        <f aca="false">B20+H21*1</f>
        <v>8.04672</v>
      </c>
      <c r="C21" s="1" t="n">
        <f aca="false">B21*$K$1</f>
        <v>18.00051264</v>
      </c>
      <c r="D21" s="1" t="n">
        <v>5.79017571983275</v>
      </c>
      <c r="E21" s="1" t="n">
        <f aca="false">D21*$K$1</f>
        <v>12.9526230852659</v>
      </c>
      <c r="F21" s="0" t="n">
        <v>2</v>
      </c>
      <c r="G21" s="0" t="n">
        <f aca="false">B21*F21+5</f>
        <v>21.09344</v>
      </c>
      <c r="H21" s="3" t="n">
        <v>0.89408</v>
      </c>
      <c r="I21" s="3" t="n">
        <v>0</v>
      </c>
      <c r="J21" s="4" t="n">
        <v>21.8834406316267</v>
      </c>
    </row>
    <row r="22" customFormat="false" ht="15" hidden="false" customHeight="false" outlineLevel="0" collapsed="false">
      <c r="A22" s="0" t="n">
        <f aca="false">A21+1</f>
        <v>20</v>
      </c>
      <c r="B22" s="1" t="n">
        <f aca="false">B21+H22*1</f>
        <v>8.9408</v>
      </c>
      <c r="C22" s="1" t="n">
        <f aca="false">B22*$K$1</f>
        <v>20.0005696</v>
      </c>
      <c r="D22" s="1" t="n">
        <v>6.77545796990928</v>
      </c>
      <c r="E22" s="1" t="n">
        <f aca="false">D22*$K$1</f>
        <v>15.1566994786871</v>
      </c>
      <c r="F22" s="0" t="n">
        <v>2</v>
      </c>
      <c r="G22" s="0" t="n">
        <f aca="false">B22*F22+5</f>
        <v>22.8816</v>
      </c>
      <c r="H22" s="3" t="n">
        <v>0.89408</v>
      </c>
      <c r="I22" s="3" t="n">
        <v>0</v>
      </c>
      <c r="J22" s="4" t="n">
        <v>24.0942454711917</v>
      </c>
    </row>
    <row r="23" customFormat="false" ht="15" hidden="false" customHeight="false" outlineLevel="0" collapsed="false">
      <c r="A23" s="0" t="n">
        <f aca="false">A22+1</f>
        <v>21</v>
      </c>
      <c r="B23" s="1" t="n">
        <f aca="false">B22+H23*1</f>
        <v>8.9408</v>
      </c>
      <c r="C23" s="1" t="n">
        <f aca="false">B23*$K$1</f>
        <v>20.0005696</v>
      </c>
      <c r="D23" s="1" t="n">
        <v>7.6690845587958</v>
      </c>
      <c r="E23" s="1" t="n">
        <f aca="false">D23*$K$1</f>
        <v>17.1557421580262</v>
      </c>
      <c r="F23" s="0" t="n">
        <v>2</v>
      </c>
      <c r="G23" s="0" t="n">
        <f aca="false">B23*F23+5</f>
        <v>22.8816</v>
      </c>
      <c r="H23" s="3" t="n">
        <v>0</v>
      </c>
      <c r="I23" s="3" t="n">
        <v>0</v>
      </c>
      <c r="J23" s="4" t="n">
        <v>25.7956245451468</v>
      </c>
    </row>
    <row r="24" customFormat="false" ht="15" hidden="false" customHeight="false" outlineLevel="0" collapsed="false">
      <c r="A24" s="0" t="n">
        <f aca="false">A23+1</f>
        <v>22</v>
      </c>
      <c r="B24" s="1" t="n">
        <f aca="false">B23+H24*1</f>
        <v>8.9408</v>
      </c>
      <c r="C24" s="1" t="n">
        <f aca="false">B24*$K$1</f>
        <v>20.0005696</v>
      </c>
      <c r="D24" s="1" t="n">
        <v>8.3722640190217</v>
      </c>
      <c r="E24" s="1" t="n">
        <f aca="false">D24*$K$1</f>
        <v>18.7287546105515</v>
      </c>
      <c r="F24" s="0" t="n">
        <v>2</v>
      </c>
      <c r="G24" s="0" t="n">
        <f aca="false">B24*F24+5</f>
        <v>22.8816</v>
      </c>
      <c r="H24" s="3" t="n">
        <v>0</v>
      </c>
      <c r="I24" s="3" t="n">
        <v>0</v>
      </c>
      <c r="J24" s="4" t="n">
        <v>26.6994396555659</v>
      </c>
    </row>
    <row r="25" customFormat="false" ht="15" hidden="false" customHeight="false" outlineLevel="0" collapsed="false">
      <c r="A25" s="0" t="n">
        <f aca="false">A24+1</f>
        <v>23</v>
      </c>
      <c r="B25" s="1" t="n">
        <f aca="false">B24+H25*1</f>
        <v>8.9408</v>
      </c>
      <c r="C25" s="1" t="n">
        <f aca="false">B25*$K$1</f>
        <v>20.0005696</v>
      </c>
      <c r="D25" s="1" t="n">
        <v>8.89035124813523</v>
      </c>
      <c r="E25" s="1" t="n">
        <f aca="false">D25*$K$1</f>
        <v>19.8877157420785</v>
      </c>
      <c r="F25" s="0" t="n">
        <v>2</v>
      </c>
      <c r="G25" s="0" t="n">
        <f aca="false">B25*F25+5</f>
        <v>22.8816</v>
      </c>
      <c r="H25" s="3" t="n">
        <v>0</v>
      </c>
      <c r="I25" s="3" t="n">
        <v>0</v>
      </c>
      <c r="J25" s="4" t="n">
        <v>26.9945140817504</v>
      </c>
    </row>
    <row r="26" customFormat="false" ht="15" hidden="false" customHeight="false" outlineLevel="0" collapsed="false">
      <c r="A26" s="0" t="n">
        <f aca="false">A25+1</f>
        <v>24</v>
      </c>
      <c r="B26" s="1" t="n">
        <f aca="false">B25+H26*1</f>
        <v>8.9408</v>
      </c>
      <c r="C26" s="1" t="n">
        <f aca="false">B26*$K$1</f>
        <v>20.0005696</v>
      </c>
      <c r="D26" s="1" t="n">
        <v>9.24202879694201</v>
      </c>
      <c r="E26" s="1" t="n">
        <f aca="false">D26*$K$1</f>
        <v>20.6744184187593</v>
      </c>
      <c r="F26" s="0" t="n">
        <v>2</v>
      </c>
      <c r="G26" s="0" t="n">
        <f aca="false">B26*F26+5</f>
        <v>22.8816</v>
      </c>
      <c r="H26" s="3" t="n">
        <v>0</v>
      </c>
      <c r="I26" s="3" t="n">
        <v>0</v>
      </c>
      <c r="J26" s="4" t="n">
        <v>26.8571512938851</v>
      </c>
    </row>
    <row r="27" customFormat="false" ht="15" hidden="false" customHeight="false" outlineLevel="0" collapsed="false">
      <c r="A27" s="0" t="n">
        <f aca="false">A26+1</f>
        <v>25</v>
      </c>
      <c r="B27" s="1" t="n">
        <f aca="false">B26+H27*1</f>
        <v>8.9408</v>
      </c>
      <c r="C27" s="1" t="n">
        <f aca="false">B27*$K$1</f>
        <v>20.0005696</v>
      </c>
      <c r="D27" s="1" t="n">
        <v>9.45339707367</v>
      </c>
      <c r="E27" s="1" t="n">
        <f aca="false">D27*$K$1</f>
        <v>21.1472492537998</v>
      </c>
      <c r="F27" s="0" t="n">
        <v>2</v>
      </c>
      <c r="G27" s="0" t="n">
        <f aca="false">B27*F27+5</f>
        <v>22.8816</v>
      </c>
      <c r="H27" s="3" t="n">
        <v>0</v>
      </c>
      <c r="I27" s="3" t="n">
        <v>0</v>
      </c>
      <c r="J27" s="4" t="n">
        <v>26.4408820789603</v>
      </c>
    </row>
    <row r="28" customFormat="false" ht="15" hidden="false" customHeight="false" outlineLevel="0" collapsed="false">
      <c r="A28" s="0" t="n">
        <f aca="false">A27+1</f>
        <v>26</v>
      </c>
      <c r="B28" s="1" t="n">
        <f aca="false">B27+H28*1</f>
        <v>8.9408</v>
      </c>
      <c r="C28" s="1" t="n">
        <f aca="false">B28*$K$1</f>
        <v>20.0005696</v>
      </c>
      <c r="D28" s="1" t="n">
        <v>9.55340493033767</v>
      </c>
      <c r="E28" s="1" t="n">
        <f aca="false">D28*$K$1</f>
        <v>21.3709668291654</v>
      </c>
      <c r="F28" s="0" t="n">
        <v>2</v>
      </c>
      <c r="G28" s="0" t="n">
        <f aca="false">B28*F28+5</f>
        <v>22.8816</v>
      </c>
      <c r="H28" s="3" t="n">
        <v>0</v>
      </c>
      <c r="I28" s="3" t="n">
        <v>0</v>
      </c>
      <c r="J28" s="4" t="n">
        <v>25.8714428925327</v>
      </c>
    </row>
    <row r="29" customFormat="false" ht="15" hidden="false" customHeight="false" outlineLevel="0" collapsed="false">
      <c r="A29" s="0" t="n">
        <f aca="false">A28+1</f>
        <v>27</v>
      </c>
      <c r="B29" s="1" t="n">
        <f aca="false">B28+H29*1</f>
        <v>8.9408</v>
      </c>
      <c r="C29" s="1" t="n">
        <f aca="false">B29*$K$1</f>
        <v>20.0005696</v>
      </c>
      <c r="D29" s="1" t="n">
        <v>9.57055199355545</v>
      </c>
      <c r="E29" s="1" t="n">
        <f aca="false">D29*$K$1</f>
        <v>21.4093248095835</v>
      </c>
      <c r="F29" s="0" t="n">
        <v>2</v>
      </c>
      <c r="G29" s="0" t="n">
        <f aca="false">B29*F29+5</f>
        <v>22.8816</v>
      </c>
      <c r="H29" s="3" t="n">
        <v>0</v>
      </c>
      <c r="I29" s="3" t="n">
        <v>0</v>
      </c>
      <c r="J29" s="4" t="n">
        <v>25.2456730402828</v>
      </c>
    </row>
    <row r="30" customFormat="false" ht="15" hidden="false" customHeight="false" outlineLevel="0" collapsed="false">
      <c r="A30" s="0" t="n">
        <f aca="false">A29+1</f>
        <v>28</v>
      </c>
      <c r="B30" s="1" t="n">
        <f aca="false">B29+H30*1</f>
        <v>8.9408</v>
      </c>
      <c r="C30" s="1" t="n">
        <f aca="false">B30*$K$1</f>
        <v>20.0005696</v>
      </c>
      <c r="D30" s="1" t="n">
        <v>9.53071301085232</v>
      </c>
      <c r="E30" s="1" t="n">
        <f aca="false">D30*$K$1</f>
        <v>21.3202050052766</v>
      </c>
      <c r="F30" s="0" t="n">
        <v>2</v>
      </c>
      <c r="G30" s="0" t="n">
        <f aca="false">B30*F30+5</f>
        <v>22.8816</v>
      </c>
      <c r="H30" s="3" t="n">
        <v>0</v>
      </c>
      <c r="I30" s="3" t="n">
        <v>0</v>
      </c>
      <c r="J30" s="4" t="n">
        <v>24.6331307604239</v>
      </c>
    </row>
    <row r="31" customFormat="false" ht="15" hidden="false" customHeight="false" outlineLevel="0" collapsed="false">
      <c r="A31" s="0" t="n">
        <f aca="false">A30+1</f>
        <v>29</v>
      </c>
      <c r="B31" s="1" t="n">
        <f aca="false">B30+H31*1</f>
        <v>8.9408</v>
      </c>
      <c r="C31" s="1" t="n">
        <f aca="false">B31*$K$1</f>
        <v>20.0005696</v>
      </c>
      <c r="D31" s="1" t="n">
        <v>9.45589228979357</v>
      </c>
      <c r="E31" s="1" t="n">
        <f aca="false">D31*$K$1</f>
        <v>21.1528310522682</v>
      </c>
      <c r="F31" s="0" t="n">
        <v>2</v>
      </c>
      <c r="G31" s="0" t="n">
        <f aca="false">B31*F31+5</f>
        <v>22.8816</v>
      </c>
      <c r="H31" s="3" t="n">
        <v>0</v>
      </c>
      <c r="I31" s="3" t="n">
        <v>0</v>
      </c>
      <c r="J31" s="4" t="n">
        <v>24.0794015553485</v>
      </c>
    </row>
    <row r="32" customFormat="false" ht="15" hidden="false" customHeight="false" outlineLevel="0" collapsed="false">
      <c r="A32" s="0" t="n">
        <f aca="false">A31+1</f>
        <v>30</v>
      </c>
      <c r="B32" s="1" t="n">
        <f aca="false">B31+H32*1</f>
        <v>8.9408</v>
      </c>
      <c r="C32" s="1" t="n">
        <f aca="false">B32*$K$1</f>
        <v>20.0005696</v>
      </c>
      <c r="D32" s="1" t="n">
        <v>9.36370364799263</v>
      </c>
      <c r="E32" s="1" t="n">
        <f aca="false">D32*$K$1</f>
        <v>20.9466050605595</v>
      </c>
      <c r="F32" s="0" t="n">
        <v>2</v>
      </c>
      <c r="G32" s="0" t="n">
        <f aca="false">B32*F32+5</f>
        <v>22.8816</v>
      </c>
      <c r="H32" s="3" t="n">
        <v>0</v>
      </c>
      <c r="I32" s="3" t="n">
        <v>0</v>
      </c>
      <c r="J32" s="4" t="n">
        <v>23.6102720665506</v>
      </c>
    </row>
    <row r="33" customFormat="false" ht="15" hidden="false" customHeight="false" outlineLevel="0" collapsed="false">
      <c r="A33" s="0" t="n">
        <f aca="false">A32+1</f>
        <v>31</v>
      </c>
      <c r="B33" s="1" t="n">
        <f aca="false">B32+H33*1</f>
        <v>8.9408</v>
      </c>
      <c r="C33" s="1" t="n">
        <f aca="false">B33*$K$1</f>
        <v>20.0005696</v>
      </c>
      <c r="D33" s="1" t="n">
        <v>9.26737947868727</v>
      </c>
      <c r="E33" s="1" t="n">
        <f aca="false">D33*$K$1</f>
        <v>20.7311278938234</v>
      </c>
      <c r="F33" s="0" t="n">
        <v>2</v>
      </c>
      <c r="G33" s="0" t="n">
        <f aca="false">B33*F33+5</f>
        <v>22.8816</v>
      </c>
      <c r="H33" s="3" t="n">
        <v>0</v>
      </c>
      <c r="I33" s="3" t="n">
        <v>0</v>
      </c>
      <c r="J33" s="4" t="n">
        <v>23.2361443221261</v>
      </c>
    </row>
    <row r="34" customFormat="false" ht="15" hidden="false" customHeight="false" outlineLevel="0" collapsed="false">
      <c r="A34" s="0" t="n">
        <f aca="false">A33+1</f>
        <v>32</v>
      </c>
      <c r="B34" s="1" t="n">
        <f aca="false">B33+H34*1</f>
        <v>8.9408</v>
      </c>
      <c r="C34" s="1" t="n">
        <f aca="false">B34*$K$1</f>
        <v>20.0005696</v>
      </c>
      <c r="D34" s="1" t="n">
        <v>9.17613404027503</v>
      </c>
      <c r="E34" s="1" t="n">
        <f aca="false">D34*$K$1</f>
        <v>20.5270118480952</v>
      </c>
      <c r="F34" s="0" t="n">
        <v>2</v>
      </c>
      <c r="G34" s="0" t="n">
        <f aca="false">B34*F34+5</f>
        <v>22.8816</v>
      </c>
      <c r="H34" s="3" t="n">
        <v>0</v>
      </c>
      <c r="I34" s="3" t="n">
        <v>0</v>
      </c>
      <c r="J34" s="4" t="n">
        <v>22.9562513570972</v>
      </c>
    </row>
    <row r="35" customFormat="false" ht="15" hidden="false" customHeight="false" outlineLevel="0" collapsed="false">
      <c r="A35" s="0" t="n">
        <f aca="false">A34+1</f>
        <v>33</v>
      </c>
      <c r="B35" s="1" t="n">
        <f aca="false">B34+H35*1</f>
        <v>8.9408</v>
      </c>
      <c r="C35" s="1" t="n">
        <f aca="false">B35*$K$1</f>
        <v>20.0005696</v>
      </c>
      <c r="D35" s="1" t="n">
        <v>9.09573476273887</v>
      </c>
      <c r="E35" s="1" t="n">
        <f aca="false">D35*$K$1</f>
        <v>20.3471586642469</v>
      </c>
      <c r="F35" s="0" t="n">
        <v>2</v>
      </c>
      <c r="G35" s="0" t="n">
        <f aca="false">B35*F35+5</f>
        <v>22.8816</v>
      </c>
      <c r="H35" s="3" t="n">
        <v>0</v>
      </c>
      <c r="I35" s="3" t="n">
        <v>0</v>
      </c>
      <c r="J35" s="4" t="n">
        <v>22.7623958923336</v>
      </c>
    </row>
    <row r="36" customFormat="false" ht="15" hidden="false" customHeight="false" outlineLevel="0" collapsed="false">
      <c r="A36" s="0" t="n">
        <f aca="false">A35+1</f>
        <v>34</v>
      </c>
      <c r="B36" s="1" t="n">
        <f aca="false">B35+H36*1</f>
        <v>8.9408</v>
      </c>
      <c r="C36" s="1" t="n">
        <f aca="false">B36*$K$1</f>
        <v>20.0005696</v>
      </c>
      <c r="D36" s="1" t="n">
        <v>9.02916652717181</v>
      </c>
      <c r="E36" s="1" t="n">
        <f aca="false">D36*$K$1</f>
        <v>20.1982455212833</v>
      </c>
      <c r="F36" s="0" t="n">
        <v>2</v>
      </c>
      <c r="G36" s="0" t="n">
        <f aca="false">B36*F36+5</f>
        <v>22.8816</v>
      </c>
      <c r="H36" s="3" t="n">
        <v>0</v>
      </c>
      <c r="I36" s="3" t="n">
        <v>0</v>
      </c>
      <c r="J36" s="4" t="n">
        <v>22.6420642458473</v>
      </c>
    </row>
    <row r="37" customFormat="false" ht="15" hidden="false" customHeight="false" outlineLevel="0" collapsed="false">
      <c r="A37" s="0" t="n">
        <f aca="false">A36+1</f>
        <v>35</v>
      </c>
      <c r="B37" s="1" t="n">
        <f aca="false">B36+H37*1</f>
        <v>8.9408</v>
      </c>
      <c r="C37" s="1" t="n">
        <f aca="false">B37*$K$1</f>
        <v>20.0005696</v>
      </c>
      <c r="D37" s="1" t="n">
        <v>8.97730416010433</v>
      </c>
      <c r="E37" s="1" t="n">
        <f aca="false">D37*$K$1</f>
        <v>20.0822294061534</v>
      </c>
      <c r="F37" s="0" t="n">
        <v>2</v>
      </c>
      <c r="G37" s="0" t="n">
        <f aca="false">B37*F37+5</f>
        <v>22.8816</v>
      </c>
      <c r="H37" s="3" t="n">
        <v>0</v>
      </c>
      <c r="I37" s="3" t="n">
        <v>0</v>
      </c>
      <c r="J37" s="4" t="n">
        <v>22.5808672415181</v>
      </c>
    </row>
    <row r="38" customFormat="false" ht="15" hidden="false" customHeight="false" outlineLevel="0" collapsed="false">
      <c r="A38" s="0" t="n">
        <f aca="false">A37+1</f>
        <v>36</v>
      </c>
      <c r="B38" s="1" t="n">
        <f aca="false">B37+H38*1</f>
        <v>9.83488</v>
      </c>
      <c r="C38" s="1" t="n">
        <f aca="false">B38*$K$1</f>
        <v>22.00062656</v>
      </c>
      <c r="D38" s="1" t="n">
        <v>9.0319238785223</v>
      </c>
      <c r="E38" s="1" t="n">
        <f aca="false">D38*$K$1</f>
        <v>20.2044137162544</v>
      </c>
      <c r="F38" s="0" t="n">
        <v>2</v>
      </c>
      <c r="G38" s="0" t="n">
        <f aca="false">B38*F38+5</f>
        <v>24.66976</v>
      </c>
      <c r="H38" s="3" t="n">
        <v>0.89408</v>
      </c>
      <c r="I38" s="3" t="n">
        <v>0</v>
      </c>
      <c r="J38" s="4" t="n">
        <v>22.9815679580344</v>
      </c>
    </row>
    <row r="39" customFormat="false" ht="15" hidden="false" customHeight="false" outlineLevel="0" collapsed="false">
      <c r="A39" s="0" t="n">
        <f aca="false">A38+1</f>
        <v>37</v>
      </c>
      <c r="B39" s="1" t="n">
        <f aca="false">B38+H39*1</f>
        <v>10.72896</v>
      </c>
      <c r="C39" s="1" t="n">
        <f aca="false">B39*$K$1</f>
        <v>24.00068352</v>
      </c>
      <c r="D39" s="1" t="n">
        <v>9.28252113841257</v>
      </c>
      <c r="E39" s="1" t="n">
        <f aca="false">D39*$K$1</f>
        <v>20.7649997866289</v>
      </c>
      <c r="F39" s="0" t="n">
        <v>2</v>
      </c>
      <c r="G39" s="0" t="n">
        <f aca="false">B39*F39+5</f>
        <v>26.45792</v>
      </c>
      <c r="H39" s="3" t="n">
        <v>0.89408</v>
      </c>
      <c r="I39" s="3" t="n">
        <v>0</v>
      </c>
      <c r="J39" s="4" t="n">
        <v>24.1223547382499</v>
      </c>
    </row>
    <row r="40" customFormat="false" ht="15" hidden="false" customHeight="false" outlineLevel="0" collapsed="false">
      <c r="A40" s="0" t="n">
        <f aca="false">A39+1</f>
        <v>38</v>
      </c>
      <c r="B40" s="1" t="n">
        <f aca="false">B39+H40*1</f>
        <v>11.62304</v>
      </c>
      <c r="C40" s="1" t="n">
        <f aca="false">B40*$K$1</f>
        <v>26.00074048</v>
      </c>
      <c r="D40" s="1" t="n">
        <v>9.71705382736726</v>
      </c>
      <c r="E40" s="1" t="n">
        <f aca="false">D40*$K$1</f>
        <v>21.7370494118206</v>
      </c>
      <c r="F40" s="0" t="n">
        <v>2</v>
      </c>
      <c r="G40" s="0" t="n">
        <f aca="false">B40*F40+5</f>
        <v>28.24608</v>
      </c>
      <c r="H40" s="3" t="n">
        <v>0.89408</v>
      </c>
      <c r="I40" s="3" t="n">
        <v>0</v>
      </c>
      <c r="J40" s="4" t="n">
        <v>25.8124153774782</v>
      </c>
    </row>
    <row r="41" customFormat="false" ht="15" hidden="false" customHeight="false" outlineLevel="0" collapsed="false">
      <c r="A41" s="0" t="n">
        <f aca="false">A40+1</f>
        <v>39</v>
      </c>
      <c r="B41" s="1" t="n">
        <f aca="false">B40+H41*1</f>
        <v>12.51712</v>
      </c>
      <c r="C41" s="1" t="n">
        <f aca="false">B41*$K$1</f>
        <v>28.00079744</v>
      </c>
      <c r="D41" s="1" t="n">
        <v>10.3124475136901</v>
      </c>
      <c r="E41" s="1" t="n">
        <f aca="false">D41*$K$1</f>
        <v>23.0689450881248</v>
      </c>
      <c r="F41" s="0" t="n">
        <v>2</v>
      </c>
      <c r="G41" s="0" t="n">
        <f aca="false">B41*F41+5</f>
        <v>30.03424</v>
      </c>
      <c r="H41" s="3" t="n">
        <v>0.89408</v>
      </c>
      <c r="I41" s="3" t="n">
        <v>0</v>
      </c>
      <c r="J41" s="4" t="n">
        <v>27.8789603109533</v>
      </c>
    </row>
    <row r="42" customFormat="false" ht="15" hidden="false" customHeight="false" outlineLevel="0" collapsed="false">
      <c r="A42" s="0" t="n">
        <f aca="false">A41+1</f>
        <v>40</v>
      </c>
      <c r="B42" s="1" t="n">
        <f aca="false">B41+H42*1</f>
        <v>13.4112</v>
      </c>
      <c r="C42" s="1" t="n">
        <f aca="false">B42*$K$1</f>
        <v>30.0008544</v>
      </c>
      <c r="D42" s="1" t="n">
        <v>11.0401078188485</v>
      </c>
      <c r="E42" s="1" t="n">
        <f aca="false">D42*$K$1</f>
        <v>24.6967211907641</v>
      </c>
      <c r="F42" s="0" t="n">
        <v>2</v>
      </c>
      <c r="G42" s="0" t="n">
        <f aca="false">B42*F42+5</f>
        <v>31.8224</v>
      </c>
      <c r="H42" s="3" t="n">
        <v>0.89408</v>
      </c>
      <c r="I42" s="3" t="n">
        <v>0</v>
      </c>
      <c r="J42" s="4" t="n">
        <v>30.1753778113897</v>
      </c>
    </row>
    <row r="43" customFormat="false" ht="15" hidden="false" customHeight="false" outlineLevel="0" collapsed="false">
      <c r="A43" s="0" t="n">
        <f aca="false">A42+1</f>
        <v>41</v>
      </c>
      <c r="B43" s="1" t="n">
        <f aca="false">B42+H43*1</f>
        <v>14.30528</v>
      </c>
      <c r="C43" s="1" t="n">
        <f aca="false">B43*$K$1</f>
        <v>32.00091136</v>
      </c>
      <c r="D43" s="1" t="n">
        <v>11.8700684827807</v>
      </c>
      <c r="E43" s="1" t="n">
        <f aca="false">D43*$K$1</f>
        <v>26.5533431959804</v>
      </c>
      <c r="F43" s="0" t="n">
        <v>2</v>
      </c>
      <c r="G43" s="0" t="n">
        <f aca="false">B43*F43+5</f>
        <v>33.61056</v>
      </c>
      <c r="H43" s="3" t="n">
        <v>0.89408</v>
      </c>
      <c r="I43" s="3" t="n">
        <v>0</v>
      </c>
      <c r="J43" s="4" t="n">
        <v>32.5845707729622</v>
      </c>
    </row>
    <row r="44" customFormat="false" ht="15" hidden="false" customHeight="false" outlineLevel="0" collapsed="false">
      <c r="A44" s="0" t="n">
        <f aca="false">A43+1</f>
        <v>42</v>
      </c>
      <c r="B44" s="1" t="n">
        <f aca="false">B43+H44*1</f>
        <v>15.19936</v>
      </c>
      <c r="C44" s="1" t="n">
        <f aca="false">B44*$K$1</f>
        <v>34.00096832</v>
      </c>
      <c r="D44" s="1" t="n">
        <v>12.7738859860492</v>
      </c>
      <c r="E44" s="1" t="n">
        <f aca="false">D44*$K$1</f>
        <v>28.5751829507921</v>
      </c>
      <c r="F44" s="0" t="n">
        <v>2</v>
      </c>
      <c r="G44" s="0" t="n">
        <f aca="false">B44*F44+5</f>
        <v>35.39872</v>
      </c>
      <c r="H44" s="3" t="n">
        <v>0.89408</v>
      </c>
      <c r="I44" s="3" t="n">
        <v>0</v>
      </c>
      <c r="J44" s="4" t="n">
        <v>35.0187889684148</v>
      </c>
    </row>
    <row r="45" customFormat="false" ht="15" hidden="false" customHeight="false" outlineLevel="0" collapsed="false">
      <c r="A45" s="0" t="n">
        <f aca="false">A44+1</f>
        <v>43</v>
      </c>
      <c r="B45" s="1" t="n">
        <f aca="false">B44+H45*1</f>
        <v>16.09344</v>
      </c>
      <c r="C45" s="1" t="n">
        <f aca="false">B45*$K$1</f>
        <v>36.00102528</v>
      </c>
      <c r="D45" s="1" t="n">
        <v>13.7264572936154</v>
      </c>
      <c r="E45" s="1" t="n">
        <f aca="false">D45*$K$1</f>
        <v>30.7060849658176</v>
      </c>
      <c r="F45" s="0" t="n">
        <v>2</v>
      </c>
      <c r="G45" s="0" t="n">
        <f aca="false">B45*F45+5</f>
        <v>37.18688</v>
      </c>
      <c r="H45" s="3" t="n">
        <v>0.89408</v>
      </c>
      <c r="I45" s="3" t="n">
        <v>0</v>
      </c>
      <c r="J45" s="4" t="n">
        <v>37.4171239310837</v>
      </c>
    </row>
    <row r="46" customFormat="false" ht="15" hidden="false" customHeight="false" outlineLevel="0" collapsed="false">
      <c r="A46" s="0" t="n">
        <f aca="false">A45+1</f>
        <v>44</v>
      </c>
      <c r="B46" s="1" t="n">
        <f aca="false">B45+H46*1</f>
        <v>16.98752</v>
      </c>
      <c r="C46" s="1" t="n">
        <f aca="false">B46*$K$1</f>
        <v>38.00108224</v>
      </c>
      <c r="D46" s="1" t="n">
        <v>14.7069669661784</v>
      </c>
      <c r="E46" s="1" t="n">
        <f aca="false">D46*$K$1</f>
        <v>32.8994851033411</v>
      </c>
      <c r="F46" s="0" t="n">
        <v>2</v>
      </c>
      <c r="G46" s="0" t="n">
        <f aca="false">B46*F46+5</f>
        <v>38.97504</v>
      </c>
      <c r="H46" s="3" t="n">
        <v>0.89408</v>
      </c>
      <c r="I46" s="3" t="n">
        <v>0</v>
      </c>
      <c r="J46" s="4" t="n">
        <v>39.7416400195749</v>
      </c>
    </row>
    <row r="47" customFormat="false" ht="15" hidden="false" customHeight="false" outlineLevel="0" collapsed="false">
      <c r="A47" s="0" t="n">
        <f aca="false">A46+1</f>
        <v>45</v>
      </c>
      <c r="B47" s="1" t="n">
        <f aca="false">B46+H47*1</f>
        <v>17.8816</v>
      </c>
      <c r="C47" s="1" t="n">
        <f aca="false">B47*$K$1</f>
        <v>40.0011392</v>
      </c>
      <c r="D47" s="1" t="n">
        <v>15.6991729821878</v>
      </c>
      <c r="E47" s="1" t="n">
        <f aca="false">D47*$K$1</f>
        <v>35.1190499611541</v>
      </c>
      <c r="F47" s="0" t="n">
        <v>2</v>
      </c>
      <c r="G47" s="0" t="n">
        <f aca="false">B47*F47+5</f>
        <v>40.7632</v>
      </c>
      <c r="H47" s="3" t="n">
        <v>0.89408</v>
      </c>
      <c r="I47" s="3" t="n">
        <v>0</v>
      </c>
      <c r="J47" s="4" t="n">
        <v>41.9729059761221</v>
      </c>
    </row>
    <row r="48" customFormat="false" ht="15" hidden="false" customHeight="false" outlineLevel="0" collapsed="false">
      <c r="A48" s="0" t="n">
        <f aca="false">A47+1</f>
        <v>46</v>
      </c>
      <c r="B48" s="1" t="n">
        <f aca="false">B47+H48*1</f>
        <v>17.8816</v>
      </c>
      <c r="C48" s="1" t="n">
        <f aca="false">B48*$K$1</f>
        <v>40.0011392</v>
      </c>
      <c r="D48" s="1" t="n">
        <v>16.5988373574634</v>
      </c>
      <c r="E48" s="1" t="n">
        <f aca="false">D48*$K$1</f>
        <v>37.1315991686456</v>
      </c>
      <c r="F48" s="0" t="n">
        <v>2</v>
      </c>
      <c r="G48" s="0" t="n">
        <f aca="false">B48*F48+5</f>
        <v>40.7632</v>
      </c>
      <c r="H48" s="3" t="n">
        <v>0</v>
      </c>
      <c r="I48" s="3" t="n">
        <v>0</v>
      </c>
      <c r="J48" s="4" t="n">
        <v>43.6882512682514</v>
      </c>
    </row>
    <row r="49" customFormat="false" ht="15" hidden="false" customHeight="false" outlineLevel="0" collapsed="false">
      <c r="A49" s="0" t="n">
        <f aca="false">A48+1</f>
        <v>47</v>
      </c>
      <c r="B49" s="1" t="n">
        <f aca="false">B48+H49*1</f>
        <v>17.8816</v>
      </c>
      <c r="C49" s="1" t="n">
        <f aca="false">B49*$K$1</f>
        <v>40.0011392</v>
      </c>
      <c r="D49" s="1" t="n">
        <v>17.3069679875502</v>
      </c>
      <c r="E49" s="1" t="n">
        <f aca="false">D49*$K$1</f>
        <v>38.7156873881498</v>
      </c>
      <c r="F49" s="0" t="n">
        <v>2</v>
      </c>
      <c r="G49" s="0" t="n">
        <f aca="false">B49*F49+5</f>
        <v>40.7632</v>
      </c>
      <c r="H49" s="3" t="n">
        <v>0</v>
      </c>
      <c r="I49" s="3" t="n">
        <v>0</v>
      </c>
      <c r="J49" s="4" t="n">
        <v>44.6005367870818</v>
      </c>
    </row>
    <row r="50" customFormat="false" ht="15" hidden="false" customHeight="false" outlineLevel="0" collapsed="false">
      <c r="A50" s="0" t="n">
        <f aca="false">A49+1</f>
        <v>48</v>
      </c>
      <c r="B50" s="1" t="n">
        <f aca="false">B49+H50*1</f>
        <v>17.8816</v>
      </c>
      <c r="C50" s="1" t="n">
        <f aca="false">B50*$K$1</f>
        <v>40.0011392</v>
      </c>
      <c r="D50" s="1" t="n">
        <v>17.828873759877</v>
      </c>
      <c r="E50" s="1" t="n">
        <f aca="false">D50*$K$1</f>
        <v>39.8831906008448</v>
      </c>
      <c r="F50" s="0" t="n">
        <v>2</v>
      </c>
      <c r="G50" s="0" t="n">
        <f aca="false">B50*F50+5</f>
        <v>40.7632</v>
      </c>
      <c r="H50" s="3" t="n">
        <v>0</v>
      </c>
      <c r="I50" s="3" t="n">
        <v>0</v>
      </c>
      <c r="J50" s="4" t="n">
        <v>44.8997041230593</v>
      </c>
    </row>
    <row r="51" customFormat="false" ht="15" hidden="false" customHeight="false" outlineLevel="0" collapsed="false">
      <c r="A51" s="0" t="n">
        <f aca="false">A50+1</f>
        <v>49</v>
      </c>
      <c r="B51" s="1" t="n">
        <f aca="false">B50+H51*1</f>
        <v>17.8816</v>
      </c>
      <c r="C51" s="1" t="n">
        <f aca="false">B51*$K$1</f>
        <v>40.0011392</v>
      </c>
      <c r="D51" s="1" t="n">
        <v>18.1832986993833</v>
      </c>
      <c r="E51" s="1" t="n">
        <f aca="false">D51*$K$1</f>
        <v>40.6760391905204</v>
      </c>
      <c r="F51" s="0" t="n">
        <v>2</v>
      </c>
      <c r="G51" s="0" t="n">
        <f aca="false">B51*F51+5</f>
        <v>40.7632</v>
      </c>
      <c r="H51" s="3" t="n">
        <v>0</v>
      </c>
      <c r="I51" s="3" t="n">
        <v>0</v>
      </c>
      <c r="J51" s="4" t="n">
        <v>44.7631638655597</v>
      </c>
    </row>
    <row r="52" customFormat="false" ht="15" hidden="false" customHeight="false" outlineLevel="0" collapsed="false">
      <c r="A52" s="0" t="n">
        <f aca="false">A51+1</f>
        <v>50</v>
      </c>
      <c r="B52" s="1" t="n">
        <f aca="false">B51+H52*1</f>
        <v>17.8816</v>
      </c>
      <c r="C52" s="1" t="n">
        <f aca="false">B52*$K$1</f>
        <v>40.0011392</v>
      </c>
      <c r="D52" s="1" t="n">
        <v>18.3964717835869</v>
      </c>
      <c r="E52" s="1" t="n">
        <f aca="false">D52*$K$1</f>
        <v>41.1529073798839</v>
      </c>
      <c r="F52" s="0" t="n">
        <v>2</v>
      </c>
      <c r="G52" s="0" t="n">
        <f aca="false">B52*F52+5</f>
        <v>40.7632</v>
      </c>
      <c r="H52" s="3" t="n">
        <v>0</v>
      </c>
      <c r="I52" s="3" t="n">
        <v>0</v>
      </c>
      <c r="J52" s="4" t="n">
        <v>44.3454561515516</v>
      </c>
    </row>
    <row r="53" customFormat="false" ht="15" hidden="false" customHeight="false" outlineLevel="0" collapsed="false">
      <c r="A53" s="0" t="n">
        <f aca="false">A52+1</f>
        <v>51</v>
      </c>
      <c r="B53" s="1" t="n">
        <f aca="false">B52+H53*1</f>
        <v>17.8816</v>
      </c>
      <c r="C53" s="1" t="n">
        <f aca="false">B53*$K$1</f>
        <v>40.0011392</v>
      </c>
      <c r="D53" s="1" t="n">
        <v>18.4975049633583</v>
      </c>
      <c r="E53" s="1" t="n">
        <f aca="false">D53*$K$1</f>
        <v>41.3789186030325</v>
      </c>
      <c r="F53" s="0" t="n">
        <v>2</v>
      </c>
      <c r="G53" s="0" t="n">
        <f aca="false">B53*F53+5</f>
        <v>40.7632</v>
      </c>
      <c r="H53" s="3" t="n">
        <v>0</v>
      </c>
      <c r="I53" s="3" t="n">
        <v>0</v>
      </c>
      <c r="J53" s="4" t="n">
        <v>43.7731789069456</v>
      </c>
    </row>
    <row r="54" customFormat="false" ht="15" hidden="false" customHeight="false" outlineLevel="0" collapsed="false">
      <c r="A54" s="0" t="n">
        <f aca="false">A53+1</f>
        <v>52</v>
      </c>
      <c r="B54" s="1" t="n">
        <f aca="false">B53+H54*1</f>
        <v>17.8816</v>
      </c>
      <c r="C54" s="1" t="n">
        <f aca="false">B54*$K$1</f>
        <v>40.0011392</v>
      </c>
      <c r="D54" s="1" t="n">
        <v>18.515070831614</v>
      </c>
      <c r="E54" s="1" t="n">
        <f aca="false">D54*$K$1</f>
        <v>41.4182134503205</v>
      </c>
      <c r="F54" s="0" t="n">
        <v>2</v>
      </c>
      <c r="G54" s="0" t="n">
        <f aca="false">B54*F54+5</f>
        <v>40.7632</v>
      </c>
      <c r="H54" s="3" t="n">
        <v>0</v>
      </c>
      <c r="I54" s="3" t="n">
        <v>0</v>
      </c>
      <c r="J54" s="4" t="n">
        <v>43.1438634673244</v>
      </c>
    </row>
    <row r="55" customFormat="false" ht="15" hidden="false" customHeight="false" outlineLevel="0" collapsed="false">
      <c r="A55" s="0" t="n">
        <f aca="false">A54+1</f>
        <v>53</v>
      </c>
      <c r="B55" s="1" t="n">
        <f aca="false">B54+H55*1</f>
        <v>17.8816</v>
      </c>
      <c r="C55" s="1" t="n">
        <f aca="false">B55*$K$1</f>
        <v>40.0011392</v>
      </c>
      <c r="D55" s="1" t="n">
        <v>18.475209620321</v>
      </c>
      <c r="E55" s="1" t="n">
        <f aca="false">D55*$K$1</f>
        <v>41.3290439206581</v>
      </c>
      <c r="F55" s="0" t="n">
        <v>2</v>
      </c>
      <c r="G55" s="0" t="n">
        <f aca="false">B55*F55+5</f>
        <v>40.7632</v>
      </c>
      <c r="H55" s="3" t="n">
        <v>0</v>
      </c>
      <c r="I55" s="3" t="n">
        <v>0</v>
      </c>
      <c r="J55" s="4" t="n">
        <v>42.5275900101331</v>
      </c>
    </row>
    <row r="56" customFormat="false" ht="15" hidden="false" customHeight="false" outlineLevel="0" collapsed="false">
      <c r="A56" s="0" t="n">
        <f aca="false">A55+1</f>
        <v>54</v>
      </c>
      <c r="B56" s="1" t="n">
        <f aca="false">B55+H56*1</f>
        <v>17.8816</v>
      </c>
      <c r="C56" s="1" t="n">
        <f aca="false">B56*$K$1</f>
        <v>40.0011392</v>
      </c>
      <c r="D56" s="1" t="n">
        <v>18.4000726106106</v>
      </c>
      <c r="E56" s="1" t="n">
        <f aca="false">D56*$K$1</f>
        <v>41.1609624299359</v>
      </c>
      <c r="F56" s="0" t="n">
        <v>2</v>
      </c>
      <c r="G56" s="0" t="n">
        <f aca="false">B56*F56+5</f>
        <v>40.7632</v>
      </c>
      <c r="H56" s="3" t="n">
        <v>0</v>
      </c>
      <c r="I56" s="3" t="n">
        <v>0</v>
      </c>
      <c r="J56" s="4" t="n">
        <v>41.9703093172339</v>
      </c>
    </row>
    <row r="57" customFormat="false" ht="15" hidden="false" customHeight="false" outlineLevel="0" collapsed="false">
      <c r="A57" s="0" t="n">
        <f aca="false">A56+1</f>
        <v>55</v>
      </c>
      <c r="B57" s="1" t="n">
        <f aca="false">B56+H57*1</f>
        <v>17.8816</v>
      </c>
      <c r="C57" s="1" t="n">
        <f aca="false">B57*$K$1</f>
        <v>40.0011392</v>
      </c>
      <c r="D57" s="1" t="n">
        <v>18.3073961930089</v>
      </c>
      <c r="E57" s="1" t="n">
        <f aca="false">D57*$K$1</f>
        <v>40.9536452837609</v>
      </c>
      <c r="F57" s="0" t="n">
        <v>2</v>
      </c>
      <c r="G57" s="0" t="n">
        <f aca="false">B57*F57+5</f>
        <v>40.7632</v>
      </c>
      <c r="H57" s="3" t="n">
        <v>0</v>
      </c>
      <c r="I57" s="3" t="n">
        <v>0</v>
      </c>
      <c r="J57" s="4" t="n">
        <v>41.4980384322259</v>
      </c>
    </row>
    <row r="58" customFormat="false" ht="15" hidden="false" customHeight="false" outlineLevel="0" collapsed="false">
      <c r="A58" s="0" t="n">
        <f aca="false">A57+1</f>
        <v>56</v>
      </c>
      <c r="B58" s="1" t="n">
        <f aca="false">B57+H58*1</f>
        <v>17.8816</v>
      </c>
      <c r="C58" s="1" t="n">
        <f aca="false">B58*$K$1</f>
        <v>40.0011392</v>
      </c>
      <c r="D58" s="1" t="n">
        <v>18.2105089711206</v>
      </c>
      <c r="E58" s="1" t="n">
        <f aca="false">D58*$K$1</f>
        <v>40.7369085683968</v>
      </c>
      <c r="F58" s="0" t="n">
        <v>2</v>
      </c>
      <c r="G58" s="0" t="n">
        <f aca="false">B58*F58+5</f>
        <v>40.7632</v>
      </c>
      <c r="H58" s="3" t="n">
        <v>0</v>
      </c>
      <c r="I58" s="3" t="n">
        <v>0</v>
      </c>
      <c r="J58" s="4" t="n">
        <v>41.1213005171589</v>
      </c>
    </row>
    <row r="59" customFormat="false" ht="15" hidden="false" customHeight="false" outlineLevel="0" collapsed="false">
      <c r="A59" s="0" t="n">
        <f aca="false">A58+1</f>
        <v>57</v>
      </c>
      <c r="B59" s="1" t="n">
        <f aca="false">B58+H59*1</f>
        <v>17.8816</v>
      </c>
      <c r="C59" s="1" t="n">
        <f aca="false">B59*$K$1</f>
        <v>40.0011392</v>
      </c>
      <c r="D59" s="1" t="n">
        <v>18.1186958842855</v>
      </c>
      <c r="E59" s="1" t="n">
        <f aca="false">D59*$K$1</f>
        <v>40.5315226931467</v>
      </c>
      <c r="F59" s="0" t="n">
        <v>2</v>
      </c>
      <c r="G59" s="0" t="n">
        <f aca="false">B59*F59+5</f>
        <v>40.7632</v>
      </c>
      <c r="H59" s="3" t="n">
        <v>0</v>
      </c>
      <c r="I59" s="3" t="n">
        <v>0</v>
      </c>
      <c r="J59" s="4" t="n">
        <v>40.8393665614744</v>
      </c>
    </row>
    <row r="60" customFormat="false" ht="15" hidden="false" customHeight="false" outlineLevel="0" collapsed="false">
      <c r="A60" s="0" t="n">
        <f aca="false">A59+1</f>
        <v>58</v>
      </c>
      <c r="B60" s="1" t="n">
        <f aca="false">B59+H60*1</f>
        <v>17.8816</v>
      </c>
      <c r="C60" s="1" t="n">
        <f aca="false">B60*$K$1</f>
        <v>40.0011392</v>
      </c>
      <c r="D60" s="1" t="n">
        <v>18.0377721542707</v>
      </c>
      <c r="E60" s="1" t="n">
        <f aca="false">D60*$K$1</f>
        <v>40.3504963091036</v>
      </c>
      <c r="F60" s="0" t="n">
        <v>2</v>
      </c>
      <c r="G60" s="0" t="n">
        <f aca="false">B60*F60+5</f>
        <v>40.7632</v>
      </c>
      <c r="H60" s="3" t="n">
        <v>0</v>
      </c>
      <c r="I60" s="3" t="n">
        <v>0</v>
      </c>
      <c r="J60" s="4" t="n">
        <v>40.644018344206</v>
      </c>
    </row>
    <row r="61" customFormat="false" ht="15" hidden="false" customHeight="false" outlineLevel="0" collapsed="false">
      <c r="A61" s="0" t="n">
        <f aca="false">A60+1</f>
        <v>59</v>
      </c>
      <c r="B61" s="1" t="n">
        <f aca="false">B60+H61*1</f>
        <v>17.8816</v>
      </c>
      <c r="C61" s="1" t="n">
        <f aca="false">B61*$K$1</f>
        <v>40.0011392</v>
      </c>
      <c r="D61" s="1" t="n">
        <v>17.9707512021493</v>
      </c>
      <c r="E61" s="1" t="n">
        <f aca="false">D61*$K$1</f>
        <v>40.200570439208</v>
      </c>
      <c r="F61" s="0" t="n">
        <v>2</v>
      </c>
      <c r="G61" s="0" t="n">
        <f aca="false">B61*F61+5</f>
        <v>40.7632</v>
      </c>
      <c r="H61" s="3" t="n">
        <v>0</v>
      </c>
      <c r="I61" s="3" t="n">
        <v>0</v>
      </c>
      <c r="J61" s="4" t="n">
        <v>40.5226834376645</v>
      </c>
    </row>
    <row r="62" customFormat="false" ht="15" hidden="false" customHeight="false" outlineLevel="0" collapsed="false">
      <c r="A62" s="0" t="n">
        <f aca="false">A61+1</f>
        <v>60</v>
      </c>
      <c r="B62" s="1" t="n">
        <f aca="false">B61+H62*1</f>
        <v>17.8816</v>
      </c>
      <c r="C62" s="1" t="n">
        <f aca="false">B62*$K$1</f>
        <v>40.0011392</v>
      </c>
      <c r="D62" s="1" t="n">
        <v>17.9185211523439</v>
      </c>
      <c r="E62" s="1" t="n">
        <f aca="false">D62*$K$1</f>
        <v>40.0837318177933</v>
      </c>
      <c r="F62" s="0" t="n">
        <v>2</v>
      </c>
      <c r="G62" s="0" t="n">
        <f aca="false">B62*F62+5</f>
        <v>40.7632</v>
      </c>
      <c r="H62" s="3" t="n">
        <v>0</v>
      </c>
      <c r="I62" s="3" t="n">
        <v>0</v>
      </c>
      <c r="J62" s="4" t="n">
        <v>40.4608933482915</v>
      </c>
    </row>
    <row r="63" customFormat="false" ht="15" hidden="false" customHeight="false" outlineLevel="0" collapsed="false">
      <c r="A63" s="0" t="n">
        <f aca="false">A62+1</f>
        <v>61</v>
      </c>
      <c r="B63" s="1" t="n">
        <f aca="false">B57-H63*1</f>
        <v>16.98752</v>
      </c>
      <c r="C63" s="1" t="n">
        <f aca="false">B63*$K$1</f>
        <v>38.00108224</v>
      </c>
      <c r="D63" s="1" t="n">
        <v>17.7880836769279</v>
      </c>
      <c r="E63" s="1" t="n">
        <f aca="false">D63*$K$1</f>
        <v>39.7919431852877</v>
      </c>
      <c r="F63" s="0" t="n">
        <v>2</v>
      </c>
      <c r="G63" s="0" t="n">
        <f aca="false">B63*F63+5</f>
        <v>38.97504</v>
      </c>
      <c r="H63" s="3" t="n">
        <v>0.89408</v>
      </c>
      <c r="I63" s="3" t="n">
        <v>0</v>
      </c>
      <c r="J63" s="4" t="n">
        <v>40.026849836467</v>
      </c>
    </row>
    <row r="64" customFormat="false" ht="15" hidden="false" customHeight="false" outlineLevel="0" collapsed="false">
      <c r="A64" s="0" t="n">
        <f aca="false">A63+1</f>
        <v>62</v>
      </c>
      <c r="B64" s="1" t="n">
        <f aca="false">B63-H64*1</f>
        <v>16.09344</v>
      </c>
      <c r="C64" s="1" t="n">
        <f aca="false">B64*$K$1</f>
        <v>36.00102528</v>
      </c>
      <c r="D64" s="1" t="n">
        <v>17.4868182830235</v>
      </c>
      <c r="E64" s="1" t="n">
        <f aca="false">D64*$K$1</f>
        <v>39.1180124991236</v>
      </c>
      <c r="F64" s="0" t="n">
        <v>2</v>
      </c>
      <c r="G64" s="0" t="n">
        <f aca="false">B64*F64+5</f>
        <v>37.18688</v>
      </c>
      <c r="H64" s="3" t="n">
        <v>0.89408</v>
      </c>
      <c r="I64" s="3" t="n">
        <v>0</v>
      </c>
      <c r="J64" s="4" t="n">
        <v>38.9155774985752</v>
      </c>
    </row>
    <row r="65" customFormat="false" ht="15" hidden="false" customHeight="false" outlineLevel="0" collapsed="false">
      <c r="A65" s="0" t="n">
        <f aca="false">A64+1</f>
        <v>63</v>
      </c>
      <c r="B65" s="1" t="n">
        <f aca="false">B64-H65*1</f>
        <v>15.19936</v>
      </c>
      <c r="C65" s="1" t="n">
        <f aca="false">B65*$K$1</f>
        <v>34.00096832</v>
      </c>
      <c r="D65" s="1" t="n">
        <v>17.0226202244441</v>
      </c>
      <c r="E65" s="1" t="n">
        <f aca="false">D65*$K$1</f>
        <v>38.0796014420815</v>
      </c>
      <c r="F65" s="0" t="n">
        <v>2</v>
      </c>
      <c r="G65" s="0" t="n">
        <f aca="false">B65*F65+5</f>
        <v>35.39872</v>
      </c>
      <c r="H65" s="3" t="n">
        <v>0.89408</v>
      </c>
      <c r="I65" s="3" t="n">
        <v>0</v>
      </c>
      <c r="J65" s="4" t="n">
        <v>37.2947935310546</v>
      </c>
    </row>
    <row r="66" customFormat="false" ht="15" hidden="false" customHeight="false" outlineLevel="0" collapsed="false">
      <c r="A66" s="0" t="n">
        <f aca="false">A65+1</f>
        <v>64</v>
      </c>
      <c r="B66" s="1" t="n">
        <f aca="false">B65-H66*1</f>
        <v>14.30528</v>
      </c>
      <c r="C66" s="1" t="n">
        <f aca="false">B66*$K$1</f>
        <v>32.00091136</v>
      </c>
      <c r="D66" s="1" t="n">
        <v>16.4140696580138</v>
      </c>
      <c r="E66" s="1" t="n">
        <f aca="false">D66*$K$1</f>
        <v>36.7182738249769</v>
      </c>
      <c r="F66" s="0" t="n">
        <v>2</v>
      </c>
      <c r="G66" s="0" t="n">
        <f aca="false">B66*F66+5</f>
        <v>33.61056</v>
      </c>
      <c r="H66" s="3" t="n">
        <v>0.89408</v>
      </c>
      <c r="I66" s="3" t="n">
        <v>0</v>
      </c>
      <c r="J66" s="4" t="n">
        <v>35.3185522295759</v>
      </c>
    </row>
    <row r="67" customFormat="false" ht="15" hidden="false" customHeight="false" outlineLevel="0" collapsed="false">
      <c r="A67" s="0" t="n">
        <f aca="false">A66+1</f>
        <v>65</v>
      </c>
      <c r="B67" s="1" t="n">
        <f aca="false">B66-H67*1</f>
        <v>13.4112</v>
      </c>
      <c r="C67" s="1" t="n">
        <f aca="false">B67*$K$1</f>
        <v>30.0008544</v>
      </c>
      <c r="D67" s="1" t="n">
        <v>15.6854000275657</v>
      </c>
      <c r="E67" s="1" t="n">
        <f aca="false">D67*$K$1</f>
        <v>35.0882398616645</v>
      </c>
      <c r="F67" s="0" t="n">
        <v>2</v>
      </c>
      <c r="G67" s="0" t="n">
        <f aca="false">B67*F67+5</f>
        <v>31.8224</v>
      </c>
      <c r="H67" s="3" t="n">
        <v>0.89408</v>
      </c>
      <c r="I67" s="3" t="n">
        <v>0</v>
      </c>
      <c r="J67" s="4" t="n">
        <v>33.1191822766365</v>
      </c>
    </row>
    <row r="68" customFormat="false" ht="15" hidden="false" customHeight="false" outlineLevel="0" collapsed="false">
      <c r="A68" s="0" t="n">
        <f aca="false">A67+1</f>
        <v>66</v>
      </c>
      <c r="B68" s="1" t="n">
        <f aca="false">B67-H68*1</f>
        <v>12.51712</v>
      </c>
      <c r="C68" s="1" t="n">
        <f aca="false">B68*$K$1</f>
        <v>28.00079744</v>
      </c>
      <c r="D68" s="1" t="n">
        <v>14.8626616485141</v>
      </c>
      <c r="E68" s="1" t="n">
        <f aca="false">D68*$K$1</f>
        <v>33.247774107726</v>
      </c>
      <c r="F68" s="0" t="n">
        <v>2</v>
      </c>
      <c r="G68" s="0" t="n">
        <f aca="false">B68*F68+5</f>
        <v>30.03424</v>
      </c>
      <c r="H68" s="3" t="n">
        <v>0.89408</v>
      </c>
      <c r="I68" s="3" t="n">
        <v>0</v>
      </c>
      <c r="J68" s="4" t="n">
        <v>30.8036490223207</v>
      </c>
    </row>
    <row r="69" customFormat="false" ht="15" hidden="false" customHeight="false" outlineLevel="0" collapsed="false">
      <c r="A69" s="0" t="n">
        <f aca="false">A68+1</f>
        <v>67</v>
      </c>
      <c r="B69" s="1" t="n">
        <f aca="false">B68-H69*1</f>
        <v>11.62304</v>
      </c>
      <c r="C69" s="1" t="n">
        <f aca="false">B69*$K$1</f>
        <v>26.00074048</v>
      </c>
      <c r="D69" s="1" t="n">
        <v>13.9709998804346</v>
      </c>
      <c r="E69" s="1" t="n">
        <f aca="false">D69*$K$1</f>
        <v>31.2531267325322</v>
      </c>
      <c r="F69" s="0" t="n">
        <v>2</v>
      </c>
      <c r="G69" s="0" t="n">
        <f aca="false">B69*F69+5</f>
        <v>28.24608</v>
      </c>
      <c r="H69" s="3" t="n">
        <v>0.89408</v>
      </c>
      <c r="I69" s="3" t="n">
        <v>0</v>
      </c>
      <c r="J69" s="4" t="n">
        <v>28.453181896057</v>
      </c>
    </row>
    <row r="70" customFormat="false" ht="15" hidden="false" customHeight="false" outlineLevel="0" collapsed="false">
      <c r="A70" s="0" t="n">
        <f aca="false">A69+1</f>
        <v>68</v>
      </c>
      <c r="B70" s="1" t="n">
        <f aca="false">B69-H70*1</f>
        <v>10.72896</v>
      </c>
      <c r="C70" s="1" t="n">
        <f aca="false">B70*$K$1</f>
        <v>24.00068352</v>
      </c>
      <c r="D70" s="1" t="n">
        <v>13.0329029379355</v>
      </c>
      <c r="E70" s="1" t="n">
        <f aca="false">D70*$K$1</f>
        <v>29.1546038721617</v>
      </c>
      <c r="F70" s="0" t="n">
        <v>2</v>
      </c>
      <c r="G70" s="0" t="n">
        <f aca="false">B70*F70+5</f>
        <v>26.45792</v>
      </c>
      <c r="H70" s="3" t="n">
        <v>0.89408</v>
      </c>
      <c r="I70" s="3" t="n">
        <v>0</v>
      </c>
      <c r="J70" s="4" t="n">
        <v>26.1251226440759</v>
      </c>
    </row>
    <row r="71" customFormat="false" ht="15" hidden="false" customHeight="false" outlineLevel="0" collapsed="false">
      <c r="A71" s="0" t="n">
        <f aca="false">A70+1</f>
        <v>69</v>
      </c>
      <c r="B71" s="1" t="n">
        <f aca="false">B70-H71*1</f>
        <v>9.83488</v>
      </c>
      <c r="C71" s="1" t="n">
        <f aca="false">B71*$K$1</f>
        <v>22.00062656</v>
      </c>
      <c r="D71" s="1" t="n">
        <v>12.0672430462374</v>
      </c>
      <c r="E71" s="1" t="n">
        <f aca="false">D71*$K$1</f>
        <v>26.9944226944331</v>
      </c>
      <c r="F71" s="0" t="n">
        <v>2</v>
      </c>
      <c r="G71" s="0" t="n">
        <f aca="false">B71*F71+5</f>
        <v>24.66976</v>
      </c>
      <c r="H71" s="3" t="n">
        <v>0.89408</v>
      </c>
      <c r="I71" s="3" t="n">
        <v>0</v>
      </c>
      <c r="J71" s="4" t="n">
        <v>23.8561127497715</v>
      </c>
    </row>
    <row r="72" customFormat="false" ht="15" hidden="false" customHeight="false" outlineLevel="0" collapsed="false">
      <c r="A72" s="0" t="n">
        <f aca="false">A71+1</f>
        <v>70</v>
      </c>
      <c r="B72" s="1" t="n">
        <f aca="false">B71-H72*1</f>
        <v>8.9408</v>
      </c>
      <c r="C72" s="1" t="n">
        <f aca="false">B72*$K$1</f>
        <v>20.0005696</v>
      </c>
      <c r="D72" s="1" t="n">
        <v>11.0889279933177</v>
      </c>
      <c r="E72" s="1" t="n">
        <f aca="false">D72*$K$1</f>
        <v>24.8059319210517</v>
      </c>
      <c r="F72" s="0" t="n">
        <v>2</v>
      </c>
      <c r="G72" s="0" t="n">
        <f aca="false">B72*F72+5</f>
        <v>22.8816</v>
      </c>
      <c r="H72" s="3" t="n">
        <v>0.89408</v>
      </c>
      <c r="I72" s="3" t="n">
        <v>0</v>
      </c>
      <c r="J72" s="4" t="n">
        <v>21.6659193964957</v>
      </c>
    </row>
    <row r="73" customFormat="false" ht="15" hidden="false" customHeight="false" outlineLevel="0" collapsed="false">
      <c r="A73" s="0" t="n">
        <f aca="false">A72+1</f>
        <v>71</v>
      </c>
      <c r="B73" s="1" t="n">
        <f aca="false">B72+H73*1</f>
        <v>8.9408</v>
      </c>
      <c r="C73" s="1" t="n">
        <f aca="false">B73*$K$1</f>
        <v>20.0005696</v>
      </c>
      <c r="D73" s="1" t="n">
        <v>10.2013788482218</v>
      </c>
      <c r="E73" s="1" t="n">
        <f aca="false">D73*$K$1</f>
        <v>22.8204844834722</v>
      </c>
      <c r="F73" s="0" t="n">
        <v>2</v>
      </c>
      <c r="G73" s="0" t="n">
        <f aca="false">B73*F73+5</f>
        <v>22.8816</v>
      </c>
      <c r="H73" s="3" t="n">
        <v>0</v>
      </c>
      <c r="I73" s="3" t="n">
        <v>0</v>
      </c>
      <c r="J73" s="4" t="n">
        <v>19.9786152147269</v>
      </c>
    </row>
    <row r="74" customFormat="false" ht="15" hidden="false" customHeight="false" outlineLevel="0" collapsed="false">
      <c r="A74" s="0" t="n">
        <f aca="false">A73+1</f>
        <v>72</v>
      </c>
      <c r="B74" s="1" t="n">
        <f aca="false">B73+H74*1</f>
        <v>8.9408</v>
      </c>
      <c r="C74" s="1" t="n">
        <f aca="false">B74*$K$1</f>
        <v>20.0005696</v>
      </c>
      <c r="D74" s="1" t="n">
        <v>9.50318445036787</v>
      </c>
      <c r="E74" s="1" t="n">
        <f aca="false">D74*$K$1</f>
        <v>21.2586236154729</v>
      </c>
      <c r="F74" s="0" t="n">
        <v>2</v>
      </c>
      <c r="G74" s="0" t="n">
        <f aca="false">B74*F74+5</f>
        <v>22.8816</v>
      </c>
      <c r="H74" s="3" t="n">
        <v>0</v>
      </c>
      <c r="I74" s="3" t="n">
        <v>0</v>
      </c>
      <c r="J74" s="4" t="n">
        <v>19.083342355029</v>
      </c>
    </row>
    <row r="75" customFormat="false" ht="15" hidden="false" customHeight="false" outlineLevel="0" collapsed="false">
      <c r="A75" s="0" t="n">
        <f aca="false">A74+1</f>
        <v>73</v>
      </c>
      <c r="B75" s="1" t="n">
        <f aca="false">B74+H75*1</f>
        <v>8.9408</v>
      </c>
      <c r="C75" s="1" t="n">
        <f aca="false">B75*$K$1</f>
        <v>20.0005696</v>
      </c>
      <c r="D75" s="1" t="n">
        <v>8.98894302635676</v>
      </c>
      <c r="E75" s="1" t="n">
        <f aca="false">D75*$K$1</f>
        <v>20.1082655499601</v>
      </c>
      <c r="F75" s="0" t="n">
        <v>2</v>
      </c>
      <c r="G75" s="0" t="n">
        <f aca="false">B75*F75+5</f>
        <v>22.8816</v>
      </c>
      <c r="H75" s="3" t="n">
        <v>0</v>
      </c>
      <c r="I75" s="3" t="n">
        <v>0</v>
      </c>
      <c r="J75" s="4" t="n">
        <v>18.7924021148464</v>
      </c>
    </row>
    <row r="76" customFormat="false" ht="15" hidden="false" customHeight="false" outlineLevel="0" collapsed="false">
      <c r="A76" s="0" t="n">
        <f aca="false">A75+1</f>
        <v>74</v>
      </c>
      <c r="B76" s="1" t="n">
        <f aca="false">B75+H76*1</f>
        <v>8.9408</v>
      </c>
      <c r="C76" s="1" t="n">
        <f aca="false">B76*$K$1</f>
        <v>20.0005696</v>
      </c>
      <c r="D76" s="1" t="n">
        <v>8.64003345931093</v>
      </c>
      <c r="E76" s="1" t="n">
        <f aca="false">D76*$K$1</f>
        <v>19.3277548484786</v>
      </c>
      <c r="F76" s="0" t="n">
        <v>2</v>
      </c>
      <c r="G76" s="0" t="n">
        <f aca="false">B76*F76+5</f>
        <v>22.8816</v>
      </c>
      <c r="H76" s="3" t="n">
        <v>0</v>
      </c>
      <c r="I76" s="3" t="n">
        <v>0</v>
      </c>
      <c r="J76" s="4" t="n">
        <v>18.9306048385207</v>
      </c>
    </row>
    <row r="77" customFormat="false" ht="15" hidden="false" customHeight="false" outlineLevel="0" collapsed="false">
      <c r="A77" s="0" t="n">
        <f aca="false">A76+1</f>
        <v>75</v>
      </c>
      <c r="B77" s="1" t="n">
        <f aca="false">B76+H77*1</f>
        <v>8.9408</v>
      </c>
      <c r="C77" s="1" t="n">
        <f aca="false">B77*$K$1</f>
        <v>20.0005696</v>
      </c>
      <c r="D77" s="1" t="n">
        <v>8.43048442717756</v>
      </c>
      <c r="E77" s="1" t="n">
        <f aca="false">D77*$K$1</f>
        <v>18.8589936635962</v>
      </c>
      <c r="F77" s="0" t="n">
        <v>2</v>
      </c>
      <c r="G77" s="0" t="n">
        <f aca="false">B77*F77+5</f>
        <v>22.8816</v>
      </c>
      <c r="H77" s="3" t="n">
        <v>0</v>
      </c>
      <c r="I77" s="3" t="n">
        <v>0</v>
      </c>
      <c r="J77" s="4" t="n">
        <v>19.3454355268096</v>
      </c>
    </row>
    <row r="78" customFormat="false" ht="15" hidden="false" customHeight="false" outlineLevel="0" collapsed="false">
      <c r="A78" s="0" t="n">
        <f aca="false">A77+1</f>
        <v>76</v>
      </c>
      <c r="B78" s="1" t="n">
        <f aca="false">B77+H78*1</f>
        <v>8.9408</v>
      </c>
      <c r="C78" s="1" t="n">
        <f aca="false">B78*$K$1</f>
        <v>20.0005696</v>
      </c>
      <c r="D78" s="1" t="n">
        <v>8.33151102526592</v>
      </c>
      <c r="E78" s="1" t="n">
        <f aca="false">D78*$K$1</f>
        <v>18.6375901635199</v>
      </c>
      <c r="F78" s="0" t="n">
        <v>2</v>
      </c>
      <c r="G78" s="0" t="n">
        <f aca="false">B78*F78+5</f>
        <v>22.8816</v>
      </c>
      <c r="H78" s="3" t="n">
        <v>0</v>
      </c>
      <c r="I78" s="3" t="n">
        <v>0</v>
      </c>
      <c r="J78" s="4" t="n">
        <v>19.912024934634</v>
      </c>
    </row>
    <row r="79" customFormat="false" ht="15" hidden="false" customHeight="false" outlineLevel="0" collapsed="false">
      <c r="A79" s="0" t="n">
        <f aca="false">A78+1</f>
        <v>77</v>
      </c>
      <c r="B79" s="1" t="n">
        <f aca="false">B78+H79*1</f>
        <v>8.9408</v>
      </c>
      <c r="C79" s="1" t="n">
        <f aca="false">B79*$K$1</f>
        <v>20.0005696</v>
      </c>
      <c r="D79" s="1" t="n">
        <v>8.31478759502359</v>
      </c>
      <c r="E79" s="1" t="n">
        <f aca="false">D79*$K$1</f>
        <v>18.6001798500678</v>
      </c>
      <c r="F79" s="0" t="n">
        <v>2</v>
      </c>
      <c r="G79" s="0" t="n">
        <f aca="false">B79*F79+5</f>
        <v>22.8816</v>
      </c>
      <c r="H79" s="3" t="n">
        <v>0</v>
      </c>
      <c r="I79" s="3" t="n">
        <v>0</v>
      </c>
      <c r="J79" s="4" t="n">
        <v>20.5342305903345</v>
      </c>
    </row>
    <row r="80" customFormat="false" ht="15" hidden="false" customHeight="false" outlineLevel="0" collapsed="false">
      <c r="A80" s="0" t="n">
        <f aca="false">A79+1</f>
        <v>78</v>
      </c>
      <c r="B80" s="1" t="n">
        <f aca="false">B79+H80*1</f>
        <v>8.9408</v>
      </c>
      <c r="C80" s="1" t="n">
        <f aca="false">B80*$K$1</f>
        <v>20.0005696</v>
      </c>
      <c r="D80" s="1" t="n">
        <v>8.35460589626869</v>
      </c>
      <c r="E80" s="1" t="n">
        <f aca="false">D80*$K$1</f>
        <v>18.6892533899531</v>
      </c>
      <c r="F80" s="0" t="n">
        <v>2</v>
      </c>
      <c r="G80" s="0" t="n">
        <f aca="false">B80*F80+5</f>
        <v>22.8816</v>
      </c>
      <c r="H80" s="3" t="n">
        <v>0</v>
      </c>
      <c r="I80" s="3" t="n">
        <v>0</v>
      </c>
      <c r="J80" s="4" t="n">
        <v>21.1430199794509</v>
      </c>
    </row>
    <row r="81" customFormat="false" ht="15" hidden="false" customHeight="false" outlineLevel="0" collapsed="false">
      <c r="A81" s="0" t="n">
        <f aca="false">A80+1</f>
        <v>79</v>
      </c>
      <c r="B81" s="1" t="n">
        <f aca="false">B80+H81*1</f>
        <v>8.9408</v>
      </c>
      <c r="C81" s="1" t="n">
        <f aca="false">B81*$K$1</f>
        <v>20.0005696</v>
      </c>
      <c r="D81" s="1" t="n">
        <v>8.42910954870817</v>
      </c>
      <c r="E81" s="1" t="n">
        <f aca="false">D81*$K$1</f>
        <v>18.8559180604602</v>
      </c>
      <c r="F81" s="0" t="n">
        <v>2</v>
      </c>
      <c r="G81" s="0" t="n">
        <f aca="false">B81*F81+5</f>
        <v>22.8816</v>
      </c>
      <c r="H81" s="3" t="n">
        <v>0</v>
      </c>
      <c r="I81" s="3" t="n">
        <v>0</v>
      </c>
      <c r="J81" s="4" t="n">
        <v>21.6931756710303</v>
      </c>
    </row>
    <row r="82" customFormat="false" ht="15" hidden="false" customHeight="false" outlineLevel="0" collapsed="false">
      <c r="A82" s="0" t="n">
        <f aca="false">A81+1</f>
        <v>80</v>
      </c>
      <c r="B82" s="1" t="n">
        <f aca="false">B81+H82*1</f>
        <v>8.9408</v>
      </c>
      <c r="C82" s="1" t="n">
        <f aca="false">B82*$K$1</f>
        <v>20.0005696</v>
      </c>
      <c r="D82" s="1" t="n">
        <v>8.52080813716949</v>
      </c>
      <c r="E82" s="1" t="n">
        <f aca="false">D82*$K$1</f>
        <v>19.0610478028482</v>
      </c>
      <c r="F82" s="0" t="n">
        <v>2</v>
      </c>
      <c r="G82" s="0" t="n">
        <f aca="false">B82*F82+5</f>
        <v>22.8816</v>
      </c>
      <c r="H82" s="3" t="n">
        <v>0</v>
      </c>
      <c r="I82" s="3" t="n">
        <v>0</v>
      </c>
      <c r="J82" s="4" t="n">
        <v>22.1591433241654</v>
      </c>
    </row>
    <row r="83" customFormat="false" ht="15" hidden="false" customHeight="false" outlineLevel="0" collapsed="false">
      <c r="A83" s="0" t="n">
        <f aca="false">A82+1</f>
        <v>81</v>
      </c>
      <c r="B83" s="1" t="n">
        <f aca="false">B82+H83*1</f>
        <v>8.9408</v>
      </c>
      <c r="C83" s="1" t="n">
        <f aca="false">B83*$K$1</f>
        <v>20.0005696</v>
      </c>
      <c r="D83" s="1" t="n">
        <v>8.6165661573733</v>
      </c>
      <c r="E83" s="1" t="n">
        <f aca="false">D83*$K$1</f>
        <v>19.2752584940441</v>
      </c>
      <c r="F83" s="0" t="n">
        <v>2</v>
      </c>
      <c r="G83" s="0" t="n">
        <f aca="false">B83*F83+5</f>
        <v>22.8816</v>
      </c>
      <c r="H83" s="3" t="n">
        <v>0</v>
      </c>
      <c r="I83" s="3" t="n">
        <v>0</v>
      </c>
      <c r="J83" s="4" t="n">
        <v>22.5306431890109</v>
      </c>
    </row>
    <row r="84" customFormat="false" ht="15" hidden="false" customHeight="false" outlineLevel="0" collapsed="false">
      <c r="A84" s="0" t="n">
        <f aca="false">A83+1</f>
        <v>82</v>
      </c>
      <c r="B84" s="1" t="n">
        <f aca="false">B83+H84*1</f>
        <v>8.9408</v>
      </c>
      <c r="C84" s="1" t="n">
        <f aca="false">B84*$K$1</f>
        <v>20.0005696</v>
      </c>
      <c r="D84" s="1" t="n">
        <v>8.70724055387472</v>
      </c>
      <c r="E84" s="1" t="n">
        <f aca="false">D84*$K$1</f>
        <v>19.4780971190178</v>
      </c>
      <c r="F84" s="0" t="n">
        <v>2</v>
      </c>
      <c r="G84" s="0" t="n">
        <f aca="false">B84*F84+5</f>
        <v>22.8816</v>
      </c>
      <c r="H84" s="3" t="n">
        <v>0</v>
      </c>
      <c r="I84" s="3" t="n">
        <v>0</v>
      </c>
      <c r="J84" s="4" t="n">
        <v>22.8084807300147</v>
      </c>
    </row>
    <row r="85" customFormat="false" ht="15" hidden="false" customHeight="false" outlineLevel="0" collapsed="false">
      <c r="A85" s="0" t="n">
        <f aca="false">A84+1</f>
        <v>83</v>
      </c>
      <c r="B85" s="1" t="n">
        <f aca="false">B84+H85*1</f>
        <v>8.9408</v>
      </c>
      <c r="C85" s="1" t="n">
        <f aca="false">B85*$K$1</f>
        <v>20.0005696</v>
      </c>
      <c r="D85" s="1" t="n">
        <v>8.7871120628826</v>
      </c>
      <c r="E85" s="1" t="n">
        <f aca="false">D85*$K$1</f>
        <v>19.6567696846684</v>
      </c>
      <c r="F85" s="0" t="n">
        <v>2</v>
      </c>
      <c r="G85" s="0" t="n">
        <f aca="false">B85*F85+5</f>
        <v>22.8816</v>
      </c>
      <c r="H85" s="3" t="n">
        <v>0</v>
      </c>
      <c r="I85" s="3" t="n">
        <v>0</v>
      </c>
      <c r="J85" s="4" t="n">
        <v>23.0008323830755</v>
      </c>
    </row>
    <row r="86" customFormat="false" ht="15" hidden="false" customHeight="false" outlineLevel="0" collapsed="false">
      <c r="A86" s="0" t="n">
        <f aca="false">A85+1</f>
        <v>84</v>
      </c>
      <c r="B86" s="1" t="n">
        <f aca="false">B85+H86*1</f>
        <v>8.9408</v>
      </c>
      <c r="C86" s="1" t="n">
        <f aca="false">B86*$K$1</f>
        <v>20.0005696</v>
      </c>
      <c r="D86" s="1" t="n">
        <v>8.85322458814617</v>
      </c>
      <c r="E86" s="1" t="n">
        <f aca="false">D86*$K$1</f>
        <v>19.804663403683</v>
      </c>
      <c r="F86" s="0" t="n">
        <v>2</v>
      </c>
      <c r="G86" s="0" t="n">
        <f aca="false">B86*F86+5</f>
        <v>22.8816</v>
      </c>
      <c r="H86" s="3" t="n">
        <v>0</v>
      </c>
      <c r="I86" s="3" t="n">
        <v>0</v>
      </c>
      <c r="J86" s="4" t="n">
        <v>23.1201528755406</v>
      </c>
    </row>
    <row r="87" customFormat="false" ht="15" hidden="false" customHeight="false" outlineLevel="0" collapsed="false">
      <c r="A87" s="0" t="n">
        <f aca="false">A86+1</f>
        <v>85</v>
      </c>
      <c r="B87" s="1" t="n">
        <f aca="false">B86+H87*1</f>
        <v>8.9408</v>
      </c>
      <c r="C87" s="1" t="n">
        <f aca="false">B87*$K$1</f>
        <v>20.0005696</v>
      </c>
      <c r="D87" s="1" t="n">
        <v>8.90471673901927</v>
      </c>
      <c r="E87" s="1" t="n">
        <f aca="false">D87*$K$1</f>
        <v>19.9198513451861</v>
      </c>
      <c r="F87" s="0" t="n">
        <v>2</v>
      </c>
      <c r="G87" s="0" t="n">
        <f aca="false">B87*F87+5</f>
        <v>22.8816</v>
      </c>
      <c r="H87" s="3" t="n">
        <v>0</v>
      </c>
      <c r="I87" s="3" t="n">
        <v>0</v>
      </c>
      <c r="J87" s="4" t="n">
        <v>23.1807516678688</v>
      </c>
    </row>
    <row r="88" customFormat="false" ht="15" hidden="false" customHeight="false" outlineLevel="0" collapsed="false">
      <c r="A88" s="0" t="n">
        <f aca="false">A87+1</f>
        <v>86</v>
      </c>
      <c r="B88" s="1" t="n">
        <f aca="false">B82+H88*1</f>
        <v>10.4308</v>
      </c>
      <c r="C88" s="1" t="n">
        <f aca="false">B88*$K$1</f>
        <v>23.3336996</v>
      </c>
      <c r="D88" s="1" t="n">
        <v>9.0961692753169</v>
      </c>
      <c r="E88" s="1" t="n">
        <f aca="false">D88*$K$1</f>
        <v>20.3481306688839</v>
      </c>
      <c r="F88" s="0" t="n">
        <v>2</v>
      </c>
      <c r="G88" s="0" t="n">
        <f aca="false">B88*F88+5</f>
        <v>25.8616</v>
      </c>
      <c r="H88" s="3" t="n">
        <v>1.49</v>
      </c>
      <c r="I88" s="3" t="n">
        <v>0</v>
      </c>
      <c r="J88" s="4" t="n">
        <v>23.8923492036555</v>
      </c>
    </row>
    <row r="89" customFormat="false" ht="15" hidden="false" customHeight="false" outlineLevel="0" collapsed="false">
      <c r="A89" s="0" t="n">
        <f aca="false">A88+1</f>
        <v>87</v>
      </c>
      <c r="B89" s="1" t="n">
        <f aca="false">B88+H89*1</f>
        <v>11.9208</v>
      </c>
      <c r="C89" s="1" t="n">
        <f aca="false">B89*$K$1</f>
        <v>26.6668296</v>
      </c>
      <c r="D89" s="1" t="n">
        <v>9.58088098034659</v>
      </c>
      <c r="E89" s="1" t="n">
        <f aca="false">D89*$K$1</f>
        <v>21.4324307530353</v>
      </c>
      <c r="F89" s="0" t="n">
        <v>2</v>
      </c>
      <c r="G89" s="0" t="n">
        <f aca="false">B89*F89+5</f>
        <v>28.8416</v>
      </c>
      <c r="H89" s="3" t="n">
        <v>1.49</v>
      </c>
      <c r="I89" s="3" t="n">
        <v>0</v>
      </c>
      <c r="J89" s="4" t="n">
        <v>25.7540676251571</v>
      </c>
    </row>
    <row r="90" customFormat="false" ht="15" hidden="false" customHeight="false" outlineLevel="0" collapsed="false">
      <c r="A90" s="0" t="n">
        <f aca="false">A89+1</f>
        <v>88</v>
      </c>
      <c r="B90" s="1" t="n">
        <f aca="false">B89+H90*1</f>
        <v>13.4108</v>
      </c>
      <c r="C90" s="1" t="n">
        <f aca="false">B90*$K$1</f>
        <v>29.9999596</v>
      </c>
      <c r="D90" s="1" t="n">
        <v>10.3442877778703</v>
      </c>
      <c r="E90" s="1" t="n">
        <f aca="false">D90*$K$1</f>
        <v>23.1401717590959</v>
      </c>
      <c r="F90" s="0" t="n">
        <v>2</v>
      </c>
      <c r="G90" s="0" t="n">
        <f aca="false">B90*F90+5</f>
        <v>31.8216</v>
      </c>
      <c r="H90" s="3" t="n">
        <v>1.49</v>
      </c>
      <c r="I90" s="3" t="n">
        <v>0</v>
      </c>
      <c r="J90" s="4" t="n">
        <v>28.4785284339862</v>
      </c>
    </row>
    <row r="91" customFormat="false" ht="15" hidden="false" customHeight="false" outlineLevel="0" collapsed="false">
      <c r="A91" s="0" t="n">
        <f aca="false">A90+1</f>
        <v>89</v>
      </c>
      <c r="B91" s="1" t="n">
        <f aca="false">B90+H91*1</f>
        <v>14.9008</v>
      </c>
      <c r="C91" s="1" t="n">
        <f aca="false">B91*$K$1</f>
        <v>33.3330896</v>
      </c>
      <c r="D91" s="1" t="n">
        <v>11.3538978039522</v>
      </c>
      <c r="E91" s="1" t="n">
        <f aca="false">D91*$K$1</f>
        <v>25.3986693874411</v>
      </c>
      <c r="F91" s="0" t="n">
        <v>2</v>
      </c>
      <c r="G91" s="0" t="n">
        <f aca="false">B91*F91+5</f>
        <v>34.8016</v>
      </c>
      <c r="H91" s="3" t="n">
        <v>1.49</v>
      </c>
      <c r="I91" s="3" t="n">
        <v>0</v>
      </c>
      <c r="J91" s="4" t="n">
        <v>31.8026031017718</v>
      </c>
    </row>
    <row r="92" customFormat="false" ht="15" hidden="false" customHeight="false" outlineLevel="0" collapsed="false">
      <c r="A92" s="0" t="n">
        <f aca="false">A91+1</f>
        <v>90</v>
      </c>
      <c r="B92" s="1" t="n">
        <f aca="false">B91+H92*1</f>
        <v>16.3908</v>
      </c>
      <c r="C92" s="1" t="n">
        <f aca="false">B92*$K$1</f>
        <v>36.6662196</v>
      </c>
      <c r="D92" s="1" t="n">
        <v>12.5678411285439</v>
      </c>
      <c r="E92" s="1" t="n">
        <f aca="false">D92*$K$1</f>
        <v>28.1142606045527</v>
      </c>
      <c r="F92" s="0" t="n">
        <v>2</v>
      </c>
      <c r="G92" s="0" t="n">
        <f aca="false">B92*F92+5</f>
        <v>37.7816</v>
      </c>
      <c r="H92" s="3" t="n">
        <v>1.49</v>
      </c>
      <c r="I92" s="3" t="n">
        <v>0</v>
      </c>
      <c r="J92" s="4" t="n">
        <v>35.5008837461604</v>
      </c>
    </row>
    <row r="93" customFormat="false" ht="15" hidden="false" customHeight="false" outlineLevel="0" collapsed="false">
      <c r="A93" s="0" t="n">
        <f aca="false">A92+1</f>
        <v>91</v>
      </c>
      <c r="B93" s="1" t="n">
        <f aca="false">B92+H93*1</f>
        <v>17.8808</v>
      </c>
      <c r="C93" s="1" t="n">
        <f aca="false">B93*$K$1</f>
        <v>39.9993496</v>
      </c>
      <c r="D93" s="1" t="n">
        <v>13.9413700040978</v>
      </c>
      <c r="E93" s="1" t="n">
        <f aca="false">D93*$K$1</f>
        <v>31.1868446991668</v>
      </c>
      <c r="F93" s="0" t="n">
        <v>2</v>
      </c>
      <c r="G93" s="0" t="n">
        <f aca="false">B93*F93+5</f>
        <v>40.7616</v>
      </c>
      <c r="H93" s="3" t="n">
        <v>1.49</v>
      </c>
      <c r="I93" s="3" t="n">
        <v>0</v>
      </c>
      <c r="J93" s="4" t="n">
        <v>39.3916448030395</v>
      </c>
    </row>
    <row r="94" customFormat="false" ht="15" hidden="false" customHeight="false" outlineLevel="0" collapsed="false">
      <c r="A94" s="0" t="n">
        <f aca="false">A93+1</f>
        <v>92</v>
      </c>
      <c r="B94" s="1" t="n">
        <f aca="false">B93-H94*1</f>
        <v>17.8808</v>
      </c>
      <c r="C94" s="1" t="n">
        <f aca="false">B94*$K$1</f>
        <v>39.9993496</v>
      </c>
      <c r="D94" s="1" t="n">
        <v>15.2774875849721</v>
      </c>
      <c r="E94" s="1" t="n">
        <f aca="false">D94*$K$1</f>
        <v>34.1757397275826</v>
      </c>
      <c r="F94" s="0" t="n">
        <v>2</v>
      </c>
      <c r="G94" s="0" t="n">
        <f aca="false">B94*F94+5</f>
        <v>40.7616</v>
      </c>
      <c r="H94" s="3" t="n">
        <v>0</v>
      </c>
      <c r="I94" s="3" t="n">
        <v>0</v>
      </c>
      <c r="J94" s="4" t="n">
        <v>42.641947824922</v>
      </c>
    </row>
    <row r="95" customFormat="false" ht="15" hidden="false" customHeight="false" outlineLevel="0" collapsed="false">
      <c r="A95" s="0" t="n">
        <f aca="false">A94+1</f>
        <v>93</v>
      </c>
      <c r="B95" s="1" t="n">
        <f aca="false">B94-H95*1</f>
        <v>17.8808</v>
      </c>
      <c r="C95" s="1" t="n">
        <f aca="false">B95*$K$1</f>
        <v>39.9993496</v>
      </c>
      <c r="D95" s="1" t="n">
        <v>16.386079185911</v>
      </c>
      <c r="E95" s="1" t="n">
        <f aca="false">D95*$K$1</f>
        <v>36.6556591388829</v>
      </c>
      <c r="F95" s="0" t="n">
        <v>2</v>
      </c>
      <c r="G95" s="0" t="n">
        <f aca="false">B95*F95+5</f>
        <v>40.7616</v>
      </c>
      <c r="H95" s="3" t="n">
        <v>0</v>
      </c>
      <c r="I95" s="3" t="n">
        <v>0</v>
      </c>
      <c r="J95" s="4" t="n">
        <v>44.6691491420147</v>
      </c>
    </row>
    <row r="96" customFormat="false" ht="15" hidden="false" customHeight="false" outlineLevel="0" collapsed="false">
      <c r="A96" s="0" t="n">
        <f aca="false">A95+1</f>
        <v>94</v>
      </c>
      <c r="B96" s="1" t="n">
        <f aca="false">B95-H96*1</f>
        <v>17.8808</v>
      </c>
      <c r="C96" s="1" t="n">
        <f aca="false">B96*$K$1</f>
        <v>39.9993496</v>
      </c>
      <c r="D96" s="1" t="n">
        <v>17.2516514454562</v>
      </c>
      <c r="E96" s="1" t="n">
        <f aca="false">D96*$K$1</f>
        <v>38.5919442834855</v>
      </c>
      <c r="F96" s="0" t="n">
        <v>2</v>
      </c>
      <c r="G96" s="0" t="n">
        <f aca="false">B96*F96+5</f>
        <v>40.7616</v>
      </c>
      <c r="H96" s="3" t="n">
        <v>0</v>
      </c>
      <c r="I96" s="3" t="n">
        <v>0</v>
      </c>
      <c r="J96" s="4" t="n">
        <v>45.7105458719395</v>
      </c>
    </row>
    <row r="97" customFormat="false" ht="15" hidden="false" customHeight="false" outlineLevel="0" collapsed="false">
      <c r="A97" s="0" t="n">
        <f aca="false">A96+1</f>
        <v>95</v>
      </c>
      <c r="B97" s="1" t="n">
        <f aca="false">B96-H97*1</f>
        <v>17.8808</v>
      </c>
      <c r="C97" s="1" t="n">
        <f aca="false">B97*$K$1</f>
        <v>39.9993496</v>
      </c>
      <c r="D97" s="1" t="n">
        <v>17.8836232967857</v>
      </c>
      <c r="E97" s="1" t="n">
        <f aca="false">D97*$K$1</f>
        <v>40.0056653149096</v>
      </c>
      <c r="F97" s="0" t="n">
        <v>2</v>
      </c>
      <c r="G97" s="0" t="n">
        <f aca="false">B97*F97+5</f>
        <v>40.7616</v>
      </c>
      <c r="H97" s="3" t="n">
        <v>0</v>
      </c>
      <c r="I97" s="3" t="n">
        <v>0</v>
      </c>
      <c r="J97" s="4" t="n">
        <v>46.0057018800027</v>
      </c>
    </row>
    <row r="98" customFormat="false" ht="15" hidden="false" customHeight="false" outlineLevel="0" collapsed="false">
      <c r="A98" s="0" t="n">
        <f aca="false">A97+1</f>
        <v>96</v>
      </c>
      <c r="B98" s="1" t="n">
        <f aca="false">B97-H98*1</f>
        <v>17.8808</v>
      </c>
      <c r="C98" s="1" t="n">
        <f aca="false">B98*$K$1</f>
        <v>39.9993496</v>
      </c>
      <c r="D98" s="1" t="n">
        <v>18.3073584580467</v>
      </c>
      <c r="E98" s="1" t="n">
        <f aca="false">D98*$K$1</f>
        <v>40.9535608706505</v>
      </c>
      <c r="F98" s="0" t="n">
        <v>2</v>
      </c>
      <c r="G98" s="0" t="n">
        <f aca="false">B98*F98+5</f>
        <v>40.7616</v>
      </c>
      <c r="H98" s="3" t="n">
        <v>0</v>
      </c>
      <c r="I98" s="3" t="n">
        <v>0</v>
      </c>
      <c r="J98" s="4" t="n">
        <v>45.7761705948061</v>
      </c>
    </row>
    <row r="99" customFormat="false" ht="15" hidden="false" customHeight="false" outlineLevel="0" collapsed="false">
      <c r="A99" s="0" t="n">
        <f aca="false">A98+1</f>
        <v>97</v>
      </c>
      <c r="B99" s="1" t="n">
        <f aca="false">B98-H99*1</f>
        <v>17.8808</v>
      </c>
      <c r="C99" s="1" t="n">
        <f aca="false">B99*$K$1</f>
        <v>39.9993496</v>
      </c>
      <c r="D99" s="1" t="n">
        <v>18.5568495359701</v>
      </c>
      <c r="E99" s="1" t="n">
        <f aca="false">D99*$K$1</f>
        <v>41.5116724119651</v>
      </c>
      <c r="F99" s="0" t="n">
        <v>2</v>
      </c>
      <c r="G99" s="0" t="n">
        <f aca="false">B99*F99+5</f>
        <v>40.7616</v>
      </c>
      <c r="H99" s="3" t="n">
        <v>0</v>
      </c>
      <c r="I99" s="3" t="n">
        <v>0</v>
      </c>
      <c r="J99" s="4" t="n">
        <v>45.2133601846799</v>
      </c>
    </row>
    <row r="100" customFormat="false" ht="15" hidden="false" customHeight="false" outlineLevel="0" collapsed="false">
      <c r="A100" s="0" t="n">
        <f aca="false">A99+1</f>
        <v>98</v>
      </c>
      <c r="B100" s="1" t="n">
        <f aca="false">B99-H100*1</f>
        <v>17.8808</v>
      </c>
      <c r="C100" s="1" t="n">
        <f aca="false">B100*$K$1</f>
        <v>39.9993496</v>
      </c>
      <c r="D100" s="1" t="n">
        <v>18.6691065813828</v>
      </c>
      <c r="E100" s="1" t="n">
        <f aca="false">D100*$K$1</f>
        <v>41.7627914225533</v>
      </c>
      <c r="F100" s="0" t="n">
        <v>2</v>
      </c>
      <c r="G100" s="0" t="n">
        <f aca="false">B100*F100+5</f>
        <v>40.7616</v>
      </c>
      <c r="H100" s="3" t="n">
        <v>0</v>
      </c>
      <c r="I100" s="3" t="n">
        <v>0</v>
      </c>
      <c r="J100" s="4" t="n">
        <v>44.4728504525413</v>
      </c>
    </row>
    <row r="101" customFormat="false" ht="15" hidden="false" customHeight="false" outlineLevel="0" collapsed="false">
      <c r="A101" s="0" t="n">
        <f aca="false">A100+1</f>
        <v>99</v>
      </c>
      <c r="B101" s="1" t="n">
        <f aca="false">B100-H101*1</f>
        <v>17.8808</v>
      </c>
      <c r="C101" s="1" t="n">
        <f aca="false">B101*$K$1</f>
        <v>39.9993496</v>
      </c>
      <c r="D101" s="1" t="n">
        <v>18.6801465838107</v>
      </c>
      <c r="E101" s="1" t="n">
        <f aca="false">D101*$K$1</f>
        <v>41.7874879079845</v>
      </c>
      <c r="F101" s="0" t="n">
        <v>2</v>
      </c>
      <c r="G101" s="0" t="n">
        <f aca="false">B101*F101+5</f>
        <v>40.7616</v>
      </c>
      <c r="H101" s="3" t="n">
        <v>0</v>
      </c>
      <c r="I101" s="3" t="n">
        <v>0</v>
      </c>
      <c r="J101" s="4" t="n">
        <v>43.6735012686777</v>
      </c>
    </row>
    <row r="102" customFormat="false" ht="15" hidden="false" customHeight="false" outlineLevel="0" collapsed="false">
      <c r="A102" s="0" t="n">
        <f aca="false">A101+1</f>
        <v>100</v>
      </c>
      <c r="B102" s="1" t="n">
        <f aca="false">B101-H102*1</f>
        <v>17.8808</v>
      </c>
      <c r="C102" s="1" t="n">
        <f aca="false">B102*$K$1</f>
        <v>39.9993496</v>
      </c>
      <c r="D102" s="1" t="n">
        <v>18.6223839414538</v>
      </c>
      <c r="E102" s="1" t="n">
        <f aca="false">D102*$K$1</f>
        <v>41.6582728770322</v>
      </c>
      <c r="F102" s="0" t="n">
        <v>2</v>
      </c>
      <c r="G102" s="0" t="n">
        <f aca="false">B102*F102+5</f>
        <v>40.7616</v>
      </c>
      <c r="H102" s="3" t="n">
        <v>0</v>
      </c>
      <c r="I102" s="3" t="n">
        <v>0</v>
      </c>
      <c r="J102" s="4" t="n">
        <v>42.8998481474816</v>
      </c>
    </row>
    <row r="103" customFormat="false" ht="15" hidden="false" customHeight="false" outlineLevel="0" collapsed="false">
      <c r="A103" s="0" t="n">
        <f aca="false">A102+1</f>
        <v>101</v>
      </c>
      <c r="B103" s="1" t="n">
        <f aca="false">B102-H103*1</f>
        <v>17.8808</v>
      </c>
      <c r="C103" s="1" t="n">
        <f aca="false">B103*$K$1</f>
        <v>39.9993496</v>
      </c>
      <c r="D103" s="1" t="n">
        <v>18.5231735402391</v>
      </c>
      <c r="E103" s="1" t="n">
        <f aca="false">D103*$K$1</f>
        <v>41.4363392095149</v>
      </c>
      <c r="F103" s="0" t="n">
        <v>2</v>
      </c>
      <c r="G103" s="0" t="n">
        <f aca="false">B103*F103+5</f>
        <v>40.7616</v>
      </c>
      <c r="H103" s="3" t="n">
        <v>0</v>
      </c>
      <c r="I103" s="3" t="n">
        <v>0</v>
      </c>
      <c r="J103" s="4" t="n">
        <v>42.2065077351797</v>
      </c>
    </row>
    <row r="104" customFormat="false" ht="15" hidden="false" customHeight="false" outlineLevel="0" collapsed="false">
      <c r="A104" s="0" t="n">
        <f aca="false">A103+1</f>
        <v>102</v>
      </c>
      <c r="B104" s="1" t="n">
        <f aca="false">B103-H104*1</f>
        <v>17.8808</v>
      </c>
      <c r="C104" s="1" t="n">
        <f aca="false">B104*$K$1</f>
        <v>39.9993496</v>
      </c>
      <c r="D104" s="1" t="n">
        <v>18.4042458530075</v>
      </c>
      <c r="E104" s="1" t="n">
        <f aca="false">D104*$K$1</f>
        <v>41.1702979731778</v>
      </c>
      <c r="F104" s="0" t="n">
        <v>2</v>
      </c>
      <c r="G104" s="0" t="n">
        <f aca="false">B104*F104+5</f>
        <v>40.7616</v>
      </c>
      <c r="H104" s="3" t="n">
        <v>0</v>
      </c>
      <c r="I104" s="3" t="n">
        <v>0</v>
      </c>
      <c r="J104" s="4" t="n">
        <v>41.6235724990615</v>
      </c>
    </row>
    <row r="105" customFormat="false" ht="15" hidden="false" customHeight="false" outlineLevel="0" collapsed="false">
      <c r="A105" s="0" t="n">
        <f aca="false">A104+1</f>
        <v>103</v>
      </c>
      <c r="B105" s="1" t="n">
        <f aca="false">B104-H105*1</f>
        <v>17.8808</v>
      </c>
      <c r="C105" s="1" t="n">
        <f aca="false">B105*$K$1</f>
        <v>39.9993496</v>
      </c>
      <c r="D105" s="1" t="n">
        <v>18.2817865154267</v>
      </c>
      <c r="E105" s="1" t="n">
        <f aca="false">D105*$K$1</f>
        <v>40.8963564350095</v>
      </c>
      <c r="F105" s="0" t="n">
        <v>2</v>
      </c>
      <c r="G105" s="0" t="n">
        <f aca="false">B105*F105+5</f>
        <v>40.7616</v>
      </c>
      <c r="H105" s="3" t="n">
        <v>0</v>
      </c>
      <c r="I105" s="3" t="n">
        <v>0</v>
      </c>
      <c r="J105" s="4" t="n">
        <v>41.1622292164993</v>
      </c>
    </row>
    <row r="106" customFormat="false" ht="15" hidden="false" customHeight="false" outlineLevel="0" collapsed="false">
      <c r="A106" s="0" t="n">
        <f aca="false">A105+1</f>
        <v>104</v>
      </c>
      <c r="B106" s="1" t="n">
        <f aca="false">B105-H106*1</f>
        <v>17.8808</v>
      </c>
      <c r="C106" s="1" t="n">
        <f aca="false">B106*$K$1</f>
        <v>39.9993496</v>
      </c>
      <c r="D106" s="1" t="n">
        <v>18.1669417686297</v>
      </c>
      <c r="E106" s="1" t="n">
        <f aca="false">D106*$K$1</f>
        <v>40.6394487364246</v>
      </c>
      <c r="F106" s="0" t="n">
        <v>2</v>
      </c>
      <c r="G106" s="0" t="n">
        <f aca="false">B106*F106+5</f>
        <v>40.7616</v>
      </c>
      <c r="H106" s="3" t="n">
        <v>0</v>
      </c>
      <c r="I106" s="3" t="n">
        <v>0</v>
      </c>
      <c r="J106" s="4" t="n">
        <v>40.820069539622</v>
      </c>
    </row>
    <row r="107" customFormat="false" ht="15" hidden="false" customHeight="false" outlineLevel="0" collapsed="false">
      <c r="A107" s="0" t="n">
        <f aca="false">A106+1</f>
        <v>105</v>
      </c>
      <c r="B107" s="1" t="n">
        <f aca="false">B101-H107*1</f>
        <v>16.3908</v>
      </c>
      <c r="C107" s="1" t="n">
        <f aca="false">B107*$K$1</f>
        <v>36.6662196</v>
      </c>
      <c r="D107" s="1" t="n">
        <v>17.9126017249958</v>
      </c>
      <c r="E107" s="1" t="n">
        <f aca="false">D107*$K$1</f>
        <v>40.0704900588156</v>
      </c>
      <c r="F107" s="0" t="n">
        <v>2</v>
      </c>
      <c r="G107" s="0" t="n">
        <f aca="false">B107*F107+5</f>
        <v>37.7816</v>
      </c>
      <c r="H107" s="3" t="n">
        <v>1.49</v>
      </c>
      <c r="I107" s="3" t="n">
        <v>0</v>
      </c>
      <c r="J107" s="4" t="n">
        <v>39.8904276936482</v>
      </c>
    </row>
    <row r="108" customFormat="false" ht="15" hidden="false" customHeight="false" outlineLevel="0" collapsed="false">
      <c r="A108" s="0" t="n">
        <f aca="false">A107+1</f>
        <v>106</v>
      </c>
      <c r="B108" s="1" t="n">
        <f aca="false">B107-H108*1</f>
        <v>14.9008</v>
      </c>
      <c r="C108" s="1" t="n">
        <f aca="false">B108*$K$1</f>
        <v>33.3330896</v>
      </c>
      <c r="D108" s="1" t="n">
        <v>17.3704416011995</v>
      </c>
      <c r="E108" s="1" t="n">
        <f aca="false">D108*$K$1</f>
        <v>38.8576778618833</v>
      </c>
      <c r="F108" s="0" t="n">
        <v>2</v>
      </c>
      <c r="G108" s="0" t="n">
        <f aca="false">B108*F108+5</f>
        <v>34.8016</v>
      </c>
      <c r="H108" s="3" t="n">
        <v>1.49</v>
      </c>
      <c r="I108" s="3" t="n">
        <v>0</v>
      </c>
      <c r="J108" s="4" t="n">
        <v>37.8710524296769</v>
      </c>
    </row>
    <row r="109" customFormat="false" ht="15" hidden="false" customHeight="false" outlineLevel="0" collapsed="false">
      <c r="A109" s="0" t="n">
        <f aca="false">A108+1</f>
        <v>107</v>
      </c>
      <c r="B109" s="1" t="n">
        <f aca="false">B108-H109*1</f>
        <v>13.4108</v>
      </c>
      <c r="C109" s="1" t="n">
        <f aca="false">B109*$K$1</f>
        <v>29.9999596</v>
      </c>
      <c r="D109" s="1" t="n">
        <v>16.5579188998294</v>
      </c>
      <c r="E109" s="1" t="n">
        <f aca="false">D109*$K$1</f>
        <v>37.0400645789184</v>
      </c>
      <c r="F109" s="0" t="n">
        <v>2</v>
      </c>
      <c r="G109" s="0" t="n">
        <f aca="false">B109*F109+5</f>
        <v>31.8216</v>
      </c>
      <c r="H109" s="3" t="n">
        <v>1.49</v>
      </c>
      <c r="I109" s="3" t="n">
        <v>0</v>
      </c>
      <c r="J109" s="4" t="n">
        <v>35.0422997940859</v>
      </c>
    </row>
    <row r="110" customFormat="false" ht="15" hidden="false" customHeight="false" outlineLevel="0" collapsed="false">
      <c r="A110" s="0" t="n">
        <f aca="false">A109+1</f>
        <v>108</v>
      </c>
      <c r="B110" s="1" t="n">
        <f aca="false">B109-H110*1</f>
        <v>11.9208</v>
      </c>
      <c r="C110" s="1" t="n">
        <f aca="false">B110*$K$1</f>
        <v>26.6668296</v>
      </c>
      <c r="D110" s="1" t="n">
        <v>15.508787240613</v>
      </c>
      <c r="E110" s="1" t="n">
        <f aca="false">D110*$K$1</f>
        <v>34.6931570572513</v>
      </c>
      <c r="F110" s="0" t="n">
        <v>2</v>
      </c>
      <c r="G110" s="0" t="n">
        <f aca="false">B110*F110+5</f>
        <v>28.8416</v>
      </c>
      <c r="H110" s="3" t="n">
        <v>1.49</v>
      </c>
      <c r="I110" s="3" t="n">
        <v>0</v>
      </c>
      <c r="J110" s="4" t="n">
        <v>31.6582364941471</v>
      </c>
    </row>
    <row r="111" customFormat="false" ht="15" hidden="false" customHeight="false" outlineLevel="0" collapsed="false">
      <c r="A111" s="0" t="n">
        <f aca="false">A110+1</f>
        <v>109</v>
      </c>
      <c r="B111" s="1" t="n">
        <f aca="false">B110-H111*1</f>
        <v>10.4308</v>
      </c>
      <c r="C111" s="1" t="n">
        <f aca="false">B111*$K$1</f>
        <v>23.3336996</v>
      </c>
      <c r="D111" s="1" t="n">
        <v>14.2649808169204</v>
      </c>
      <c r="E111" s="1" t="n">
        <f aca="false">D111*$K$1</f>
        <v>31.9107620874509</v>
      </c>
      <c r="F111" s="0" t="n">
        <v>2</v>
      </c>
      <c r="G111" s="0" t="n">
        <f aca="false">B111*F111+5</f>
        <v>25.8616</v>
      </c>
      <c r="H111" s="3" t="n">
        <v>1.49</v>
      </c>
      <c r="I111" s="3" t="n">
        <v>0</v>
      </c>
      <c r="J111" s="4" t="n">
        <v>27.9345792478375</v>
      </c>
    </row>
    <row r="112" customFormat="false" ht="15" hidden="false" customHeight="false" outlineLevel="0" collapsed="false">
      <c r="A112" s="0" t="n">
        <f aca="false">A111+1</f>
        <v>110</v>
      </c>
      <c r="B112" s="1" t="n">
        <f aca="false">B111-H112*1</f>
        <v>8.9408</v>
      </c>
      <c r="C112" s="1" t="n">
        <f aca="false">B112*$K$1</f>
        <v>20.0005696</v>
      </c>
      <c r="D112" s="1" t="n">
        <v>12.8705030492465</v>
      </c>
      <c r="E112" s="1" t="n">
        <f aca="false">D112*$K$1</f>
        <v>28.7913153211644</v>
      </c>
      <c r="F112" s="0" t="n">
        <v>2</v>
      </c>
      <c r="G112" s="0" t="n">
        <f aca="false">B112*F112+5</f>
        <v>22.8816</v>
      </c>
      <c r="H112" s="3" t="n">
        <v>1.49</v>
      </c>
      <c r="I112" s="3" t="n">
        <v>0</v>
      </c>
      <c r="J112" s="4" t="n">
        <v>24.0437303520589</v>
      </c>
    </row>
    <row r="113" customFormat="false" ht="15" hidden="false" customHeight="false" outlineLevel="0" collapsed="false">
      <c r="A113" s="0" t="n">
        <f aca="false">A112+1</f>
        <v>111</v>
      </c>
      <c r="B113" s="1" t="n">
        <f aca="false">B112-H113*1</f>
        <v>8.9408</v>
      </c>
      <c r="C113" s="1" t="n">
        <f aca="false">B113*$K$1</f>
        <v>20.0005696</v>
      </c>
      <c r="D113" s="1" t="n">
        <v>11.5211246876734</v>
      </c>
      <c r="E113" s="1" t="n">
        <f aca="false">D113*$K$1</f>
        <v>25.7727559263254</v>
      </c>
      <c r="F113" s="0" t="n">
        <v>2</v>
      </c>
      <c r="G113" s="0" t="n">
        <f aca="false">B113*F113+5</f>
        <v>22.8816</v>
      </c>
      <c r="H113" s="3" t="n">
        <v>0</v>
      </c>
      <c r="I113" s="3" t="n">
        <v>0</v>
      </c>
      <c r="J113" s="4" t="n">
        <v>20.8103119002467</v>
      </c>
    </row>
    <row r="114" customFormat="false" ht="15" hidden="false" customHeight="false" outlineLevel="0" collapsed="false">
      <c r="A114" s="0" t="n">
        <f aca="false">A113+1</f>
        <v>112</v>
      </c>
      <c r="B114" s="1" t="n">
        <f aca="false">B113-H114*1</f>
        <v>8.9408</v>
      </c>
      <c r="C114" s="1" t="n">
        <f aca="false">B114*$K$1</f>
        <v>20.0005696</v>
      </c>
      <c r="D114" s="1" t="n">
        <v>10.405511082988</v>
      </c>
      <c r="E114" s="1" t="n">
        <f aca="false">D114*$K$1</f>
        <v>23.2771282926442</v>
      </c>
      <c r="F114" s="0" t="n">
        <v>2</v>
      </c>
      <c r="G114" s="0" t="n">
        <f aca="false">B114*F114+5</f>
        <v>22.8816</v>
      </c>
      <c r="H114" s="3" t="n">
        <v>0</v>
      </c>
      <c r="I114" s="3" t="n">
        <v>0</v>
      </c>
      <c r="J114" s="4" t="n">
        <v>18.8100047208873</v>
      </c>
    </row>
    <row r="115" customFormat="false" ht="15" hidden="false" customHeight="false" outlineLevel="0" collapsed="false">
      <c r="A115" s="0" t="n">
        <f aca="false">A114+1</f>
        <v>113</v>
      </c>
      <c r="B115" s="1" t="n">
        <f aca="false">B114-H115*1</f>
        <v>8.9408</v>
      </c>
      <c r="C115" s="1" t="n">
        <f aca="false">B115*$K$1</f>
        <v>20.0005696</v>
      </c>
      <c r="D115" s="1" t="n">
        <v>9.53767466089561</v>
      </c>
      <c r="E115" s="1" t="n">
        <f aca="false">D115*$K$1</f>
        <v>21.3357782164235</v>
      </c>
      <c r="F115" s="0" t="n">
        <v>2</v>
      </c>
      <c r="G115" s="0" t="n">
        <f aca="false">B115*F115+5</f>
        <v>22.8816</v>
      </c>
      <c r="H115" s="3" t="n">
        <v>0</v>
      </c>
      <c r="I115" s="3" t="n">
        <v>0</v>
      </c>
      <c r="J115" s="4" t="n">
        <v>17.8000245390954</v>
      </c>
    </row>
    <row r="116" customFormat="false" ht="15" hidden="false" customHeight="false" outlineLevel="0" collapsed="false">
      <c r="A116" s="0" t="n">
        <f aca="false">A115+1</f>
        <v>114</v>
      </c>
      <c r="B116" s="1" t="n">
        <f aca="false">B115-H116*1</f>
        <v>8.9408</v>
      </c>
      <c r="C116" s="1" t="n">
        <f aca="false">B116*$K$1</f>
        <v>20.0005696</v>
      </c>
      <c r="D116" s="1" t="n">
        <v>8.90681508979335</v>
      </c>
      <c r="E116" s="1" t="n">
        <f aca="false">D116*$K$1</f>
        <v>19.9245453558677</v>
      </c>
      <c r="F116" s="0" t="n">
        <v>2</v>
      </c>
      <c r="G116" s="0" t="n">
        <f aca="false">B116*F116+5</f>
        <v>22.8816</v>
      </c>
      <c r="H116" s="3" t="n">
        <v>0</v>
      </c>
      <c r="I116" s="3" t="n">
        <v>0</v>
      </c>
      <c r="J116" s="4" t="n">
        <v>17.5367576670758</v>
      </c>
    </row>
    <row r="117" customFormat="false" ht="15" hidden="false" customHeight="false" outlineLevel="0" collapsed="false">
      <c r="A117" s="0" t="n">
        <f aca="false">A116+1</f>
        <v>115</v>
      </c>
      <c r="B117" s="1" t="n">
        <f aca="false">B116-H117*1</f>
        <v>8.9408</v>
      </c>
      <c r="C117" s="1" t="n">
        <f aca="false">B117*$K$1</f>
        <v>20.0005696</v>
      </c>
      <c r="D117" s="1" t="n">
        <v>8.48636665117573</v>
      </c>
      <c r="E117" s="1" t="n">
        <f aca="false">D117*$K$1</f>
        <v>18.9840021986801</v>
      </c>
      <c r="F117" s="0" t="n">
        <v>2</v>
      </c>
      <c r="G117" s="0" t="n">
        <f aca="false">B117*F117+5</f>
        <v>22.8816</v>
      </c>
      <c r="H117" s="3" t="n">
        <v>0</v>
      </c>
      <c r="I117" s="3" t="n">
        <v>0</v>
      </c>
      <c r="J117" s="4" t="n">
        <v>17.7958952787699</v>
      </c>
    </row>
    <row r="118" customFormat="false" ht="15" hidden="false" customHeight="false" outlineLevel="0" collapsed="false">
      <c r="A118" s="0" t="n">
        <f aca="false">A117+1</f>
        <v>116</v>
      </c>
      <c r="B118" s="1" t="n">
        <f aca="false">B117-H118*1</f>
        <v>8.9408</v>
      </c>
      <c r="C118" s="1" t="n">
        <f aca="false">B118*$K$1</f>
        <v>20.0005696</v>
      </c>
      <c r="D118" s="1" t="n">
        <v>8.24135308555754</v>
      </c>
      <c r="E118" s="1" t="n">
        <f aca="false">D118*$K$1</f>
        <v>18.4359068523922</v>
      </c>
      <c r="F118" s="0" t="n">
        <v>2</v>
      </c>
      <c r="G118" s="0" t="n">
        <f aca="false">B118*F118+5</f>
        <v>22.8816</v>
      </c>
      <c r="H118" s="3" t="n">
        <v>0</v>
      </c>
      <c r="I118" s="3" t="n">
        <v>0</v>
      </c>
      <c r="J118" s="4" t="n">
        <v>18.3843668292375</v>
      </c>
    </row>
    <row r="119" customFormat="false" ht="15" hidden="false" customHeight="false" outlineLevel="0" collapsed="false">
      <c r="A119" s="0" t="n">
        <f aca="false">A118+1</f>
        <v>117</v>
      </c>
      <c r="B119" s="1" t="n">
        <f aca="false">B118-H119*1</f>
        <v>8.9408</v>
      </c>
      <c r="C119" s="1" t="n">
        <f aca="false">B119*$K$1</f>
        <v>20.0005696</v>
      </c>
      <c r="D119" s="1" t="n">
        <v>8.13400736529764</v>
      </c>
      <c r="E119" s="1" t="n">
        <f aca="false">D119*$K$1</f>
        <v>18.1957744761708</v>
      </c>
      <c r="F119" s="0" t="n">
        <v>2</v>
      </c>
      <c r="G119" s="0" t="n">
        <f aca="false">B119*F119+5</f>
        <v>22.8816</v>
      </c>
      <c r="H119" s="3" t="n">
        <v>0</v>
      </c>
      <c r="I119" s="3" t="n">
        <v>0</v>
      </c>
      <c r="J119" s="4" t="n">
        <v>19.1457989340024</v>
      </c>
    </row>
    <row r="120" customFormat="false" ht="15" hidden="false" customHeight="false" outlineLevel="0" collapsed="false">
      <c r="A120" s="0" t="n">
        <f aca="false">A119+1</f>
        <v>118</v>
      </c>
      <c r="B120" s="1" t="n">
        <f aca="false">B119-H120*1</f>
        <v>8.9408</v>
      </c>
      <c r="C120" s="1" t="n">
        <f aca="false">B120*$K$1</f>
        <v>20.0005696</v>
      </c>
      <c r="D120" s="1" t="n">
        <v>8.12776930676584</v>
      </c>
      <c r="E120" s="1" t="n">
        <f aca="false">D120*$K$1</f>
        <v>18.1818199392352</v>
      </c>
      <c r="F120" s="0" t="n">
        <v>2</v>
      </c>
      <c r="G120" s="0" t="n">
        <f aca="false">B120*F120+5</f>
        <v>22.8816</v>
      </c>
      <c r="H120" s="3" t="n">
        <v>0</v>
      </c>
      <c r="I120" s="3" t="n">
        <v>0</v>
      </c>
      <c r="J120" s="4" t="n">
        <v>19.9611856809713</v>
      </c>
    </row>
    <row r="121" customFormat="false" ht="15" hidden="false" customHeight="false" outlineLevel="0" collapsed="false">
      <c r="A121" s="0" t="n">
        <f aca="false">A120+1</f>
        <v>119</v>
      </c>
      <c r="B121" s="1" t="n">
        <f aca="false">B120-H121*1</f>
        <v>8.9408</v>
      </c>
      <c r="C121" s="1" t="n">
        <f aca="false">B121*$K$1</f>
        <v>20.0005696</v>
      </c>
      <c r="D121" s="1" t="n">
        <v>8.18986902157253</v>
      </c>
      <c r="E121" s="1" t="n">
        <f aca="false">D121*$K$1</f>
        <v>18.3207370012578</v>
      </c>
      <c r="F121" s="0" t="n">
        <v>2</v>
      </c>
      <c r="G121" s="0" t="n">
        <f aca="false">B121*F121+5</f>
        <v>22.8816</v>
      </c>
      <c r="H121" s="3" t="n">
        <v>0</v>
      </c>
      <c r="I121" s="3" t="n">
        <v>0</v>
      </c>
      <c r="J121" s="4" t="n">
        <v>20.746291829649</v>
      </c>
    </row>
    <row r="122" customFormat="false" ht="15" hidden="false" customHeight="false" outlineLevel="0" collapsed="false">
      <c r="A122" s="0" t="n">
        <f aca="false">A121+1</f>
        <v>120</v>
      </c>
      <c r="B122" s="1" t="n">
        <f aca="false">B121-H122*1</f>
        <v>8.9408</v>
      </c>
      <c r="C122" s="1" t="n">
        <f aca="false">B122*$K$1</f>
        <v>20.0005696</v>
      </c>
      <c r="D122" s="1" t="n">
        <v>8.29275103918312</v>
      </c>
      <c r="E122" s="1" t="n">
        <f aca="false">D122*$K$1</f>
        <v>18.5508840746526</v>
      </c>
      <c r="F122" s="0" t="n">
        <v>2</v>
      </c>
      <c r="G122" s="0" t="n">
        <f aca="false">B122*F122+5</f>
        <v>22.8816</v>
      </c>
      <c r="H122" s="3" t="n">
        <v>0</v>
      </c>
      <c r="I122" s="3" t="n">
        <v>0</v>
      </c>
      <c r="J122" s="4" t="n">
        <v>21.4470759428905</v>
      </c>
    </row>
    <row r="123" customFormat="false" ht="15" hidden="false" customHeight="false" outlineLevel="0" collapsed="false">
      <c r="A123" s="0" t="n">
        <f aca="false">A122+1</f>
        <v>121</v>
      </c>
      <c r="B123" s="1" t="n">
        <f aca="false">B122-H123*1</f>
        <v>8.9408</v>
      </c>
      <c r="C123" s="1" t="n">
        <f aca="false">B123*$K$1</f>
        <v>20.0005696</v>
      </c>
      <c r="D123" s="1" t="n">
        <v>8.41460457549732</v>
      </c>
      <c r="E123" s="1" t="n">
        <f aca="false">D123*$K$1</f>
        <v>18.8234704353875</v>
      </c>
      <c r="F123" s="0" t="n">
        <v>2</v>
      </c>
      <c r="G123" s="0" t="n">
        <f aca="false">B123*F123+5</f>
        <v>22.8816</v>
      </c>
      <c r="H123" s="3" t="n">
        <v>0</v>
      </c>
      <c r="I123" s="3" t="n">
        <v>0</v>
      </c>
      <c r="J123" s="4" t="n">
        <v>22.0341583102936</v>
      </c>
    </row>
    <row r="124" customFormat="false" ht="15" hidden="false" customHeight="false" outlineLevel="0" collapsed="false">
      <c r="A124" s="0" t="n">
        <f aca="false">A123+1</f>
        <v>122</v>
      </c>
      <c r="B124" s="1" t="n">
        <f aca="false">B123-H124*1</f>
        <v>8.9408</v>
      </c>
      <c r="C124" s="1" t="n">
        <f aca="false">B124*$K$1</f>
        <v>20.0005696</v>
      </c>
      <c r="D124" s="1" t="n">
        <v>8.53925091789842</v>
      </c>
      <c r="E124" s="1" t="n">
        <f aca="false">D124*$K$1</f>
        <v>19.1023043033388</v>
      </c>
      <c r="F124" s="0" t="n">
        <v>2</v>
      </c>
      <c r="G124" s="0" t="n">
        <f aca="false">B124*F124+5</f>
        <v>22.8816</v>
      </c>
      <c r="H124" s="3" t="n">
        <v>0</v>
      </c>
      <c r="I124" s="3" t="n">
        <v>0</v>
      </c>
      <c r="J124" s="4" t="n">
        <v>22.4970990773616</v>
      </c>
    </row>
    <row r="125" customFormat="false" ht="15" hidden="false" customHeight="false" outlineLevel="0" collapsed="false">
      <c r="A125" s="0" t="n">
        <f aca="false">A124+1</f>
        <v>123</v>
      </c>
      <c r="B125" s="1" t="n">
        <f aca="false">B124-H125*1</f>
        <v>8.9408</v>
      </c>
      <c r="C125" s="1" t="n">
        <f aca="false">B125*$K$1</f>
        <v>20.0005696</v>
      </c>
      <c r="D125" s="1" t="n">
        <v>8.65560870599002</v>
      </c>
      <c r="E125" s="1" t="n">
        <f aca="false">D125*$K$1</f>
        <v>19.3625966752997</v>
      </c>
      <c r="F125" s="0" t="n">
        <v>2</v>
      </c>
      <c r="G125" s="0" t="n">
        <f aca="false">B125*F125+5</f>
        <v>22.8816</v>
      </c>
      <c r="H125" s="3" t="n">
        <v>0</v>
      </c>
      <c r="I125" s="3" t="n">
        <v>0</v>
      </c>
      <c r="J125" s="4" t="n">
        <v>22.8390155405116</v>
      </c>
    </row>
    <row r="126" customFormat="false" ht="15" hidden="false" customHeight="false" outlineLevel="0" collapsed="false">
      <c r="A126" s="0" t="n">
        <f aca="false">A125+1</f>
        <v>124</v>
      </c>
      <c r="B126" s="1" t="n">
        <f aca="false">B120+H126*1</f>
        <v>10.9408</v>
      </c>
      <c r="C126" s="1" t="n">
        <f aca="false">B126*$K$1</f>
        <v>24.4745696</v>
      </c>
      <c r="D126" s="1" t="n">
        <v>8.96358630010445</v>
      </c>
      <c r="E126" s="1" t="n">
        <f aca="false">D126*$K$1</f>
        <v>20.0515425533337</v>
      </c>
      <c r="F126" s="0" t="n">
        <v>2</v>
      </c>
      <c r="G126" s="0" t="n">
        <f aca="false">B126*F126+5</f>
        <v>26.8816</v>
      </c>
      <c r="H126" s="3" t="n">
        <v>2</v>
      </c>
      <c r="I126" s="3" t="n">
        <v>0</v>
      </c>
      <c r="J126" s="4" t="n">
        <v>24.0051991485709</v>
      </c>
    </row>
    <row r="127" customFormat="false" ht="15" hidden="false" customHeight="false" outlineLevel="0" collapsed="false">
      <c r="A127" s="0" t="n">
        <f aca="false">A126+1</f>
        <v>125</v>
      </c>
      <c r="B127" s="1" t="n">
        <f aca="false">B126+H127*1</f>
        <v>12.9408</v>
      </c>
      <c r="C127" s="1" t="n">
        <f aca="false">B127*$K$1</f>
        <v>28.9485696</v>
      </c>
      <c r="D127" s="1" t="n">
        <v>9.66356099690032</v>
      </c>
      <c r="E127" s="1" t="n">
        <f aca="false">D127*$K$1</f>
        <v>21.617385950066</v>
      </c>
      <c r="F127" s="0" t="n">
        <v>2</v>
      </c>
      <c r="G127" s="0" t="n">
        <f aca="false">B127*F127+5</f>
        <v>30.8816</v>
      </c>
      <c r="H127" s="3" t="n">
        <v>2</v>
      </c>
      <c r="I127" s="3" t="n">
        <v>0</v>
      </c>
      <c r="J127" s="4" t="n">
        <v>26.6647196157151</v>
      </c>
    </row>
    <row r="128" customFormat="false" ht="15" hidden="false" customHeight="false" outlineLevel="0" collapsed="false">
      <c r="A128" s="0" t="n">
        <f aca="false">A127+1</f>
        <v>126</v>
      </c>
      <c r="B128" s="1" t="n">
        <f aca="false">B127+H128*1</f>
        <v>14.9408</v>
      </c>
      <c r="C128" s="1" t="n">
        <f aca="false">B128*$K$1</f>
        <v>33.4225696</v>
      </c>
      <c r="D128" s="1" t="n">
        <v>10.7324994795785</v>
      </c>
      <c r="E128" s="1" t="n">
        <f aca="false">D128*$K$1</f>
        <v>24.0086013358171</v>
      </c>
      <c r="F128" s="0" t="n">
        <v>2</v>
      </c>
      <c r="G128" s="0" t="n">
        <f aca="false">B128*F128+5</f>
        <v>34.8816</v>
      </c>
      <c r="H128" s="3" t="n">
        <v>2</v>
      </c>
      <c r="I128" s="3" t="n">
        <v>0</v>
      </c>
      <c r="J128" s="4" t="n">
        <v>30.4353480248783</v>
      </c>
    </row>
    <row r="129" customFormat="false" ht="15" hidden="false" customHeight="false" outlineLevel="0" collapsed="false">
      <c r="A129" s="0" t="n">
        <f aca="false">A128+1</f>
        <v>127</v>
      </c>
      <c r="B129" s="1" t="n">
        <f aca="false">B128+H129*1</f>
        <v>16.9408</v>
      </c>
      <c r="C129" s="1" t="n">
        <f aca="false">B129*$K$1</f>
        <v>37.8965696</v>
      </c>
      <c r="D129" s="1" t="n">
        <v>12.1248687940951</v>
      </c>
      <c r="E129" s="1" t="n">
        <f aca="false">D129*$K$1</f>
        <v>27.1233314923907</v>
      </c>
      <c r="F129" s="0" t="n">
        <v>2</v>
      </c>
      <c r="G129" s="0" t="n">
        <f aca="false">B129*F129+5</f>
        <v>38.8816</v>
      </c>
      <c r="H129" s="3" t="n">
        <v>2</v>
      </c>
      <c r="I129" s="3" t="n">
        <v>0</v>
      </c>
      <c r="J129" s="4" t="n">
        <v>34.9700756986751</v>
      </c>
    </row>
    <row r="130" customFormat="false" ht="15" hidden="false" customHeight="false" outlineLevel="0" collapsed="false">
      <c r="A130" s="0" t="n">
        <f aca="false">A129+1</f>
        <v>128</v>
      </c>
      <c r="B130" s="1" t="n">
        <f aca="false">B129+H130*1</f>
        <v>18.9408</v>
      </c>
      <c r="C130" s="1" t="n">
        <f aca="false">B130*$K$1</f>
        <v>42.3705696</v>
      </c>
      <c r="D130" s="1" t="n">
        <v>13.7837540553235</v>
      </c>
      <c r="E130" s="1" t="n">
        <f aca="false">D130*$K$1</f>
        <v>30.8342578217587</v>
      </c>
      <c r="F130" s="0" t="n">
        <v>2</v>
      </c>
      <c r="G130" s="0" t="n">
        <f aca="false">B130*F130+5</f>
        <v>42.8816</v>
      </c>
      <c r="H130" s="3" t="n">
        <v>2</v>
      </c>
      <c r="I130" s="3" t="n">
        <v>0</v>
      </c>
      <c r="J130" s="4" t="n">
        <v>39.9738126951822</v>
      </c>
    </row>
    <row r="131" customFormat="false" ht="15" hidden="false" customHeight="false" outlineLevel="0" collapsed="false">
      <c r="A131" s="0" t="n">
        <f aca="false">A130+1</f>
        <v>129</v>
      </c>
      <c r="B131" s="1" t="n">
        <f aca="false">B130+H131*1</f>
        <v>18.9408</v>
      </c>
      <c r="C131" s="1" t="n">
        <f aca="false">B131*$K$1</f>
        <v>42.3705696</v>
      </c>
      <c r="D131" s="1" t="n">
        <v>15.4425781606444</v>
      </c>
      <c r="E131" s="1" t="n">
        <f aca="false">D131*$K$1</f>
        <v>34.5450473453615</v>
      </c>
      <c r="F131" s="0" t="n">
        <v>2</v>
      </c>
      <c r="G131" s="0" t="n">
        <f aca="false">B131*F131+5</f>
        <v>42.8816</v>
      </c>
      <c r="H131" s="3" t="n">
        <v>0</v>
      </c>
      <c r="I131" s="3" t="n">
        <v>0</v>
      </c>
      <c r="J131" s="4" t="n">
        <v>44.2770240269124</v>
      </c>
    </row>
    <row r="132" customFormat="false" ht="15" hidden="false" customHeight="false" outlineLevel="0" collapsed="false">
      <c r="A132" s="0" t="n">
        <f aca="false">A131+1</f>
        <v>130</v>
      </c>
      <c r="B132" s="1" t="n">
        <f aca="false">B131+H132*1</f>
        <v>18.9408</v>
      </c>
      <c r="C132" s="1" t="n">
        <f aca="false">B132*$K$1</f>
        <v>42.3705696</v>
      </c>
      <c r="D132" s="1" t="n">
        <v>16.8406209958143</v>
      </c>
      <c r="E132" s="1" t="n">
        <f aca="false">D132*$K$1</f>
        <v>37.6724691676366</v>
      </c>
      <c r="F132" s="0" t="n">
        <v>2</v>
      </c>
      <c r="G132" s="0" t="n">
        <f aca="false">B132*F132+5</f>
        <v>42.8816</v>
      </c>
      <c r="H132" s="3" t="n">
        <v>0</v>
      </c>
      <c r="I132" s="3" t="n">
        <v>0</v>
      </c>
      <c r="J132" s="4" t="n">
        <v>47.0501153422908</v>
      </c>
    </row>
    <row r="133" customFormat="false" ht="15" hidden="false" customHeight="false" outlineLevel="0" collapsed="false">
      <c r="A133" s="0" t="n">
        <f aca="false">A132+1</f>
        <v>131</v>
      </c>
      <c r="B133" s="1" t="n">
        <f aca="false">B132+H133*1</f>
        <v>18.9408</v>
      </c>
      <c r="C133" s="1" t="n">
        <f aca="false">B133*$K$1</f>
        <v>42.3705696</v>
      </c>
      <c r="D133" s="1" t="n">
        <v>17.9497364927441</v>
      </c>
      <c r="E133" s="1" t="n">
        <f aca="false">D133*$K$1</f>
        <v>40.1535605342686</v>
      </c>
      <c r="F133" s="0" t="n">
        <v>2</v>
      </c>
      <c r="G133" s="0" t="n">
        <f aca="false">B133*F133+5</f>
        <v>42.8816</v>
      </c>
      <c r="H133" s="3" t="n">
        <v>0</v>
      </c>
      <c r="I133" s="3" t="n">
        <v>0</v>
      </c>
      <c r="J133" s="4" t="n">
        <v>48.5706246708487</v>
      </c>
    </row>
    <row r="134" customFormat="false" ht="15" hidden="false" customHeight="false" outlineLevel="0" collapsed="false">
      <c r="A134" s="0" t="n">
        <f aca="false">A133+1</f>
        <v>132</v>
      </c>
      <c r="B134" s="1" t="n">
        <f aca="false">B133+H134*1</f>
        <v>18.9408</v>
      </c>
      <c r="C134" s="1" t="n">
        <f aca="false">B134*$K$1</f>
        <v>42.3705696</v>
      </c>
      <c r="D134" s="1" t="n">
        <v>18.7745981527481</v>
      </c>
      <c r="E134" s="1" t="n">
        <f aca="false">D134*$K$1</f>
        <v>41.9987760676975</v>
      </c>
      <c r="F134" s="0" t="n">
        <v>2</v>
      </c>
      <c r="G134" s="0" t="n">
        <f aca="false">B134*F134+5</f>
        <v>42.8816</v>
      </c>
      <c r="H134" s="3" t="n">
        <v>0</v>
      </c>
      <c r="I134" s="3" t="n">
        <v>0</v>
      </c>
      <c r="J134" s="4" t="n">
        <v>49.1268617093226</v>
      </c>
    </row>
    <row r="135" customFormat="false" ht="15" hidden="false" customHeight="false" outlineLevel="0" collapsed="false">
      <c r="A135" s="0" t="n">
        <f aca="false">A134+1</f>
        <v>133</v>
      </c>
      <c r="B135" s="1" t="n">
        <f aca="false">B134+H135*1</f>
        <v>18.9408</v>
      </c>
      <c r="C135" s="1" t="n">
        <f aca="false">B135*$K$1</f>
        <v>42.3705696</v>
      </c>
      <c r="D135" s="1" t="n">
        <v>19.3415158297605</v>
      </c>
      <c r="E135" s="1" t="n">
        <f aca="false">D135*$K$1</f>
        <v>43.2669709111742</v>
      </c>
      <c r="F135" s="0" t="n">
        <v>2</v>
      </c>
      <c r="G135" s="0" t="n">
        <f aca="false">B135*F135+5</f>
        <v>42.8816</v>
      </c>
      <c r="H135" s="3" t="n">
        <v>0</v>
      </c>
      <c r="I135" s="3" t="n">
        <v>0</v>
      </c>
      <c r="J135" s="4" t="n">
        <v>48.9908571981928</v>
      </c>
    </row>
    <row r="136" customFormat="false" ht="15" hidden="false" customHeight="false" outlineLevel="0" collapsed="false">
      <c r="A136" s="0" t="n">
        <f aca="false">A135+1</f>
        <v>134</v>
      </c>
      <c r="B136" s="1" t="n">
        <f aca="false">B135+H136*1</f>
        <v>18.9408</v>
      </c>
      <c r="C136" s="1" t="n">
        <f aca="false">B136*$K$1</f>
        <v>42.3705696</v>
      </c>
      <c r="D136" s="1" t="n">
        <v>19.6891693813487</v>
      </c>
      <c r="E136" s="1" t="n">
        <f aca="false">D136*$K$1</f>
        <v>44.0446719060771</v>
      </c>
      <c r="F136" s="0" t="n">
        <v>2</v>
      </c>
      <c r="G136" s="0" t="n">
        <f aca="false">B136*F136+5</f>
        <v>42.8816</v>
      </c>
      <c r="H136" s="3" t="n">
        <v>0</v>
      </c>
      <c r="I136" s="3" t="n">
        <v>0</v>
      </c>
      <c r="J136" s="4" t="n">
        <v>48.4015428974985</v>
      </c>
    </row>
    <row r="137" customFormat="false" ht="15" hidden="false" customHeight="false" outlineLevel="0" collapsed="false">
      <c r="A137" s="0" t="n">
        <f aca="false">A136+1</f>
        <v>135</v>
      </c>
      <c r="B137" s="1" t="n">
        <f aca="false">B136+H137*1</f>
        <v>18.9408</v>
      </c>
      <c r="C137" s="1" t="n">
        <f aca="false">B137*$K$1</f>
        <v>42.3705696</v>
      </c>
      <c r="D137" s="1" t="n">
        <v>19.8613837366307</v>
      </c>
      <c r="E137" s="1" t="n">
        <f aca="false">D137*$K$1</f>
        <v>44.4299154188429</v>
      </c>
      <c r="F137" s="0" t="n">
        <v>2</v>
      </c>
      <c r="G137" s="0" t="n">
        <f aca="false">B137*F137+5</f>
        <v>42.8816</v>
      </c>
      <c r="H137" s="3" t="n">
        <v>0</v>
      </c>
      <c r="I137" s="3" t="n">
        <v>0</v>
      </c>
      <c r="J137" s="4" t="n">
        <v>47.5561661730478</v>
      </c>
    </row>
    <row r="138" customFormat="false" ht="15" hidden="false" customHeight="false" outlineLevel="0" collapsed="false">
      <c r="A138" s="0" t="n">
        <f aca="false">A137+1</f>
        <v>136</v>
      </c>
      <c r="B138" s="1" t="n">
        <f aca="false">B137+H138*1</f>
        <v>18.9408</v>
      </c>
      <c r="C138" s="1" t="n">
        <f aca="false">B138*$K$1</f>
        <v>42.3705696</v>
      </c>
      <c r="D138" s="1" t="n">
        <v>19.9018625040585</v>
      </c>
      <c r="E138" s="1" t="n">
        <f aca="false">D138*$K$1</f>
        <v>44.5204664215789</v>
      </c>
      <c r="F138" s="0" t="n">
        <v>2</v>
      </c>
      <c r="G138" s="0" t="n">
        <f aca="false">B138*F138+5</f>
        <v>42.8816</v>
      </c>
      <c r="H138" s="3" t="n">
        <v>0</v>
      </c>
      <c r="I138" s="3" t="n">
        <v>0</v>
      </c>
      <c r="J138" s="4" t="n">
        <v>46.6079288122116</v>
      </c>
    </row>
    <row r="139" customFormat="false" ht="15" hidden="false" customHeight="false" outlineLevel="0" collapsed="false">
      <c r="A139" s="0" t="n">
        <f aca="false">A138+1</f>
        <v>137</v>
      </c>
      <c r="B139" s="1" t="n">
        <f aca="false">B138+H139*1</f>
        <v>18.9408</v>
      </c>
      <c r="C139" s="1" t="n">
        <f aca="false">B139*$K$1</f>
        <v>42.3705696</v>
      </c>
      <c r="D139" s="1" t="n">
        <v>19.8506648446902</v>
      </c>
      <c r="E139" s="1" t="n">
        <f aca="false">D139*$K$1</f>
        <v>44.405937257572</v>
      </c>
      <c r="F139" s="0" t="n">
        <v>2</v>
      </c>
      <c r="G139" s="0" t="n">
        <f aca="false">B139*F139+5</f>
        <v>42.8816</v>
      </c>
      <c r="H139" s="3" t="n">
        <v>0</v>
      </c>
      <c r="I139" s="3" t="n">
        <v>0</v>
      </c>
      <c r="J139" s="4" t="n">
        <v>45.6679939353951</v>
      </c>
    </row>
    <row r="140" customFormat="false" ht="15" hidden="false" customHeight="false" outlineLevel="0" collapsed="false">
      <c r="A140" s="0" t="n">
        <f aca="false">A139+1</f>
        <v>138</v>
      </c>
      <c r="B140" s="1" t="n">
        <f aca="false">B139+H140*1</f>
        <v>18.9408</v>
      </c>
      <c r="C140" s="1" t="n">
        <f aca="false">B140*$K$1</f>
        <v>42.3705696</v>
      </c>
      <c r="D140" s="1" t="n">
        <v>19.7421390671743</v>
      </c>
      <c r="E140" s="1" t="n">
        <f aca="false">D140*$K$1</f>
        <v>44.1631650932689</v>
      </c>
      <c r="F140" s="0" t="n">
        <v>2</v>
      </c>
      <c r="G140" s="0" t="n">
        <f aca="false">B140*F140+5</f>
        <v>42.8816</v>
      </c>
      <c r="H140" s="3" t="n">
        <v>0</v>
      </c>
      <c r="I140" s="3" t="n">
        <v>0</v>
      </c>
      <c r="J140" s="4" t="n">
        <v>44.8102596739957</v>
      </c>
    </row>
    <row r="141" customFormat="false" ht="15" hidden="false" customHeight="false" outlineLevel="0" collapsed="false">
      <c r="A141" s="0" t="n">
        <f aca="false">A140+1</f>
        <v>139</v>
      </c>
      <c r="B141" s="1" t="n">
        <f aca="false">B140+H141*1</f>
        <v>18.9408</v>
      </c>
      <c r="C141" s="1" t="n">
        <f aca="false">B141*$K$1</f>
        <v>42.3705696</v>
      </c>
      <c r="D141" s="1" t="n">
        <v>19.6040019500926</v>
      </c>
      <c r="E141" s="1" t="n">
        <f aca="false">D141*$K$1</f>
        <v>43.8541523623571</v>
      </c>
      <c r="F141" s="0" t="n">
        <v>2</v>
      </c>
      <c r="G141" s="0" t="n">
        <f aca="false">B141*F141+5</f>
        <v>42.8816</v>
      </c>
      <c r="H141" s="3" t="n">
        <v>0</v>
      </c>
      <c r="I141" s="3" t="n">
        <v>0</v>
      </c>
      <c r="J141" s="4" t="n">
        <v>44.0775997770447</v>
      </c>
    </row>
    <row r="142" customFormat="false" ht="15" hidden="false" customHeight="false" outlineLevel="0" collapsed="false">
      <c r="A142" s="0" t="n">
        <f aca="false">A141+1</f>
        <v>140</v>
      </c>
      <c r="B142" s="1" t="n">
        <f aca="false">B141+H142*1</f>
        <v>18.9408</v>
      </c>
      <c r="C142" s="1" t="n">
        <f aca="false">B142*$K$1</f>
        <v>42.3705696</v>
      </c>
      <c r="D142" s="1" t="n">
        <v>19.4572617490325</v>
      </c>
      <c r="E142" s="1" t="n">
        <f aca="false">D142*$K$1</f>
        <v>43.5258945325857</v>
      </c>
      <c r="F142" s="0" t="n">
        <v>2</v>
      </c>
      <c r="G142" s="0" t="n">
        <f aca="false">B142*F142+5</f>
        <v>42.8816</v>
      </c>
      <c r="H142" s="3" t="n">
        <v>0</v>
      </c>
      <c r="I142" s="3" t="n">
        <v>0</v>
      </c>
      <c r="J142" s="4" t="n">
        <v>43.4885795404646</v>
      </c>
    </row>
    <row r="143" customFormat="false" ht="15" hidden="false" customHeight="false" outlineLevel="0" collapsed="false">
      <c r="A143" s="0" t="n">
        <f aca="false">A142+1</f>
        <v>141</v>
      </c>
      <c r="B143" s="1" t="n">
        <f aca="false">B142+H143*1</f>
        <v>18.9408</v>
      </c>
      <c r="C143" s="1" t="n">
        <f aca="false">B143*$K$1</f>
        <v>42.3705696</v>
      </c>
      <c r="D143" s="1" t="n">
        <v>19.3167134759989</v>
      </c>
      <c r="E143" s="1" t="n">
        <f aca="false">D143*$K$1</f>
        <v>43.2114880458095</v>
      </c>
      <c r="F143" s="0" t="n">
        <v>2</v>
      </c>
      <c r="G143" s="0" t="n">
        <f aca="false">B143*F143+5</f>
        <v>42.8816</v>
      </c>
      <c r="H143" s="3" t="n">
        <v>0</v>
      </c>
      <c r="I143" s="3" t="n">
        <v>0</v>
      </c>
      <c r="J143" s="4" t="n">
        <v>43.0439430769948</v>
      </c>
    </row>
    <row r="144" customFormat="false" ht="15" hidden="false" customHeight="false" outlineLevel="0" collapsed="false">
      <c r="A144" s="0" t="n">
        <f aca="false">A143+1</f>
        <v>142</v>
      </c>
      <c r="B144" s="1" t="n">
        <f aca="false">B138-H144*1</f>
        <v>16.9408</v>
      </c>
      <c r="C144" s="1" t="n">
        <f aca="false">B144*$K$1</f>
        <v>37.8965696</v>
      </c>
      <c r="D144" s="1" t="n">
        <v>18.9851110483852</v>
      </c>
      <c r="E144" s="1" t="n">
        <f aca="false">D144*$K$1</f>
        <v>42.4696934152377</v>
      </c>
      <c r="F144" s="0" t="n">
        <v>2</v>
      </c>
      <c r="G144" s="0" t="n">
        <f aca="false">B144*F144+5</f>
        <v>38.8816</v>
      </c>
      <c r="H144" s="3" t="n">
        <v>2</v>
      </c>
      <c r="I144" s="3" t="n">
        <v>0</v>
      </c>
      <c r="J144" s="4" t="n">
        <v>41.7990849614328</v>
      </c>
    </row>
    <row r="145" customFormat="false" ht="15" hidden="false" customHeight="false" outlineLevel="0" collapsed="false">
      <c r="A145" s="0" t="n">
        <f aca="false">A144+1</f>
        <v>143</v>
      </c>
      <c r="B145" s="1" t="n">
        <f aca="false">B144-H145*1</f>
        <v>14.9408</v>
      </c>
      <c r="C145" s="1" t="n">
        <f aca="false">B145*$K$1</f>
        <v>33.4225696</v>
      </c>
      <c r="D145" s="1" t="n">
        <v>18.2638170718211</v>
      </c>
      <c r="E145" s="1" t="n">
        <f aca="false">D145*$K$1</f>
        <v>40.8561587896638</v>
      </c>
      <c r="F145" s="0" t="n">
        <v>2</v>
      </c>
      <c r="G145" s="0" t="n">
        <f aca="false">B145*F145+5</f>
        <v>34.8816</v>
      </c>
      <c r="H145" s="3" t="n">
        <v>2</v>
      </c>
      <c r="I145" s="3" t="n">
        <v>0</v>
      </c>
      <c r="J145" s="4" t="n">
        <v>39.0834353305788</v>
      </c>
    </row>
    <row r="146" customFormat="false" ht="15" hidden="false" customHeight="false" outlineLevel="0" collapsed="false">
      <c r="A146" s="0" t="n">
        <f aca="false">A145+1</f>
        <v>144</v>
      </c>
      <c r="B146" s="1" t="n">
        <f aca="false">B145-H146*1</f>
        <v>12.9408</v>
      </c>
      <c r="C146" s="1" t="n">
        <f aca="false">B146*$K$1</f>
        <v>28.9485696</v>
      </c>
      <c r="D146" s="1" t="n">
        <v>17.1768441292157</v>
      </c>
      <c r="E146" s="1" t="n">
        <f aca="false">D146*$K$1</f>
        <v>38.4246003170555</v>
      </c>
      <c r="F146" s="0" t="n">
        <v>2</v>
      </c>
      <c r="G146" s="0" t="n">
        <f aca="false">B146*F146+5</f>
        <v>30.8816</v>
      </c>
      <c r="H146" s="3" t="n">
        <v>2</v>
      </c>
      <c r="I146" s="3" t="n">
        <v>0</v>
      </c>
      <c r="J146" s="4" t="n">
        <v>35.2763786380788</v>
      </c>
    </row>
    <row r="147" customFormat="false" ht="15" hidden="false" customHeight="false" outlineLevel="0" collapsed="false">
      <c r="A147" s="0" t="n">
        <f aca="false">A146+1</f>
        <v>145</v>
      </c>
      <c r="B147" s="1" t="n">
        <f aca="false">B146-H147*1</f>
        <v>10.9408</v>
      </c>
      <c r="C147" s="1" t="n">
        <f aca="false">B147*$K$1</f>
        <v>24.4745696</v>
      </c>
      <c r="D147" s="1" t="n">
        <v>15.7701143221015</v>
      </c>
      <c r="E147" s="1" t="n">
        <f aca="false">D147*$K$1</f>
        <v>35.2777457385411</v>
      </c>
      <c r="F147" s="0" t="n">
        <v>2</v>
      </c>
      <c r="G147" s="0" t="n">
        <f aca="false">B147*F147+5</f>
        <v>26.8816</v>
      </c>
      <c r="H147" s="3" t="n">
        <v>2</v>
      </c>
      <c r="I147" s="3" t="n">
        <v>0</v>
      </c>
      <c r="J147" s="4" t="n">
        <v>30.7214091524306</v>
      </c>
    </row>
    <row r="148" customFormat="false" ht="15" hidden="false" customHeight="false" outlineLevel="0" collapsed="false">
      <c r="A148" s="0" t="n">
        <f aca="false">A147+1</f>
        <v>146</v>
      </c>
      <c r="B148" s="1" t="n">
        <f aca="false">B147-H148*1</f>
        <v>8.9408</v>
      </c>
      <c r="C148" s="1" t="n">
        <f aca="false">B148*$K$1</f>
        <v>20.0005696</v>
      </c>
      <c r="D148" s="1" t="n">
        <v>14.1005040691298</v>
      </c>
      <c r="E148" s="1" t="n">
        <f aca="false">D148*$K$1</f>
        <v>31.5428276026434</v>
      </c>
      <c r="F148" s="0" t="n">
        <v>2</v>
      </c>
      <c r="G148" s="0" t="n">
        <f aca="false">B148*F148+5</f>
        <v>22.8816</v>
      </c>
      <c r="H148" s="3" t="n">
        <v>2</v>
      </c>
      <c r="I148" s="3" t="n">
        <v>0</v>
      </c>
      <c r="J148" s="4" t="n">
        <v>25.7099394882564</v>
      </c>
    </row>
    <row r="149" customFormat="false" ht="15" hidden="false" customHeight="false" outlineLevel="0" collapsed="false">
      <c r="A149" s="0" t="n">
        <f aca="false">A148+1</f>
        <v>147</v>
      </c>
      <c r="B149" s="1" t="n">
        <f aca="false">B148-H149*1</f>
        <v>8.9408</v>
      </c>
      <c r="C149" s="1" t="n">
        <f aca="false">B149*$K$1</f>
        <v>20.0005696</v>
      </c>
      <c r="D149" s="1" t="n">
        <v>12.4342682729515</v>
      </c>
      <c r="E149" s="1" t="n">
        <f aca="false">D149*$K$1</f>
        <v>27.8154581265925</v>
      </c>
      <c r="F149" s="0" t="n">
        <v>2</v>
      </c>
      <c r="G149" s="0" t="n">
        <f aca="false">B149*F149+5</f>
        <v>22.8816</v>
      </c>
      <c r="H149" s="3" t="n">
        <v>0</v>
      </c>
      <c r="I149" s="3" t="n">
        <v>0</v>
      </c>
      <c r="J149" s="4" t="n">
        <v>21.408017814437</v>
      </c>
    </row>
    <row r="150" customFormat="false" ht="15" hidden="false" customHeight="false" outlineLevel="0" collapsed="false">
      <c r="A150" s="0" t="n">
        <f aca="false">A149+1</f>
        <v>148</v>
      </c>
      <c r="B150" s="1" t="n">
        <f aca="false">B149-H150*1</f>
        <v>8.9408</v>
      </c>
      <c r="C150" s="1" t="n">
        <f aca="false">B150*$K$1</f>
        <v>20.0005696</v>
      </c>
      <c r="D150" s="1" t="n">
        <v>11.0316407703234</v>
      </c>
      <c r="E150" s="1" t="n">
        <f aca="false">D150*$K$1</f>
        <v>24.6777804032134</v>
      </c>
      <c r="F150" s="0" t="n">
        <v>2</v>
      </c>
      <c r="G150" s="0" t="n">
        <f aca="false">B150*F150+5</f>
        <v>22.8816</v>
      </c>
      <c r="H150" s="3" t="n">
        <v>0</v>
      </c>
      <c r="I150" s="3" t="n">
        <v>0</v>
      </c>
      <c r="J150" s="4" t="n">
        <v>18.6421637413873</v>
      </c>
    </row>
    <row r="151" customFormat="false" ht="15" hidden="false" customHeight="false" outlineLevel="0" collapsed="false">
      <c r="A151" s="0" t="n">
        <f aca="false">A150+1</f>
        <v>149</v>
      </c>
      <c r="B151" s="1" t="n">
        <f aca="false">B150-H151*1</f>
        <v>8.9408</v>
      </c>
      <c r="C151" s="1" t="n">
        <f aca="false">B151*$K$1</f>
        <v>20.0005696</v>
      </c>
      <c r="D151" s="1" t="n">
        <v>9.92021092374363</v>
      </c>
      <c r="E151" s="1" t="n">
        <f aca="false">D151*$K$1</f>
        <v>22.1915118364145</v>
      </c>
      <c r="F151" s="0" t="n">
        <v>2</v>
      </c>
      <c r="G151" s="0" t="n">
        <f aca="false">B151*F151+5</f>
        <v>22.8816</v>
      </c>
      <c r="H151" s="3" t="n">
        <v>0</v>
      </c>
      <c r="I151" s="3" t="n">
        <v>0</v>
      </c>
      <c r="J151" s="4" t="n">
        <v>17.1322916219654</v>
      </c>
    </row>
    <row r="152" customFormat="false" ht="15" hidden="false" customHeight="false" outlineLevel="0" collapsed="false">
      <c r="A152" s="0" t="n">
        <f aca="false">A151+1</f>
        <v>150</v>
      </c>
      <c r="B152" s="1" t="n">
        <f aca="false">B151-H152*1</f>
        <v>8.9408</v>
      </c>
      <c r="C152" s="1" t="n">
        <f aca="false">B152*$K$1</f>
        <v>20.0005696</v>
      </c>
      <c r="D152" s="1" t="n">
        <v>9.094746665801</v>
      </c>
      <c r="E152" s="1" t="n">
        <f aca="false">D152*$K$1</f>
        <v>20.3449482913968</v>
      </c>
      <c r="F152" s="0" t="n">
        <v>2</v>
      </c>
      <c r="G152" s="0" t="n">
        <f aca="false">B152*F152+5</f>
        <v>22.8816</v>
      </c>
      <c r="H152" s="3" t="n">
        <v>0</v>
      </c>
      <c r="I152" s="3" t="n">
        <v>0</v>
      </c>
      <c r="J152" s="4" t="n">
        <v>16.5881054701147</v>
      </c>
    </row>
    <row r="153" customFormat="false" ht="15" hidden="false" customHeight="false" outlineLevel="0" collapsed="false">
      <c r="A153" s="0" t="n">
        <f aca="false">A152+1</f>
        <v>151</v>
      </c>
      <c r="B153" s="1" t="n">
        <f aca="false">B152-H153*1</f>
        <v>8.9408</v>
      </c>
      <c r="C153" s="1" t="n">
        <f aca="false">B153*$K$1</f>
        <v>20.0005696</v>
      </c>
      <c r="D153" s="1" t="n">
        <v>8.52842386697605</v>
      </c>
      <c r="E153" s="1" t="n">
        <f aca="false">D153*$K$1</f>
        <v>19.0780841904254</v>
      </c>
      <c r="F153" s="0" t="n">
        <v>2</v>
      </c>
      <c r="G153" s="0" t="n">
        <f aca="false">B153*F153+5</f>
        <v>22.8816</v>
      </c>
      <c r="H153" s="3" t="n">
        <v>0</v>
      </c>
      <c r="I153" s="3" t="n">
        <v>0</v>
      </c>
      <c r="J153" s="4" t="n">
        <v>16.736126767111</v>
      </c>
    </row>
    <row r="154" customFormat="false" ht="15" hidden="false" customHeight="false" outlineLevel="0" collapsed="false">
      <c r="A154" s="0" t="n">
        <f aca="false">A153+1</f>
        <v>152</v>
      </c>
      <c r="B154" s="1" t="n">
        <f aca="false">B153-H154*1</f>
        <v>8.9408</v>
      </c>
      <c r="C154" s="1" t="n">
        <f aca="false">B154*$K$1</f>
        <v>20.0005696</v>
      </c>
      <c r="D154" s="1" t="n">
        <v>8.18212003464284</v>
      </c>
      <c r="E154" s="1" t="n">
        <f aca="false">D154*$K$1</f>
        <v>18.303402517496</v>
      </c>
      <c r="F154" s="0" t="n">
        <v>2</v>
      </c>
      <c r="G154" s="0" t="n">
        <f aca="false">B154*F154+5</f>
        <v>22.8816</v>
      </c>
      <c r="H154" s="3" t="n">
        <v>0</v>
      </c>
      <c r="I154" s="3" t="n">
        <v>0</v>
      </c>
      <c r="J154" s="4" t="n">
        <v>17.3364552749524</v>
      </c>
    </row>
    <row r="155" customFormat="false" ht="15" hidden="false" customHeight="false" outlineLevel="0" collapsed="false">
      <c r="A155" s="0" t="n">
        <f aca="false">A154+1</f>
        <v>153</v>
      </c>
      <c r="B155" s="1" t="n">
        <f aca="false">B154-H155*1</f>
        <v>8.9408</v>
      </c>
      <c r="C155" s="1" t="n">
        <f aca="false">B155*$K$1</f>
        <v>20.0005696</v>
      </c>
      <c r="D155" s="1" t="n">
        <v>8.01165175252185</v>
      </c>
      <c r="E155" s="1" t="n">
        <f aca="false">D155*$K$1</f>
        <v>17.9220649703914</v>
      </c>
      <c r="F155" s="0" t="n">
        <v>2</v>
      </c>
      <c r="G155" s="0" t="n">
        <f aca="false">B155*F155+5</f>
        <v>22.8816</v>
      </c>
      <c r="H155" s="3" t="n">
        <v>0</v>
      </c>
      <c r="I155" s="3" t="n">
        <v>0</v>
      </c>
      <c r="J155" s="4" t="n">
        <v>18.1912756516438</v>
      </c>
    </row>
    <row r="156" customFormat="false" ht="15" hidden="false" customHeight="false" outlineLevel="0" collapsed="false">
      <c r="A156" s="0" t="n">
        <f aca="false">A155+1</f>
        <v>154</v>
      </c>
      <c r="B156" s="1" t="n">
        <f aca="false">B155-H156*1</f>
        <v>8.9408</v>
      </c>
      <c r="C156" s="1" t="n">
        <f aca="false">B156*$K$1</f>
        <v>20.0005696</v>
      </c>
      <c r="D156" s="1" t="n">
        <v>7.97304260321197</v>
      </c>
      <c r="E156" s="1" t="n">
        <f aca="false">D156*$K$1</f>
        <v>17.8356963033852</v>
      </c>
      <c r="F156" s="0" t="n">
        <v>2</v>
      </c>
      <c r="G156" s="0" t="n">
        <f aca="false">B156*F156+5</f>
        <v>22.8816</v>
      </c>
      <c r="H156" s="3" t="n">
        <v>0</v>
      </c>
      <c r="I156" s="3" t="n">
        <v>0</v>
      </c>
      <c r="J156" s="4" t="n">
        <v>19.1471331205298</v>
      </c>
    </row>
    <row r="157" customFormat="false" ht="15" hidden="false" customHeight="false" outlineLevel="0" collapsed="false">
      <c r="A157" s="0" t="n">
        <f aca="false">A156+1</f>
        <v>155</v>
      </c>
      <c r="B157" s="1" t="n">
        <f aca="false">B156-H157*1</f>
        <v>8.9408</v>
      </c>
      <c r="C157" s="1" t="n">
        <f aca="false">B157*$K$1</f>
        <v>20.0005696</v>
      </c>
      <c r="D157" s="1" t="n">
        <v>8.02604033639502</v>
      </c>
      <c r="E157" s="1" t="n">
        <f aca="false">D157*$K$1</f>
        <v>17.9542522325157</v>
      </c>
      <c r="F157" s="0" t="n">
        <v>2</v>
      </c>
      <c r="G157" s="0" t="n">
        <f aca="false">B157*F157+5</f>
        <v>22.8816</v>
      </c>
      <c r="H157" s="3" t="n">
        <v>0</v>
      </c>
      <c r="I157" s="3" t="n">
        <v>0</v>
      </c>
      <c r="J157" s="4" t="n">
        <v>20.0928435100386</v>
      </c>
    </row>
    <row r="158" customFormat="false" ht="15" hidden="false" customHeight="false" outlineLevel="0" collapsed="false">
      <c r="A158" s="0" t="n">
        <f aca="false">A157+1</f>
        <v>156</v>
      </c>
      <c r="B158" s="1" t="n">
        <f aca="false">B157-H158*1</f>
        <v>8.9408</v>
      </c>
      <c r="C158" s="1" t="n">
        <f aca="false">B158*$K$1</f>
        <v>20.0005696</v>
      </c>
      <c r="D158" s="1" t="n">
        <v>8.13617277713904</v>
      </c>
      <c r="E158" s="1" t="n">
        <f aca="false">D158*$K$1</f>
        <v>18.20061850246</v>
      </c>
      <c r="F158" s="0" t="n">
        <v>2</v>
      </c>
      <c r="G158" s="0" t="n">
        <f aca="false">B158*F158+5</f>
        <v>22.8816</v>
      </c>
      <c r="H158" s="3" t="n">
        <v>0</v>
      </c>
      <c r="I158" s="3" t="n">
        <v>0</v>
      </c>
      <c r="J158" s="4" t="n">
        <v>20.9546449521238</v>
      </c>
    </row>
    <row r="159" customFormat="false" ht="15" hidden="false" customHeight="false" outlineLevel="0" collapsed="false">
      <c r="A159" s="0" t="n">
        <f aca="false">A158+1</f>
        <v>157</v>
      </c>
      <c r="B159" s="1" t="n">
        <f aca="false">B158-H159*1</f>
        <v>8.9408</v>
      </c>
      <c r="C159" s="1" t="n">
        <f aca="false">B159*$K$1</f>
        <v>20.0005696</v>
      </c>
      <c r="D159" s="1" t="n">
        <v>8.27565581812532</v>
      </c>
      <c r="E159" s="1" t="n">
        <f aca="false">D159*$K$1</f>
        <v>18.5126420651463</v>
      </c>
      <c r="F159" s="0" t="n">
        <v>2</v>
      </c>
      <c r="G159" s="0" t="n">
        <f aca="false">B159*F159+5</f>
        <v>22.8816</v>
      </c>
      <c r="H159" s="3" t="n">
        <v>0</v>
      </c>
      <c r="I159" s="3" t="n">
        <v>0</v>
      </c>
      <c r="J159" s="4" t="n">
        <v>21.6898943880492</v>
      </c>
    </row>
    <row r="160" customFormat="false" ht="15" hidden="false" customHeight="false" outlineLevel="0" collapsed="false">
      <c r="A160" s="0" t="n">
        <f aca="false">A159+1</f>
        <v>158</v>
      </c>
      <c r="B160" s="1" t="n">
        <f aca="false">B159-H160*1</f>
        <v>8.9408</v>
      </c>
      <c r="C160" s="1" t="n">
        <f aca="false">B160*$K$1</f>
        <v>20.0005696</v>
      </c>
      <c r="D160" s="1" t="n">
        <v>8.4234572930326</v>
      </c>
      <c r="E160" s="1" t="n">
        <f aca="false">D160*$K$1</f>
        <v>18.8432739645139</v>
      </c>
      <c r="F160" s="0" t="n">
        <v>2</v>
      </c>
      <c r="G160" s="0" t="n">
        <f aca="false">B160*F160+5</f>
        <v>22.8816</v>
      </c>
      <c r="H160" s="3" t="n">
        <v>0</v>
      </c>
      <c r="I160" s="3" t="n">
        <v>0</v>
      </c>
      <c r="J160" s="4" t="n">
        <v>22.2803017518856</v>
      </c>
    </row>
    <row r="161" customFormat="false" ht="15" hidden="false" customHeight="false" outlineLevel="0" collapsed="false">
      <c r="A161" s="0" t="n">
        <f aca="false">A160+1</f>
        <v>159</v>
      </c>
      <c r="B161" s="1" t="n">
        <f aca="false">B155-H161*1</f>
        <v>8.04672</v>
      </c>
      <c r="C161" s="1" t="n">
        <f aca="false">B161*$K$1</f>
        <v>18.00051264</v>
      </c>
      <c r="D161" s="1" t="n">
        <v>8.47240108929469</v>
      </c>
      <c r="E161" s="1" t="n">
        <f aca="false">D161*$K$1</f>
        <v>18.9527612367522</v>
      </c>
      <c r="F161" s="0" t="n">
        <v>2</v>
      </c>
      <c r="G161" s="0" t="n">
        <f aca="false">B161*F161+5</f>
        <v>21.09344</v>
      </c>
      <c r="H161" s="3" t="n">
        <v>0.89408</v>
      </c>
      <c r="I161" s="3" t="n">
        <v>0</v>
      </c>
      <c r="J161" s="4" t="n">
        <v>22.3081682686143</v>
      </c>
    </row>
    <row r="162" customFormat="false" ht="15" hidden="false" customHeight="false" outlineLevel="0" collapsed="false">
      <c r="A162" s="0" t="n">
        <f aca="false">A161+1</f>
        <v>160</v>
      </c>
      <c r="B162" s="1" t="n">
        <f aca="false">B161-H162*1</f>
        <v>7.15264</v>
      </c>
      <c r="C162" s="1" t="n">
        <f aca="false">B162*$K$1</f>
        <v>16.00045568</v>
      </c>
      <c r="D162" s="1" t="n">
        <v>8.32203895891819</v>
      </c>
      <c r="E162" s="1" t="n">
        <f aca="false">D162*$K$1</f>
        <v>18.6164011511</v>
      </c>
      <c r="F162" s="0" t="n">
        <v>2</v>
      </c>
      <c r="G162" s="0" t="n">
        <f aca="false">B162*F162+5</f>
        <v>19.30528</v>
      </c>
      <c r="H162" s="3" t="n">
        <v>0.89408</v>
      </c>
      <c r="I162" s="3" t="n">
        <v>0</v>
      </c>
      <c r="J162" s="4" t="n">
        <v>21.493491027979</v>
      </c>
    </row>
    <row r="163" customFormat="false" ht="15" hidden="false" customHeight="false" outlineLevel="0" collapsed="false">
      <c r="A163" s="0" t="n">
        <f aca="false">A162+1</f>
        <v>161</v>
      </c>
      <c r="B163" s="1" t="n">
        <f aca="false">B162-H163*1</f>
        <v>6.25856</v>
      </c>
      <c r="C163" s="1" t="n">
        <f aca="false">B163*$K$1</f>
        <v>14.00039872</v>
      </c>
      <c r="D163" s="1" t="n">
        <v>7.97733656794187</v>
      </c>
      <c r="E163" s="1" t="n">
        <f aca="false">D163*$K$1</f>
        <v>17.845301902486</v>
      </c>
      <c r="F163" s="0" t="n">
        <v>2</v>
      </c>
      <c r="G163" s="0" t="n">
        <f aca="false">B163*F163+5</f>
        <v>17.51712</v>
      </c>
      <c r="H163" s="3" t="n">
        <v>0.89408</v>
      </c>
      <c r="I163" s="3" t="n">
        <v>0</v>
      </c>
      <c r="J163" s="4" t="n">
        <v>20.0342180600428</v>
      </c>
    </row>
    <row r="164" customFormat="false" ht="15" hidden="false" customHeight="false" outlineLevel="0" collapsed="false">
      <c r="A164" s="0" t="n">
        <f aca="false">A163+1</f>
        <v>162</v>
      </c>
      <c r="B164" s="1" t="n">
        <f aca="false">B163-H164*1</f>
        <v>5.36448</v>
      </c>
      <c r="C164" s="1" t="n">
        <f aca="false">B164*$K$1</f>
        <v>12.00034176</v>
      </c>
      <c r="D164" s="1" t="n">
        <v>7.45746931818135</v>
      </c>
      <c r="E164" s="1" t="n">
        <f aca="false">D164*$K$1</f>
        <v>16.6823588647717</v>
      </c>
      <c r="F164" s="0" t="n">
        <v>2</v>
      </c>
      <c r="G164" s="0" t="n">
        <f aca="false">B164*F164+5</f>
        <v>15.72896</v>
      </c>
      <c r="H164" s="3" t="n">
        <v>0.89408</v>
      </c>
      <c r="I164" s="3" t="n">
        <v>0</v>
      </c>
      <c r="J164" s="4" t="n">
        <v>18.115697457408</v>
      </c>
    </row>
    <row r="165" customFormat="false" ht="15" hidden="false" customHeight="false" outlineLevel="0" collapsed="false">
      <c r="A165" s="0" t="n">
        <f aca="false">A164+1</f>
        <v>163</v>
      </c>
      <c r="B165" s="1" t="n">
        <f aca="false">B164-H165*1</f>
        <v>4.4704</v>
      </c>
      <c r="C165" s="1" t="n">
        <f aca="false">B165*$K$1</f>
        <v>10.0002848</v>
      </c>
      <c r="D165" s="1" t="n">
        <v>6.78958204268612</v>
      </c>
      <c r="E165" s="1" t="n">
        <f aca="false">D165*$K$1</f>
        <v>15.1882950294889</v>
      </c>
      <c r="F165" s="0" t="n">
        <v>2</v>
      </c>
      <c r="G165" s="0" t="n">
        <f aca="false">B165*F165+5</f>
        <v>13.9408</v>
      </c>
      <c r="H165" s="3" t="n">
        <v>0.89408</v>
      </c>
      <c r="I165" s="3" t="n">
        <v>0</v>
      </c>
      <c r="J165" s="4" t="n">
        <v>15.8997134865267</v>
      </c>
    </row>
    <row r="166" customFormat="false" ht="15" hidden="false" customHeight="false" outlineLevel="0" collapsed="false">
      <c r="A166" s="0" t="n">
        <f aca="false">A165+1</f>
        <v>164</v>
      </c>
      <c r="B166" s="1" t="n">
        <f aca="false">B165-H166*1</f>
        <v>3.57632</v>
      </c>
      <c r="C166" s="1" t="n">
        <f aca="false">B166*$K$1</f>
        <v>8.00022783999999</v>
      </c>
      <c r="D166" s="1" t="n">
        <v>6.00395289808142</v>
      </c>
      <c r="E166" s="1" t="n">
        <f aca="false">D166*$K$1</f>
        <v>13.4308426330081</v>
      </c>
      <c r="F166" s="0" t="n">
        <v>2</v>
      </c>
      <c r="G166" s="0" t="n">
        <f aca="false">B166*F166+5</f>
        <v>12.15264</v>
      </c>
      <c r="H166" s="3" t="n">
        <v>0.89408</v>
      </c>
      <c r="I166" s="3" t="n">
        <v>0</v>
      </c>
      <c r="J166" s="4" t="n">
        <v>13.5190524475347</v>
      </c>
    </row>
    <row r="167" customFormat="false" ht="15" hidden="false" customHeight="false" outlineLevel="0" collapsed="false">
      <c r="A167" s="0" t="n">
        <f aca="false">A166+1</f>
        <v>165</v>
      </c>
      <c r="B167" s="1" t="n">
        <f aca="false">B166-H167*1</f>
        <v>2.68224</v>
      </c>
      <c r="C167" s="1" t="n">
        <f aca="false">B167*$K$1</f>
        <v>6.00017087999999</v>
      </c>
      <c r="D167" s="1" t="n">
        <v>5.13049355510316</v>
      </c>
      <c r="E167" s="1" t="n">
        <f aca="false">D167*$K$1</f>
        <v>11.4769140827658</v>
      </c>
      <c r="F167" s="0" t="n">
        <v>2</v>
      </c>
      <c r="G167" s="0" t="n">
        <f aca="false">B167*F167+5</f>
        <v>10.36448</v>
      </c>
      <c r="H167" s="3" t="n">
        <v>0.89408</v>
      </c>
      <c r="I167" s="3" t="n">
        <v>0</v>
      </c>
      <c r="J167" s="4" t="n">
        <v>11.0762212606958</v>
      </c>
    </row>
    <row r="168" customFormat="false" ht="15" hidden="false" customHeight="false" outlineLevel="0" collapsed="false">
      <c r="A168" s="0" t="n">
        <f aca="false">A167+1</f>
        <v>166</v>
      </c>
      <c r="B168" s="1" t="n">
        <f aca="false">B167-H168*1</f>
        <v>1.78816</v>
      </c>
      <c r="C168" s="1" t="n">
        <f aca="false">B168*$K$1</f>
        <v>4.00011391999999</v>
      </c>
      <c r="D168" s="1" t="n">
        <v>4.19643119131162</v>
      </c>
      <c r="E168" s="1" t="n">
        <f aca="false">D168*$K$1</f>
        <v>9.3874165749641</v>
      </c>
      <c r="F168" s="0" t="n">
        <v>2</v>
      </c>
      <c r="G168" s="0" t="n">
        <f aca="false">B168*F168+5</f>
        <v>8.57631999999999</v>
      </c>
      <c r="H168" s="3" t="n">
        <v>0.89408</v>
      </c>
      <c r="I168" s="3" t="n">
        <v>0</v>
      </c>
      <c r="J168" s="4" t="n">
        <v>8.64505642643212</v>
      </c>
    </row>
    <row r="169" customFormat="false" ht="15" hidden="false" customHeight="false" outlineLevel="0" collapsed="false">
      <c r="A169" s="0" t="n">
        <f aca="false">A168+1</f>
        <v>167</v>
      </c>
      <c r="B169" s="1" t="n">
        <f aca="false">B168-H169*1</f>
        <v>0.894079999999997</v>
      </c>
      <c r="C169" s="1" t="n">
        <f aca="false">B169*$K$1</f>
        <v>2.00005695999999</v>
      </c>
      <c r="D169" s="1" t="n">
        <v>3.22497229091082</v>
      </c>
      <c r="E169" s="1" t="n">
        <f aca="false">D169*$K$1</f>
        <v>7.2142630147675</v>
      </c>
      <c r="F169" s="0" t="n">
        <v>2</v>
      </c>
      <c r="G169" s="0" t="n">
        <f aca="false">B169*F169+5</f>
        <v>6.78815999999999</v>
      </c>
      <c r="H169" s="3" t="n">
        <v>0.89408</v>
      </c>
      <c r="I169" s="3" t="n">
        <v>0</v>
      </c>
      <c r="J169" s="4" t="n">
        <v>6.27414084965767</v>
      </c>
    </row>
    <row r="170" customFormat="false" ht="15" hidden="false" customHeight="false" outlineLevel="0" collapsed="false">
      <c r="A170" s="0" t="n">
        <f aca="false">A169+1</f>
        <v>168</v>
      </c>
      <c r="B170" s="1" t="n">
        <f aca="false">B169-H170*1</f>
        <v>-3.33066907387547E-015</v>
      </c>
      <c r="C170" s="1" t="n">
        <f aca="false">B170*$K$1</f>
        <v>-7.45070671825942E-015</v>
      </c>
      <c r="D170" s="1" t="n">
        <v>2.23473403820519</v>
      </c>
      <c r="E170" s="1" t="n">
        <f aca="false">D170*$K$1</f>
        <v>4.99910004346501</v>
      </c>
      <c r="F170" s="0" t="n">
        <v>2</v>
      </c>
      <c r="G170" s="0" t="n">
        <f aca="false">B170*F170+5</f>
        <v>4.99999999999999</v>
      </c>
      <c r="H170" s="3" t="n">
        <v>0.89408</v>
      </c>
      <c r="I170" s="3" t="n">
        <v>0</v>
      </c>
      <c r="J170" s="4" t="n">
        <v>3.99115492386818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70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D2" activeCellId="0" sqref="D2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6.14"/>
    <col collapsed="false" customWidth="true" hidden="false" outlineLevel="0" max="3" min="3" style="1" width="16.43"/>
    <col collapsed="false" customWidth="true" hidden="false" outlineLevel="0" max="5" min="4" style="1" width="22.28"/>
    <col collapsed="false" customWidth="true" hidden="false" outlineLevel="0" max="6" min="6" style="0" width="11.28"/>
    <col collapsed="false" customWidth="true" hidden="false" outlineLevel="0" max="7" min="7" style="0" width="20"/>
    <col collapsed="false" customWidth="true" hidden="false" outlineLevel="0" max="9" min="8" style="3" width="17.57"/>
    <col collapsed="false" customWidth="true" hidden="false" outlineLevel="0" max="10" min="10" style="4" width="17.57"/>
  </cols>
  <sheetData>
    <row r="1" customFormat="false" ht="15" hidden="false" customHeight="false" outlineLevel="0" collapsed="false">
      <c r="A1" s="11" t="s">
        <v>0</v>
      </c>
      <c r="B1" s="11" t="s">
        <v>1</v>
      </c>
      <c r="C1" s="13" t="s">
        <v>2</v>
      </c>
      <c r="D1" s="13" t="s">
        <v>3</v>
      </c>
      <c r="E1" s="13" t="s">
        <v>3</v>
      </c>
      <c r="F1" s="11" t="s">
        <v>5</v>
      </c>
      <c r="G1" s="11" t="s">
        <v>6</v>
      </c>
      <c r="H1" s="14" t="s">
        <v>7</v>
      </c>
      <c r="I1" s="14" t="s">
        <v>8</v>
      </c>
      <c r="J1" s="15" t="s">
        <v>9</v>
      </c>
      <c r="K1" s="0" t="n">
        <v>2.237</v>
      </c>
      <c r="L1" s="10" t="s">
        <v>10</v>
      </c>
      <c r="M1" s="10" t="n">
        <v>0.5</v>
      </c>
    </row>
    <row r="2" customFormat="false" ht="15" hidden="false" customHeight="false" outlineLevel="0" collapsed="false">
      <c r="A2" s="0" t="n">
        <v>0</v>
      </c>
      <c r="B2" s="1" t="n">
        <v>0</v>
      </c>
      <c r="C2" s="1" t="n">
        <f aca="false">B2*$K$1</f>
        <v>0</v>
      </c>
      <c r="D2" s="1" t="n">
        <v>0</v>
      </c>
      <c r="E2" s="1" t="n">
        <f aca="false">D2*$K$1</f>
        <v>0</v>
      </c>
      <c r="F2" s="0" t="n">
        <v>2</v>
      </c>
      <c r="G2" s="0" t="n">
        <f aca="false">B2*F2+5</f>
        <v>5</v>
      </c>
      <c r="H2" s="3" t="n">
        <v>0</v>
      </c>
      <c r="I2" s="3" t="n">
        <v>0</v>
      </c>
      <c r="J2" s="4" t="n">
        <v>5</v>
      </c>
      <c r="L2" s="10" t="s">
        <v>11</v>
      </c>
      <c r="M2" s="10" t="n">
        <v>0.2</v>
      </c>
    </row>
    <row r="3" customFormat="false" ht="15" hidden="false" customHeight="false" outlineLevel="0" collapsed="false">
      <c r="A3" s="0" t="n">
        <f aca="false">A2+1</f>
        <v>1</v>
      </c>
      <c r="B3" s="1" t="n">
        <v>0</v>
      </c>
      <c r="C3" s="1" t="n">
        <f aca="false">B3*$K$1</f>
        <v>0</v>
      </c>
      <c r="D3" s="1" t="n">
        <v>0</v>
      </c>
      <c r="E3" s="1" t="n">
        <f aca="false">D3*$K$1</f>
        <v>0</v>
      </c>
      <c r="F3" s="0" t="n">
        <v>2</v>
      </c>
      <c r="G3" s="0" t="n">
        <f aca="false">B3*F3+5</f>
        <v>5</v>
      </c>
      <c r="H3" s="3" t="n">
        <v>0</v>
      </c>
      <c r="I3" s="3" t="n">
        <v>0</v>
      </c>
      <c r="J3" s="4" t="n">
        <v>5</v>
      </c>
      <c r="K3" s="0" t="n">
        <f aca="false">20/K1</f>
        <v>8.94054537326777</v>
      </c>
      <c r="L3" s="16" t="s">
        <v>12</v>
      </c>
      <c r="M3" s="16" t="n">
        <v>0.2</v>
      </c>
    </row>
    <row r="4" customFormat="false" ht="15" hidden="false" customHeight="false" outlineLevel="0" collapsed="false">
      <c r="A4" s="0" t="n">
        <f aca="false">A3+1</f>
        <v>2</v>
      </c>
      <c r="B4" s="1" t="n">
        <v>0</v>
      </c>
      <c r="C4" s="1" t="n">
        <f aca="false">B4*$K$1</f>
        <v>0</v>
      </c>
      <c r="D4" s="1" t="n">
        <v>0</v>
      </c>
      <c r="E4" s="1" t="n">
        <f aca="false">D4*$K$1</f>
        <v>0</v>
      </c>
      <c r="F4" s="0" t="n">
        <v>2</v>
      </c>
      <c r="G4" s="0" t="n">
        <f aca="false">B4*F4+5</f>
        <v>5</v>
      </c>
      <c r="H4" s="3" t="n">
        <v>0</v>
      </c>
      <c r="I4" s="3" t="n">
        <v>0</v>
      </c>
      <c r="J4" s="4" t="n">
        <v>5</v>
      </c>
    </row>
    <row r="5" customFormat="false" ht="15" hidden="false" customHeight="false" outlineLevel="0" collapsed="false">
      <c r="A5" s="0" t="n">
        <f aca="false">A4+1</f>
        <v>3</v>
      </c>
      <c r="B5" s="1" t="n">
        <v>0</v>
      </c>
      <c r="C5" s="1" t="n">
        <f aca="false">B5*$K$1</f>
        <v>0</v>
      </c>
      <c r="D5" s="1" t="n">
        <v>0</v>
      </c>
      <c r="E5" s="1" t="n">
        <f aca="false">D5*$K$1</f>
        <v>0</v>
      </c>
      <c r="F5" s="0" t="n">
        <v>2</v>
      </c>
      <c r="G5" s="0" t="n">
        <f aca="false">B5*F5+5</f>
        <v>5</v>
      </c>
      <c r="H5" s="3" t="n">
        <v>0</v>
      </c>
      <c r="I5" s="3" t="n">
        <v>0</v>
      </c>
      <c r="J5" s="4" t="n">
        <v>5</v>
      </c>
    </row>
    <row r="6" customFormat="false" ht="15" hidden="false" customHeight="false" outlineLevel="0" collapsed="false">
      <c r="A6" s="0" t="n">
        <f aca="false">A5+1</f>
        <v>4</v>
      </c>
      <c r="B6" s="1" t="n">
        <v>0</v>
      </c>
      <c r="C6" s="1" t="n">
        <f aca="false">B6*$K$1</f>
        <v>0</v>
      </c>
      <c r="D6" s="1" t="n">
        <v>0</v>
      </c>
      <c r="E6" s="1" t="n">
        <f aca="false">D6*$K$1</f>
        <v>0</v>
      </c>
      <c r="F6" s="0" t="n">
        <v>2</v>
      </c>
      <c r="G6" s="0" t="n">
        <f aca="false">B6*F6+5</f>
        <v>5</v>
      </c>
      <c r="H6" s="3" t="n">
        <v>0</v>
      </c>
      <c r="I6" s="3" t="n">
        <v>0</v>
      </c>
      <c r="J6" s="4" t="n">
        <v>5</v>
      </c>
    </row>
    <row r="7" customFormat="false" ht="15" hidden="false" customHeight="false" outlineLevel="0" collapsed="false">
      <c r="A7" s="0" t="n">
        <f aca="false">A6+1</f>
        <v>5</v>
      </c>
      <c r="B7" s="1" t="n">
        <v>0</v>
      </c>
      <c r="C7" s="1" t="n">
        <f aca="false">B7*$K$1</f>
        <v>0</v>
      </c>
      <c r="D7" s="1" t="n">
        <v>0</v>
      </c>
      <c r="E7" s="1" t="n">
        <f aca="false">D7*$K$1</f>
        <v>0</v>
      </c>
      <c r="F7" s="0" t="n">
        <v>2</v>
      </c>
      <c r="G7" s="0" t="n">
        <f aca="false">B7*F7+5</f>
        <v>5</v>
      </c>
      <c r="H7" s="3" t="n">
        <v>0</v>
      </c>
      <c r="I7" s="3" t="n">
        <v>0</v>
      </c>
      <c r="J7" s="4" t="n">
        <v>5</v>
      </c>
    </row>
    <row r="8" customFormat="false" ht="15" hidden="false" customHeight="false" outlineLevel="0" collapsed="false">
      <c r="A8" s="0" t="n">
        <f aca="false">A7+1</f>
        <v>6</v>
      </c>
      <c r="B8" s="1" t="n">
        <v>0</v>
      </c>
      <c r="C8" s="1" t="n">
        <f aca="false">B8*$K$1</f>
        <v>0</v>
      </c>
      <c r="D8" s="1" t="n">
        <v>0</v>
      </c>
      <c r="E8" s="1" t="n">
        <f aca="false">D8*$K$1</f>
        <v>0</v>
      </c>
      <c r="F8" s="0" t="n">
        <v>2</v>
      </c>
      <c r="G8" s="0" t="n">
        <f aca="false">B8*F8+5</f>
        <v>5</v>
      </c>
      <c r="H8" s="3" t="n">
        <v>0</v>
      </c>
      <c r="I8" s="3" t="n">
        <v>0</v>
      </c>
      <c r="J8" s="4" t="n">
        <v>5</v>
      </c>
    </row>
    <row r="9" customFormat="false" ht="15" hidden="false" customHeight="false" outlineLevel="0" collapsed="false">
      <c r="A9" s="0" t="n">
        <f aca="false">A8+1</f>
        <v>7</v>
      </c>
      <c r="B9" s="1" t="n">
        <v>0</v>
      </c>
      <c r="C9" s="1" t="n">
        <f aca="false">B9*$K$1</f>
        <v>0</v>
      </c>
      <c r="D9" s="1" t="n">
        <v>0</v>
      </c>
      <c r="E9" s="1" t="n">
        <f aca="false">D9*$K$1</f>
        <v>0</v>
      </c>
      <c r="F9" s="0" t="n">
        <v>2</v>
      </c>
      <c r="G9" s="0" t="n">
        <f aca="false">B9*F9+5</f>
        <v>5</v>
      </c>
      <c r="H9" s="3" t="n">
        <v>0</v>
      </c>
      <c r="I9" s="3" t="n">
        <v>0</v>
      </c>
      <c r="J9" s="4" t="n">
        <v>5</v>
      </c>
    </row>
    <row r="10" customFormat="false" ht="15" hidden="false" customHeight="false" outlineLevel="0" collapsed="false">
      <c r="A10" s="0" t="n">
        <f aca="false">A9+1</f>
        <v>8</v>
      </c>
      <c r="B10" s="1" t="n">
        <v>0</v>
      </c>
      <c r="C10" s="1" t="n">
        <f aca="false">B10*$K$1</f>
        <v>0</v>
      </c>
      <c r="D10" s="1" t="n">
        <v>0</v>
      </c>
      <c r="E10" s="1" t="n">
        <f aca="false">D10*$K$1</f>
        <v>0</v>
      </c>
      <c r="F10" s="0" t="n">
        <v>2</v>
      </c>
      <c r="G10" s="0" t="n">
        <f aca="false">B10*F10+5</f>
        <v>5</v>
      </c>
      <c r="H10" s="3" t="n">
        <v>0</v>
      </c>
      <c r="I10" s="3" t="n">
        <v>0</v>
      </c>
      <c r="J10" s="4" t="n">
        <v>5</v>
      </c>
    </row>
    <row r="11" customFormat="false" ht="15" hidden="false" customHeight="false" outlineLevel="0" collapsed="false">
      <c r="A11" s="0" t="n">
        <f aca="false">A10+1</f>
        <v>9</v>
      </c>
      <c r="B11" s="1" t="n">
        <v>0</v>
      </c>
      <c r="C11" s="1" t="n">
        <f aca="false">B11*$K$1</f>
        <v>0</v>
      </c>
      <c r="D11" s="1" t="n">
        <v>0</v>
      </c>
      <c r="E11" s="1" t="n">
        <f aca="false">D11*$K$1</f>
        <v>0</v>
      </c>
      <c r="F11" s="0" t="n">
        <v>2</v>
      </c>
      <c r="G11" s="0" t="n">
        <f aca="false">B11*F11+5</f>
        <v>5</v>
      </c>
      <c r="H11" s="3" t="n">
        <v>0</v>
      </c>
      <c r="I11" s="3" t="n">
        <v>0</v>
      </c>
      <c r="J11" s="4" t="n">
        <v>5</v>
      </c>
    </row>
    <row r="12" customFormat="false" ht="15" hidden="false" customHeight="false" outlineLevel="0" collapsed="false">
      <c r="A12" s="0" t="n">
        <f aca="false">A11+1</f>
        <v>10</v>
      </c>
      <c r="B12" s="1" t="n">
        <v>0</v>
      </c>
      <c r="C12" s="1" t="n">
        <f aca="false">B12*$K$1</f>
        <v>0</v>
      </c>
      <c r="D12" s="1" t="n">
        <v>0</v>
      </c>
      <c r="E12" s="1" t="n">
        <f aca="false">D12*$K$1</f>
        <v>0</v>
      </c>
      <c r="F12" s="0" t="n">
        <v>2</v>
      </c>
      <c r="G12" s="0" t="n">
        <f aca="false">B12*F12+5</f>
        <v>5</v>
      </c>
      <c r="H12" s="3" t="n">
        <v>0</v>
      </c>
      <c r="I12" s="3" t="n">
        <v>0</v>
      </c>
      <c r="J12" s="4" t="n">
        <v>5</v>
      </c>
    </row>
    <row r="13" customFormat="false" ht="15" hidden="false" customHeight="false" outlineLevel="0" collapsed="false">
      <c r="A13" s="0" t="n">
        <f aca="false">A12+1</f>
        <v>11</v>
      </c>
      <c r="B13" s="1" t="n">
        <f aca="false">B12+H13*1</f>
        <v>0.89408</v>
      </c>
      <c r="C13" s="1" t="n">
        <f aca="false">B13*$K$1</f>
        <v>2.00005696</v>
      </c>
      <c r="D13" s="1" t="n">
        <v>-0.0536448</v>
      </c>
      <c r="E13" s="1" t="n">
        <f aca="false">D13*$K$1</f>
        <v>-0.1200034176</v>
      </c>
      <c r="F13" s="0" t="n">
        <v>2</v>
      </c>
      <c r="G13" s="0" t="n">
        <f aca="false">B13*F13+5</f>
        <v>6.78816</v>
      </c>
      <c r="H13" s="3" t="n">
        <v>0.89408</v>
      </c>
      <c r="I13" s="3" t="n">
        <v>0</v>
      </c>
      <c r="J13" s="4" t="n">
        <v>5.47684266666667</v>
      </c>
    </row>
    <row r="14" customFormat="false" ht="15" hidden="false" customHeight="false" outlineLevel="0" collapsed="false">
      <c r="A14" s="0" t="n">
        <f aca="false">A13+1</f>
        <v>12</v>
      </c>
      <c r="B14" s="1" t="n">
        <f aca="false">B13+H14*1</f>
        <v>1.78816</v>
      </c>
      <c r="C14" s="1" t="n">
        <f aca="false">B14*$K$1</f>
        <v>4.00011392</v>
      </c>
      <c r="D14" s="1" t="n">
        <v>-0.0823427811555554</v>
      </c>
      <c r="E14" s="1" t="n">
        <f aca="false">D14*$K$1</f>
        <v>-0.184200801444977</v>
      </c>
      <c r="F14" s="0" t="n">
        <v>2</v>
      </c>
      <c r="G14" s="0" t="n">
        <f aca="false">B14*F14+5</f>
        <v>8.57632</v>
      </c>
      <c r="H14" s="3" t="n">
        <v>0.89408</v>
      </c>
      <c r="I14" s="3" t="n">
        <v>0</v>
      </c>
      <c r="J14" s="4" t="n">
        <v>6.90375460977778</v>
      </c>
    </row>
    <row r="15" customFormat="false" ht="15" hidden="false" customHeight="false" outlineLevel="0" collapsed="false">
      <c r="A15" s="0" t="n">
        <f aca="false">A14+1</f>
        <v>13</v>
      </c>
      <c r="B15" s="1" t="n">
        <f aca="false">B14+H15*1</f>
        <v>2.68224</v>
      </c>
      <c r="C15" s="1" t="n">
        <f aca="false">B15*$K$1</f>
        <v>6.00017088</v>
      </c>
      <c r="D15" s="1" t="n">
        <v>0.0731657427019854</v>
      </c>
      <c r="E15" s="1" t="n">
        <f aca="false">D15*$K$1</f>
        <v>0.163671766424341</v>
      </c>
      <c r="F15" s="0" t="n">
        <v>2</v>
      </c>
      <c r="G15" s="0" t="n">
        <f aca="false">B15*F15+5</f>
        <v>10.36448</v>
      </c>
      <c r="H15" s="3" t="n">
        <v>0.89408</v>
      </c>
      <c r="I15" s="3" t="n">
        <v>0</v>
      </c>
      <c r="J15" s="4" t="n">
        <v>9.1702758084077</v>
      </c>
    </row>
    <row r="16" customFormat="false" ht="15" hidden="false" customHeight="false" outlineLevel="0" collapsed="false">
      <c r="A16" s="0" t="n">
        <f aca="false">A15+1</f>
        <v>14</v>
      </c>
      <c r="B16" s="1" t="n">
        <f aca="false">B15+H16*1</f>
        <v>3.57632</v>
      </c>
      <c r="C16" s="1" t="n">
        <f aca="false">B16*$K$1</f>
        <v>8.00022784</v>
      </c>
      <c r="D16" s="1" t="n">
        <v>0.510165178193065</v>
      </c>
      <c r="E16" s="1" t="n">
        <f aca="false">D16*$K$1</f>
        <v>1.14123950361789</v>
      </c>
      <c r="F16" s="0" t="n">
        <v>2</v>
      </c>
      <c r="G16" s="0" t="n">
        <f aca="false">B16*F16+5</f>
        <v>12.15264</v>
      </c>
      <c r="H16" s="3" t="n">
        <v>0.89408</v>
      </c>
      <c r="I16" s="3" t="n">
        <v>0</v>
      </c>
      <c r="J16" s="4" t="n">
        <v>12.0371690509966</v>
      </c>
    </row>
    <row r="17" customFormat="false" ht="15" hidden="false" customHeight="false" outlineLevel="0" collapsed="false">
      <c r="A17" s="0" t="n">
        <f aca="false">A16+1</f>
        <v>15</v>
      </c>
      <c r="B17" s="1" t="n">
        <f aca="false">B16+H17*1</f>
        <v>4.4704</v>
      </c>
      <c r="C17" s="1" t="n">
        <f aca="false">B17*$K$1</f>
        <v>10.0002848</v>
      </c>
      <c r="D17" s="1" t="n">
        <v>1.25808094467806</v>
      </c>
      <c r="E17" s="1" t="n">
        <f aca="false">D17*$K$1</f>
        <v>2.81432707324482</v>
      </c>
      <c r="F17" s="0" t="n">
        <v>2</v>
      </c>
      <c r="G17" s="0" t="n">
        <f aca="false">B17*F17+5</f>
        <v>13.9408</v>
      </c>
      <c r="H17" s="3" t="n">
        <v>0.89408</v>
      </c>
      <c r="I17" s="3" t="n">
        <v>0</v>
      </c>
      <c r="J17" s="4" t="n">
        <v>15.2025642172816</v>
      </c>
    </row>
    <row r="18" customFormat="false" ht="15" hidden="false" customHeight="false" outlineLevel="0" collapsed="false">
      <c r="A18" s="0" t="n">
        <f aca="false">A17+1</f>
        <v>16</v>
      </c>
      <c r="B18" s="1" t="n">
        <f aca="false">B17+H18*1</f>
        <v>5.36448</v>
      </c>
      <c r="C18" s="1" t="n">
        <f aca="false">B18*$K$1</f>
        <v>12.00034176</v>
      </c>
      <c r="D18" s="1" t="n">
        <v>2.2857258014562</v>
      </c>
      <c r="E18" s="1" t="n">
        <f aca="false">D18*$K$1</f>
        <v>5.11316861785752</v>
      </c>
      <c r="F18" s="0" t="n">
        <v>2</v>
      </c>
      <c r="G18" s="0" t="n">
        <f aca="false">B18*F18+5</f>
        <v>15.72896</v>
      </c>
      <c r="H18" s="3" t="n">
        <v>0.89408</v>
      </c>
      <c r="I18" s="3" t="n">
        <v>0</v>
      </c>
      <c r="J18" s="4" t="n">
        <v>18.3670675319832</v>
      </c>
    </row>
    <row r="19" customFormat="false" ht="15" hidden="false" customHeight="false" outlineLevel="0" collapsed="false">
      <c r="A19" s="0" t="n">
        <f aca="false">A18+1</f>
        <v>17</v>
      </c>
      <c r="B19" s="1" t="n">
        <f aca="false">B18+H19*1</f>
        <v>6.25856</v>
      </c>
      <c r="C19" s="1" t="n">
        <f aca="false">B19*$K$1</f>
        <v>14.00039872</v>
      </c>
      <c r="D19" s="1" t="n">
        <v>3.51797657558566</v>
      </c>
      <c r="E19" s="1" t="n">
        <f aca="false">D19*$K$1</f>
        <v>7.86971359958512</v>
      </c>
      <c r="F19" s="0" t="n">
        <v>2</v>
      </c>
      <c r="G19" s="0" t="n">
        <f aca="false">B19*F19+5</f>
        <v>17.51712</v>
      </c>
      <c r="H19" s="3" t="n">
        <v>0.89408</v>
      </c>
      <c r="I19" s="3" t="n">
        <v>0</v>
      </c>
      <c r="J19" s="4" t="n">
        <v>21.2864654957263</v>
      </c>
    </row>
    <row r="20" customFormat="false" ht="15" hidden="false" customHeight="false" outlineLevel="0" collapsed="false">
      <c r="A20" s="0" t="n">
        <f aca="false">A19+1</f>
        <v>18</v>
      </c>
      <c r="B20" s="1" t="n">
        <f aca="false">B19+H20*1</f>
        <v>7.15264</v>
      </c>
      <c r="C20" s="1" t="n">
        <f aca="false">B20*$K$1</f>
        <v>16.00045568</v>
      </c>
      <c r="D20" s="1" t="n">
        <v>4.85718714658224</v>
      </c>
      <c r="E20" s="1" t="n">
        <f aca="false">D20*$K$1</f>
        <v>10.8655276469045</v>
      </c>
      <c r="F20" s="0" t="n">
        <v>2</v>
      </c>
      <c r="G20" s="0" t="n">
        <f aca="false">B20*F20+5</f>
        <v>19.30528</v>
      </c>
      <c r="H20" s="3" t="n">
        <v>0.89408</v>
      </c>
      <c r="I20" s="3" t="n">
        <v>0</v>
      </c>
      <c r="J20" s="4" t="n">
        <v>23.8049454401137</v>
      </c>
    </row>
    <row r="21" customFormat="false" ht="15" hidden="false" customHeight="false" outlineLevel="0" collapsed="false">
      <c r="A21" s="0" t="n">
        <f aca="false">A20+1</f>
        <v>19</v>
      </c>
      <c r="B21" s="1" t="n">
        <f aca="false">B20+H21*1</f>
        <v>8.04672</v>
      </c>
      <c r="C21" s="1" t="n">
        <f aca="false">B21*$K$1</f>
        <v>18.00051264</v>
      </c>
      <c r="D21" s="1" t="n">
        <v>6.20466527483806</v>
      </c>
      <c r="E21" s="1" t="n">
        <f aca="false">D21*$K$1</f>
        <v>13.8798362198127</v>
      </c>
      <c r="F21" s="0" t="n">
        <v>2</v>
      </c>
      <c r="G21" s="0" t="n">
        <f aca="false">B21*F21+5</f>
        <v>21.09344</v>
      </c>
      <c r="H21" s="3" t="n">
        <v>0.89408</v>
      </c>
      <c r="I21" s="3" t="n">
        <v>0</v>
      </c>
      <c r="J21" s="4" t="n">
        <v>25.8665148243546</v>
      </c>
    </row>
    <row r="22" customFormat="false" ht="15" hidden="false" customHeight="false" outlineLevel="0" collapsed="false">
      <c r="A22" s="0" t="n">
        <f aca="false">A21+1</f>
        <v>20</v>
      </c>
      <c r="B22" s="1" t="n">
        <f aca="false">B21+H22*1</f>
        <v>8.9408</v>
      </c>
      <c r="C22" s="1" t="n">
        <f aca="false">B22*$K$1</f>
        <v>20.0005696</v>
      </c>
      <c r="D22" s="1" t="n">
        <v>7.47838821050207</v>
      </c>
      <c r="E22" s="1" t="n">
        <f aca="false">D22*$K$1</f>
        <v>16.7291544268931</v>
      </c>
      <c r="F22" s="0" t="n">
        <v>2</v>
      </c>
      <c r="G22" s="0" t="n">
        <f aca="false">B22*F22+5</f>
        <v>22.8816</v>
      </c>
      <c r="H22" s="3" t="n">
        <v>0.89408</v>
      </c>
      <c r="I22" s="3" t="n">
        <v>0</v>
      </c>
      <c r="J22" s="4" t="n">
        <v>27.5065983007229</v>
      </c>
    </row>
    <row r="23" customFormat="false" ht="15" hidden="false" customHeight="false" outlineLevel="0" collapsed="false">
      <c r="A23" s="0" t="n">
        <f aca="false">A22+1</f>
        <v>21</v>
      </c>
      <c r="B23" s="1" t="n">
        <f aca="false">B22+H23*1</f>
        <v>8.9408</v>
      </c>
      <c r="C23" s="1" t="n">
        <f aca="false">B23*$K$1</f>
        <v>20.0005696</v>
      </c>
      <c r="D23" s="1" t="n">
        <v>8.67814760661379</v>
      </c>
      <c r="E23" s="1" t="n">
        <f aca="false">D23*$K$1</f>
        <v>19.413016195995</v>
      </c>
      <c r="F23" s="0" t="n">
        <v>2</v>
      </c>
      <c r="G23" s="0" t="n">
        <f aca="false">B23*F23+5</f>
        <v>22.8816</v>
      </c>
      <c r="H23" s="3" t="n">
        <v>0</v>
      </c>
      <c r="I23" s="3" t="n">
        <v>0</v>
      </c>
      <c r="J23" s="4" t="n">
        <v>28.3521047554837</v>
      </c>
    </row>
    <row r="24" customFormat="false" ht="15" hidden="false" customHeight="false" outlineLevel="0" collapsed="false">
      <c r="A24" s="0" t="n">
        <f aca="false">A23+1</f>
        <v>22</v>
      </c>
      <c r="B24" s="1" t="n">
        <f aca="false">B23+H24*1</f>
        <v>8.9408</v>
      </c>
      <c r="C24" s="1" t="n">
        <f aca="false">B24*$K$1</f>
        <v>20.0005696</v>
      </c>
      <c r="D24" s="1" t="n">
        <v>9.70405327866577</v>
      </c>
      <c r="E24" s="1" t="n">
        <f aca="false">D24*$K$1</f>
        <v>21.7079671843753</v>
      </c>
      <c r="F24" s="0" t="n">
        <v>2</v>
      </c>
      <c r="G24" s="0" t="n">
        <f aca="false">B24*F24+5</f>
        <v>22.8816</v>
      </c>
      <c r="H24" s="3" t="n">
        <v>0</v>
      </c>
      <c r="I24" s="3" t="n">
        <v>0</v>
      </c>
      <c r="J24" s="4" t="n">
        <v>28.0709074018625</v>
      </c>
    </row>
    <row r="25" customFormat="false" ht="15" hidden="false" customHeight="false" outlineLevel="0" collapsed="false">
      <c r="A25" s="0" t="n">
        <f aca="false">A24+1</f>
        <v>23</v>
      </c>
      <c r="B25" s="1" t="n">
        <f aca="false">B24+H25*1</f>
        <v>8.9408</v>
      </c>
      <c r="C25" s="1" t="n">
        <f aca="false">B25*$K$1</f>
        <v>20.0005696</v>
      </c>
      <c r="D25" s="1" t="n">
        <v>10.4059004261753</v>
      </c>
      <c r="E25" s="1" t="n">
        <f aca="false">D25*$K$1</f>
        <v>23.2779992533542</v>
      </c>
      <c r="F25" s="0" t="n">
        <v>2</v>
      </c>
      <c r="G25" s="0" t="n">
        <f aca="false">B25*F25+5</f>
        <v>22.8816</v>
      </c>
      <c r="H25" s="3" t="n">
        <v>0</v>
      </c>
      <c r="I25" s="3" t="n">
        <v>0</v>
      </c>
      <c r="J25" s="4" t="n">
        <v>26.9199975143205</v>
      </c>
    </row>
    <row r="26" customFormat="false" ht="15" hidden="false" customHeight="false" outlineLevel="0" collapsed="false">
      <c r="A26" s="0" t="n">
        <f aca="false">A25+1</f>
        <v>24</v>
      </c>
      <c r="B26" s="1" t="n">
        <f aca="false">B25+H26*1</f>
        <v>8.9408</v>
      </c>
      <c r="C26" s="1" t="n">
        <f aca="false">B26*$K$1</f>
        <v>20.0005696</v>
      </c>
      <c r="D26" s="1" t="n">
        <v>10.7186269444617</v>
      </c>
      <c r="E26" s="1" t="n">
        <f aca="false">D26*$K$1</f>
        <v>23.9775684747608</v>
      </c>
      <c r="F26" s="0" t="n">
        <v>2</v>
      </c>
      <c r="G26" s="0" t="n">
        <f aca="false">B26*F26+5</f>
        <v>22.8816</v>
      </c>
      <c r="H26" s="3" t="n">
        <v>0</v>
      </c>
      <c r="I26" s="3" t="n">
        <v>0</v>
      </c>
      <c r="J26" s="4" t="n">
        <v>25.2635593741242</v>
      </c>
    </row>
    <row r="27" customFormat="false" ht="15" hidden="false" customHeight="false" outlineLevel="0" collapsed="false">
      <c r="A27" s="0" t="n">
        <f aca="false">A26+1</f>
        <v>25</v>
      </c>
      <c r="B27" s="1" t="n">
        <f aca="false">B26+H27*1</f>
        <v>8.9408</v>
      </c>
      <c r="C27" s="1" t="n">
        <f aca="false">B27*$K$1</f>
        <v>20.0005696</v>
      </c>
      <c r="D27" s="1" t="n">
        <v>10.6582182273596</v>
      </c>
      <c r="E27" s="1" t="n">
        <f aca="false">D27*$K$1</f>
        <v>23.8424341746034</v>
      </c>
      <c r="F27" s="0" t="n">
        <v>2</v>
      </c>
      <c r="G27" s="0" t="n">
        <f aca="false">B27*F27+5</f>
        <v>22.8816</v>
      </c>
      <c r="H27" s="3" t="n">
        <v>0</v>
      </c>
      <c r="I27" s="3" t="n">
        <v>0</v>
      </c>
      <c r="J27" s="4" t="n">
        <v>23.4886076343761</v>
      </c>
    </row>
    <row r="28" customFormat="false" ht="15" hidden="false" customHeight="false" outlineLevel="0" collapsed="false">
      <c r="A28" s="0" t="n">
        <f aca="false">A27+1</f>
        <v>26</v>
      </c>
      <c r="B28" s="1" t="n">
        <f aca="false">B27+H28*1</f>
        <v>8.9408</v>
      </c>
      <c r="C28" s="1" t="n">
        <f aca="false">B28*$K$1</f>
        <v>20.0005696</v>
      </c>
      <c r="D28" s="1" t="n">
        <v>10.3039741425649</v>
      </c>
      <c r="E28" s="1" t="n">
        <f aca="false">D28*$K$1</f>
        <v>23.0499901569177</v>
      </c>
      <c r="F28" s="0" t="n">
        <v>2</v>
      </c>
      <c r="G28" s="0" t="n">
        <f aca="false">B28*F28+5</f>
        <v>22.8816</v>
      </c>
      <c r="H28" s="3" t="n">
        <v>0</v>
      </c>
      <c r="I28" s="3" t="n">
        <v>0</v>
      </c>
      <c r="J28" s="4" t="n">
        <v>21.9320750032736</v>
      </c>
    </row>
    <row r="29" customFormat="false" ht="15" hidden="false" customHeight="false" outlineLevel="0" collapsed="false">
      <c r="A29" s="0" t="n">
        <f aca="false">A28+1</f>
        <v>27</v>
      </c>
      <c r="B29" s="1" t="n">
        <f aca="false">B28+H29*1</f>
        <v>8.9408</v>
      </c>
      <c r="C29" s="1" t="n">
        <f aca="false">B29*$K$1</f>
        <v>20.0005696</v>
      </c>
      <c r="D29" s="1" t="n">
        <v>9.77279310626264</v>
      </c>
      <c r="E29" s="1" t="n">
        <f aca="false">D29*$K$1</f>
        <v>21.8617381787095</v>
      </c>
      <c r="F29" s="0" t="n">
        <v>2</v>
      </c>
      <c r="G29" s="0" t="n">
        <f aca="false">B29*F29+5</f>
        <v>22.8816</v>
      </c>
      <c r="H29" s="3" t="n">
        <v>0</v>
      </c>
      <c r="I29" s="3" t="n">
        <v>0</v>
      </c>
      <c r="J29" s="4" t="n">
        <v>20.8301919184613</v>
      </c>
    </row>
    <row r="30" customFormat="false" ht="15" hidden="false" customHeight="false" outlineLevel="0" collapsed="false">
      <c r="A30" s="0" t="n">
        <f aca="false">A29+1</f>
        <v>28</v>
      </c>
      <c r="B30" s="1" t="n">
        <f aca="false">B29+H30*1</f>
        <v>8.9408</v>
      </c>
      <c r="C30" s="1" t="n">
        <f aca="false">B30*$K$1</f>
        <v>20.0005696</v>
      </c>
      <c r="D30" s="1" t="n">
        <v>9.19150634220883</v>
      </c>
      <c r="E30" s="1" t="n">
        <f aca="false">D30*$K$1</f>
        <v>20.5613996875212</v>
      </c>
      <c r="F30" s="0" t="n">
        <v>2</v>
      </c>
      <c r="G30" s="0" t="n">
        <f aca="false">B30*F30+5</f>
        <v>22.8816</v>
      </c>
      <c r="H30" s="3" t="n">
        <v>0</v>
      </c>
      <c r="I30" s="3" t="n">
        <v>0</v>
      </c>
      <c r="J30" s="4" t="n">
        <v>20.2950493599356</v>
      </c>
    </row>
    <row r="31" customFormat="false" ht="15" hidden="false" customHeight="false" outlineLevel="0" collapsed="false">
      <c r="A31" s="0" t="n">
        <f aca="false">A30+1</f>
        <v>29</v>
      </c>
      <c r="B31" s="1" t="n">
        <f aca="false">B30+H31*1</f>
        <v>8.9408</v>
      </c>
      <c r="C31" s="1" t="n">
        <f aca="false">B31*$K$1</f>
        <v>20.0005696</v>
      </c>
      <c r="D31" s="1" t="n">
        <v>8.67253286403228</v>
      </c>
      <c r="E31" s="1" t="n">
        <f aca="false">D31*$K$1</f>
        <v>19.4004560168402</v>
      </c>
      <c r="F31" s="0" t="n">
        <v>2</v>
      </c>
      <c r="G31" s="0" t="n">
        <f aca="false">B31*F31+5</f>
        <v>22.8816</v>
      </c>
      <c r="H31" s="3" t="n">
        <v>0</v>
      </c>
      <c r="I31" s="3" t="n">
        <v>0</v>
      </c>
      <c r="J31" s="4" t="n">
        <v>20.3175105474792</v>
      </c>
    </row>
    <row r="32" customFormat="false" ht="15" hidden="false" customHeight="false" outlineLevel="0" collapsed="false">
      <c r="A32" s="0" t="n">
        <f aca="false">A31+1</f>
        <v>30</v>
      </c>
      <c r="B32" s="1" t="n">
        <f aca="false">B31+H32*1</f>
        <v>8.9408</v>
      </c>
      <c r="C32" s="1" t="n">
        <f aca="false">B32*$K$1</f>
        <v>20.0005696</v>
      </c>
      <c r="D32" s="1" t="n">
        <v>8.29656749876466</v>
      </c>
      <c r="E32" s="1" t="n">
        <f aca="false">D32*$K$1</f>
        <v>18.5594214947365</v>
      </c>
      <c r="F32" s="0" t="n">
        <v>2</v>
      </c>
      <c r="G32" s="0" t="n">
        <f aca="false">B32*F32+5</f>
        <v>22.8816</v>
      </c>
      <c r="H32" s="3" t="n">
        <v>0</v>
      </c>
      <c r="I32" s="3" t="n">
        <v>0</v>
      </c>
      <c r="J32" s="4" t="n">
        <v>20.7911121951263</v>
      </c>
    </row>
    <row r="33" customFormat="false" ht="15" hidden="false" customHeight="false" outlineLevel="0" collapsed="false">
      <c r="A33" s="0" t="n">
        <f aca="false">A32+1</f>
        <v>31</v>
      </c>
      <c r="B33" s="1" t="n">
        <f aca="false">B32+H33*1</f>
        <v>8.9408</v>
      </c>
      <c r="C33" s="1" t="n">
        <f aca="false">B33*$K$1</f>
        <v>20.0005696</v>
      </c>
      <c r="D33" s="1" t="n">
        <v>8.10408327251113</v>
      </c>
      <c r="E33" s="1" t="n">
        <f aca="false">D33*$K$1</f>
        <v>18.1288342806074</v>
      </c>
      <c r="F33" s="0" t="n">
        <v>2</v>
      </c>
      <c r="G33" s="0" t="n">
        <f aca="false">B33*F33+5</f>
        <v>22.8816</v>
      </c>
      <c r="H33" s="3" t="n">
        <v>0</v>
      </c>
      <c r="I33" s="3" t="n">
        <v>0</v>
      </c>
      <c r="J33" s="4" t="n">
        <v>21.5488541079934</v>
      </c>
    </row>
    <row r="34" customFormat="false" ht="15" hidden="false" customHeight="false" outlineLevel="0" collapsed="false">
      <c r="A34" s="0" t="n">
        <f aca="false">A33+1</f>
        <v>32</v>
      </c>
      <c r="B34" s="1" t="n">
        <f aca="false">B33+H34*1</f>
        <v>8.9408</v>
      </c>
      <c r="C34" s="1" t="n">
        <f aca="false">B34*$K$1</f>
        <v>20.0005696</v>
      </c>
      <c r="D34" s="1" t="n">
        <v>8.09553707300765</v>
      </c>
      <c r="E34" s="1" t="n">
        <f aca="false">D34*$K$1</f>
        <v>18.1097164323181</v>
      </c>
      <c r="F34" s="0" t="n">
        <v>2</v>
      </c>
      <c r="G34" s="0" t="n">
        <f aca="false">B34*F34+5</f>
        <v>22.8816</v>
      </c>
      <c r="H34" s="3" t="n">
        <v>0</v>
      </c>
      <c r="I34" s="3" t="n">
        <v>0</v>
      </c>
      <c r="J34" s="4" t="n">
        <v>22.4039763332543</v>
      </c>
    </row>
    <row r="35" customFormat="false" ht="15" hidden="false" customHeight="false" outlineLevel="0" collapsed="false">
      <c r="A35" s="0" t="n">
        <f aca="false">A34+1</f>
        <v>33</v>
      </c>
      <c r="B35" s="1" t="n">
        <f aca="false">B34+H35*1</f>
        <v>8.9408</v>
      </c>
      <c r="C35" s="1" t="n">
        <f aca="false">B35*$K$1</f>
        <v>20.0005696</v>
      </c>
      <c r="D35" s="1" t="n">
        <v>8.23864260365001</v>
      </c>
      <c r="E35" s="1" t="n">
        <f aca="false">D35*$K$1</f>
        <v>18.4298435043651</v>
      </c>
      <c r="F35" s="0" t="n">
        <v>2</v>
      </c>
      <c r="G35" s="0" t="n">
        <f aca="false">B35*F35+5</f>
        <v>22.8816</v>
      </c>
      <c r="H35" s="3" t="n">
        <v>0</v>
      </c>
      <c r="I35" s="3" t="n">
        <v>0</v>
      </c>
      <c r="J35" s="4" t="n">
        <v>23.1867508317239</v>
      </c>
    </row>
    <row r="36" customFormat="false" ht="15" hidden="false" customHeight="false" outlineLevel="0" collapsed="false">
      <c r="A36" s="0" t="n">
        <f aca="false">A35+1</f>
        <v>34</v>
      </c>
      <c r="B36" s="1" t="n">
        <f aca="false">B35+H36*1</f>
        <v>8.9408</v>
      </c>
      <c r="C36" s="1" t="n">
        <f aca="false">B36*$K$1</f>
        <v>20.0005696</v>
      </c>
      <c r="D36" s="1" t="n">
        <v>8.48012046447958</v>
      </c>
      <c r="E36" s="1" t="n">
        <f aca="false">D36*$K$1</f>
        <v>18.9700294790408</v>
      </c>
      <c r="F36" s="0" t="n">
        <v>2</v>
      </c>
      <c r="G36" s="0" t="n">
        <f aca="false">B36*F36+5</f>
        <v>22.8816</v>
      </c>
      <c r="H36" s="3" t="n">
        <v>0</v>
      </c>
      <c r="I36" s="3" t="n">
        <v>0</v>
      </c>
      <c r="J36" s="4" t="n">
        <v>23.7714875469086</v>
      </c>
    </row>
    <row r="37" customFormat="false" ht="15" hidden="false" customHeight="false" outlineLevel="0" collapsed="false">
      <c r="A37" s="0" t="n">
        <f aca="false">A36+1</f>
        <v>35</v>
      </c>
      <c r="B37" s="1" t="n">
        <f aca="false">B36+H37*1</f>
        <v>8.9408</v>
      </c>
      <c r="C37" s="1" t="n">
        <f aca="false">B37*$K$1</f>
        <v>20.0005696</v>
      </c>
      <c r="D37" s="1" t="n">
        <v>8.75901627152576</v>
      </c>
      <c r="E37" s="1" t="n">
        <f aca="false">D37*$K$1</f>
        <v>19.5939193994031</v>
      </c>
      <c r="F37" s="0" t="n">
        <v>2</v>
      </c>
      <c r="G37" s="0" t="n">
        <f aca="false">B37*F37+5</f>
        <v>22.8816</v>
      </c>
      <c r="H37" s="3" t="n">
        <v>0</v>
      </c>
      <c r="I37" s="3" t="n">
        <v>0</v>
      </c>
      <c r="J37" s="4" t="n">
        <v>24.0907581702183</v>
      </c>
    </row>
    <row r="38" customFormat="false" ht="15" hidden="false" customHeight="false" outlineLevel="0" collapsed="false">
      <c r="A38" s="0" t="n">
        <f aca="false">A37+1</f>
        <v>36</v>
      </c>
      <c r="B38" s="1" t="n">
        <f aca="false">B37+H38*1</f>
        <v>9.83488</v>
      </c>
      <c r="C38" s="1" t="n">
        <f aca="false">B38*$K$1</f>
        <v>22.00062656</v>
      </c>
      <c r="D38" s="1" t="n">
        <v>8.96528913782165</v>
      </c>
      <c r="E38" s="1" t="n">
        <f aca="false">D38*$K$1</f>
        <v>20.055351801307</v>
      </c>
      <c r="F38" s="0" t="n">
        <v>2</v>
      </c>
      <c r="G38" s="0" t="n">
        <f aca="false">B38*F38+5</f>
        <v>24.66976</v>
      </c>
      <c r="H38" s="3" t="n">
        <v>0.89408</v>
      </c>
      <c r="I38" s="3" t="n">
        <v>0</v>
      </c>
      <c r="J38" s="4" t="n">
        <v>24.6135038638655</v>
      </c>
    </row>
    <row r="39" customFormat="false" ht="15" hidden="false" customHeight="false" outlineLevel="0" collapsed="false">
      <c r="A39" s="0" t="n">
        <f aca="false">A38+1</f>
        <v>37</v>
      </c>
      <c r="B39" s="1" t="n">
        <f aca="false">B38+H39*1</f>
        <v>10.72896</v>
      </c>
      <c r="C39" s="1" t="n">
        <f aca="false">B39*$K$1</f>
        <v>24.00068352</v>
      </c>
      <c r="D39" s="1" t="n">
        <v>9.13486861710729</v>
      </c>
      <c r="E39" s="1" t="n">
        <f aca="false">D39*$K$1</f>
        <v>20.434701096469</v>
      </c>
      <c r="F39" s="0" t="n">
        <v>2</v>
      </c>
      <c r="G39" s="0" t="n">
        <f aca="false">B39*F39+5</f>
        <v>26.45792</v>
      </c>
      <c r="H39" s="3" t="n">
        <v>0.89408</v>
      </c>
      <c r="I39" s="3" t="n">
        <v>0</v>
      </c>
      <c r="J39" s="4" t="n">
        <v>25.8550397895405</v>
      </c>
    </row>
    <row r="40" customFormat="false" ht="15" hidden="false" customHeight="false" outlineLevel="0" collapsed="false">
      <c r="A40" s="0" t="n">
        <f aca="false">A39+1</f>
        <v>38</v>
      </c>
      <c r="B40" s="1" t="n">
        <f aca="false">B39+H40*1</f>
        <v>11.62304</v>
      </c>
      <c r="C40" s="1" t="n">
        <f aca="false">B40*$K$1</f>
        <v>26.00074048</v>
      </c>
      <c r="D40" s="1" t="n">
        <v>9.40313723096227</v>
      </c>
      <c r="E40" s="1" t="n">
        <f aca="false">D40*$K$1</f>
        <v>21.0348179856626</v>
      </c>
      <c r="F40" s="0" t="n">
        <v>2</v>
      </c>
      <c r="G40" s="0" t="n">
        <f aca="false">B40*F40+5</f>
        <v>28.24608</v>
      </c>
      <c r="H40" s="3" t="n">
        <v>0.89408</v>
      </c>
      <c r="I40" s="3" t="n">
        <v>0</v>
      </c>
      <c r="J40" s="4" t="n">
        <v>27.7803244169097</v>
      </c>
    </row>
    <row r="41" customFormat="false" ht="15" hidden="false" customHeight="false" outlineLevel="0" collapsed="false">
      <c r="A41" s="0" t="n">
        <f aca="false">A40+1</f>
        <v>39</v>
      </c>
      <c r="B41" s="1" t="n">
        <f aca="false">B40+H41*1</f>
        <v>12.51712</v>
      </c>
      <c r="C41" s="1" t="n">
        <f aca="false">B41*$K$1</f>
        <v>28.00079744</v>
      </c>
      <c r="D41" s="1" t="n">
        <v>9.8630743978846</v>
      </c>
      <c r="E41" s="1" t="n">
        <f aca="false">D41*$K$1</f>
        <v>22.0636974280678</v>
      </c>
      <c r="F41" s="0" t="n">
        <v>2</v>
      </c>
      <c r="G41" s="0" t="n">
        <f aca="false">B41*F41+5</f>
        <v>30.03424</v>
      </c>
      <c r="H41" s="3" t="n">
        <v>0.89408</v>
      </c>
      <c r="I41" s="3" t="n">
        <v>0</v>
      </c>
      <c r="J41" s="4" t="n">
        <v>30.2393526896244</v>
      </c>
    </row>
    <row r="42" customFormat="false" ht="15" hidden="false" customHeight="false" outlineLevel="0" collapsed="false">
      <c r="A42" s="0" t="n">
        <f aca="false">A41+1</f>
        <v>40</v>
      </c>
      <c r="B42" s="1" t="n">
        <f aca="false">B41+H42*1</f>
        <v>13.4112</v>
      </c>
      <c r="C42" s="1" t="n">
        <f aca="false">B42*$K$1</f>
        <v>30.0008544</v>
      </c>
      <c r="D42" s="1" t="n">
        <v>10.5565401690392</v>
      </c>
      <c r="E42" s="1" t="n">
        <f aca="false">D42*$K$1</f>
        <v>23.6149803581407</v>
      </c>
      <c r="F42" s="0" t="n">
        <v>2</v>
      </c>
      <c r="G42" s="0" t="n">
        <f aca="false">B42*F42+5</f>
        <v>31.8224</v>
      </c>
      <c r="H42" s="3" t="n">
        <v>0.89408</v>
      </c>
      <c r="I42" s="3" t="n">
        <v>0</v>
      </c>
      <c r="J42" s="4" t="n">
        <v>33.0149179977735</v>
      </c>
    </row>
    <row r="43" customFormat="false" ht="15" hidden="false" customHeight="false" outlineLevel="0" collapsed="false">
      <c r="A43" s="0" t="n">
        <f aca="false">A42+1</f>
        <v>41</v>
      </c>
      <c r="B43" s="1" t="n">
        <f aca="false">B42+H43*1</f>
        <v>14.30528</v>
      </c>
      <c r="C43" s="1" t="n">
        <f aca="false">B43*$K$1</f>
        <v>32.00091136</v>
      </c>
      <c r="D43" s="1" t="n">
        <v>11.4762373473478</v>
      </c>
      <c r="E43" s="1" t="n">
        <f aca="false">D43*$K$1</f>
        <v>25.672342946017</v>
      </c>
      <c r="F43" s="0" t="n">
        <v>2</v>
      </c>
      <c r="G43" s="0" t="n">
        <f aca="false">B43*F43+5</f>
        <v>33.61056</v>
      </c>
      <c r="H43" s="3" t="n">
        <v>0.89408</v>
      </c>
      <c r="I43" s="3" t="n">
        <v>0</v>
      </c>
      <c r="J43" s="4" t="n">
        <v>35.8735285703537</v>
      </c>
    </row>
    <row r="44" customFormat="false" ht="15" hidden="false" customHeight="false" outlineLevel="0" collapsed="false">
      <c r="A44" s="0" t="n">
        <f aca="false">A43+1</f>
        <v>42</v>
      </c>
      <c r="B44" s="1" t="n">
        <f aca="false">B43+H44*1</f>
        <v>15.19936</v>
      </c>
      <c r="C44" s="1" t="n">
        <f aca="false">B44*$K$1</f>
        <v>34.00096832</v>
      </c>
      <c r="D44" s="1" t="n">
        <v>12.5760411552137</v>
      </c>
      <c r="E44" s="1" t="n">
        <f aca="false">D44*$K$1</f>
        <v>28.132604064213</v>
      </c>
      <c r="F44" s="0" t="n">
        <v>2</v>
      </c>
      <c r="G44" s="0" t="n">
        <f aca="false">B44*F44+5</f>
        <v>35.39872</v>
      </c>
      <c r="H44" s="3" t="n">
        <v>0.89408</v>
      </c>
      <c r="I44" s="3" t="n">
        <v>0</v>
      </c>
      <c r="J44" s="4" t="n">
        <v>38.6098580871036</v>
      </c>
    </row>
    <row r="45" customFormat="false" ht="15" hidden="false" customHeight="false" outlineLevel="0" collapsed="false">
      <c r="A45" s="0" t="n">
        <f aca="false">A44+1</f>
        <v>43</v>
      </c>
      <c r="B45" s="1" t="n">
        <f aca="false">B44+H45*1</f>
        <v>16.09344</v>
      </c>
      <c r="C45" s="1" t="n">
        <f aca="false">B45*$K$1</f>
        <v>36.00102528</v>
      </c>
      <c r="D45" s="1" t="n">
        <v>13.7863245914972</v>
      </c>
      <c r="E45" s="1" t="n">
        <f aca="false">D45*$K$1</f>
        <v>30.8400081111792</v>
      </c>
      <c r="F45" s="0" t="n">
        <v>2</v>
      </c>
      <c r="G45" s="0" t="n">
        <f aca="false">B45*F45+5</f>
        <v>37.18688</v>
      </c>
      <c r="H45" s="3" t="n">
        <v>0.89408</v>
      </c>
      <c r="I45" s="3" t="n">
        <v>0</v>
      </c>
      <c r="J45" s="4" t="n">
        <v>41.0780263234206</v>
      </c>
    </row>
    <row r="46" customFormat="false" ht="15" hidden="false" customHeight="false" outlineLevel="0" collapsed="false">
      <c r="A46" s="0" t="n">
        <f aca="false">A45+1</f>
        <v>44</v>
      </c>
      <c r="B46" s="1" t="n">
        <f aca="false">B45+H46*1</f>
        <v>16.98752</v>
      </c>
      <c r="C46" s="1" t="n">
        <f aca="false">B46*$K$1</f>
        <v>38.00108224</v>
      </c>
      <c r="D46" s="1" t="n">
        <v>15.0306402788001</v>
      </c>
      <c r="E46" s="1" t="n">
        <f aca="false">D46*$K$1</f>
        <v>33.6235423036758</v>
      </c>
      <c r="F46" s="0" t="n">
        <v>2</v>
      </c>
      <c r="G46" s="0" t="n">
        <f aca="false">B46*F46+5</f>
        <v>38.97504</v>
      </c>
      <c r="H46" s="3" t="n">
        <v>0.89408</v>
      </c>
      <c r="I46" s="3" t="n">
        <v>0</v>
      </c>
      <c r="J46" s="4" t="n">
        <v>43.2065761233271</v>
      </c>
    </row>
    <row r="47" customFormat="false" ht="15" hidden="false" customHeight="false" outlineLevel="0" collapsed="false">
      <c r="A47" s="0" t="n">
        <f aca="false">A46+1</f>
        <v>45</v>
      </c>
      <c r="B47" s="1" t="n">
        <f aca="false">B46+H47*1</f>
        <v>17.8816</v>
      </c>
      <c r="C47" s="1" t="n">
        <f aca="false">B47*$K$1</f>
        <v>40.0011392</v>
      </c>
      <c r="D47" s="1" t="n">
        <v>16.2405475536228</v>
      </c>
      <c r="E47" s="1" t="n">
        <f aca="false">D47*$K$1</f>
        <v>36.3301048774542</v>
      </c>
      <c r="F47" s="0" t="n">
        <v>2</v>
      </c>
      <c r="G47" s="0" t="n">
        <f aca="false">B47*F47+5</f>
        <v>40.7632</v>
      </c>
      <c r="H47" s="3" t="n">
        <v>0.89408</v>
      </c>
      <c r="I47" s="3" t="n">
        <v>0</v>
      </c>
      <c r="J47" s="4" t="n">
        <v>44.9974837083312</v>
      </c>
    </row>
    <row r="48" customFormat="false" ht="15" hidden="false" customHeight="false" outlineLevel="0" collapsed="false">
      <c r="A48" s="0" t="n">
        <f aca="false">A47+1</f>
        <v>46</v>
      </c>
      <c r="B48" s="1" t="n">
        <f aca="false">B47+H48*1</f>
        <v>17.8816</v>
      </c>
      <c r="C48" s="1" t="n">
        <f aca="false">B48*$K$1</f>
        <v>40.0011392</v>
      </c>
      <c r="D48" s="1" t="n">
        <v>17.4199378303071</v>
      </c>
      <c r="E48" s="1" t="n">
        <f aca="false">D48*$K$1</f>
        <v>38.968400926397</v>
      </c>
      <c r="F48" s="0" t="n">
        <v>2</v>
      </c>
      <c r="G48" s="0" t="n">
        <f aca="false">B48*F48+5</f>
        <v>40.7632</v>
      </c>
      <c r="H48" s="3" t="n">
        <v>0</v>
      </c>
      <c r="I48" s="3" t="n">
        <v>0</v>
      </c>
      <c r="J48" s="4" t="n">
        <v>46.035469698723</v>
      </c>
    </row>
    <row r="49" customFormat="false" ht="15" hidden="false" customHeight="false" outlineLevel="0" collapsed="false">
      <c r="A49" s="0" t="n">
        <f aca="false">A48+1</f>
        <v>47</v>
      </c>
      <c r="B49" s="1" t="n">
        <f aca="false">B48+H49*1</f>
        <v>17.8816</v>
      </c>
      <c r="C49" s="1" t="n">
        <f aca="false">B49*$K$1</f>
        <v>40.0011392</v>
      </c>
      <c r="D49" s="1" t="n">
        <v>18.4645530658284</v>
      </c>
      <c r="E49" s="1" t="n">
        <f aca="false">D49*$K$1</f>
        <v>41.3052052082581</v>
      </c>
      <c r="F49" s="0" t="n">
        <v>2</v>
      </c>
      <c r="G49" s="0" t="n">
        <f aca="false">B49*F49+5</f>
        <v>40.7632</v>
      </c>
      <c r="H49" s="3" t="n">
        <v>0</v>
      </c>
      <c r="I49" s="3" t="n">
        <v>0</v>
      </c>
      <c r="J49" s="4" t="n">
        <v>45.9465761550407</v>
      </c>
    </row>
    <row r="50" customFormat="false" ht="15" hidden="false" customHeight="false" outlineLevel="0" collapsed="false">
      <c r="A50" s="0" t="n">
        <f aca="false">A49+1</f>
        <v>48</v>
      </c>
      <c r="B50" s="1" t="n">
        <f aca="false">B49+H50*1</f>
        <v>17.8816</v>
      </c>
      <c r="C50" s="1" t="n">
        <f aca="false">B50*$K$1</f>
        <v>40.0011392</v>
      </c>
      <c r="D50" s="1" t="n">
        <v>19.2136846792668</v>
      </c>
      <c r="E50" s="1" t="n">
        <f aca="false">D50*$K$1</f>
        <v>42.9810126275198</v>
      </c>
      <c r="F50" s="0" t="n">
        <v>2</v>
      </c>
      <c r="G50" s="0" t="n">
        <f aca="false">B50*F50+5</f>
        <v>40.7632</v>
      </c>
      <c r="H50" s="3" t="n">
        <v>0</v>
      </c>
      <c r="I50" s="3" t="n">
        <v>0</v>
      </c>
      <c r="J50" s="4" t="n">
        <v>44.9536820364135</v>
      </c>
    </row>
    <row r="51" customFormat="false" ht="15" hidden="false" customHeight="false" outlineLevel="0" collapsed="false">
      <c r="A51" s="0" t="n">
        <f aca="false">A50+1</f>
        <v>49</v>
      </c>
      <c r="B51" s="1" t="n">
        <f aca="false">B50+H51*1</f>
        <v>17.8816</v>
      </c>
      <c r="C51" s="1" t="n">
        <f aca="false">B51*$K$1</f>
        <v>40.0011392</v>
      </c>
      <c r="D51" s="1" t="n">
        <v>19.5886235142502</v>
      </c>
      <c r="E51" s="1" t="n">
        <f aca="false">D51*$K$1</f>
        <v>43.8197508013777</v>
      </c>
      <c r="F51" s="0" t="n">
        <v>2</v>
      </c>
      <c r="G51" s="0" t="n">
        <f aca="false">B51*F51+5</f>
        <v>40.7632</v>
      </c>
      <c r="H51" s="3" t="n">
        <v>0</v>
      </c>
      <c r="I51" s="3" t="n">
        <v>0</v>
      </c>
      <c r="J51" s="4" t="n">
        <v>43.3992164264552</v>
      </c>
    </row>
    <row r="52" customFormat="false" ht="15" hidden="false" customHeight="false" outlineLevel="0" collapsed="false">
      <c r="A52" s="0" t="n">
        <f aca="false">A51+1</f>
        <v>50</v>
      </c>
      <c r="B52" s="1" t="n">
        <f aca="false">B51+H52*1</f>
        <v>17.8816</v>
      </c>
      <c r="C52" s="1" t="n">
        <f aca="false">B52*$K$1</f>
        <v>40.0011392</v>
      </c>
      <c r="D52" s="1" t="n">
        <v>19.5915654149186</v>
      </c>
      <c r="E52" s="1" t="n">
        <f aca="false">D52*$K$1</f>
        <v>43.8263318331729</v>
      </c>
      <c r="F52" s="0" t="n">
        <v>2</v>
      </c>
      <c r="G52" s="0" t="n">
        <f aca="false">B52*F52+5</f>
        <v>40.7632</v>
      </c>
      <c r="H52" s="3" t="n">
        <v>0</v>
      </c>
      <c r="I52" s="3" t="n">
        <v>0</v>
      </c>
      <c r="J52" s="4" t="n">
        <v>41.6623876908741</v>
      </c>
    </row>
    <row r="53" customFormat="false" ht="15" hidden="false" customHeight="false" outlineLevel="0" collapsed="false">
      <c r="A53" s="0" t="n">
        <f aca="false">A52+1</f>
        <v>51</v>
      </c>
      <c r="B53" s="1" t="n">
        <f aca="false">B52+H53*1</f>
        <v>17.8816</v>
      </c>
      <c r="C53" s="1" t="n">
        <f aca="false">B53*$K$1</f>
        <v>40.0011392</v>
      </c>
      <c r="D53" s="1" t="n">
        <v>19.2903528003931</v>
      </c>
      <c r="E53" s="1" t="n">
        <f aca="false">D53*$K$1</f>
        <v>43.1525192144794</v>
      </c>
      <c r="F53" s="0" t="n">
        <v>2</v>
      </c>
      <c r="G53" s="0" t="n">
        <f aca="false">B53*F53+5</f>
        <v>40.7632</v>
      </c>
      <c r="H53" s="3" t="n">
        <v>0</v>
      </c>
      <c r="I53" s="3" t="n">
        <v>0</v>
      </c>
      <c r="J53" s="4" t="n">
        <v>40.0850937106969</v>
      </c>
    </row>
    <row r="54" customFormat="false" ht="15" hidden="false" customHeight="false" outlineLevel="0" collapsed="false">
      <c r="A54" s="0" t="n">
        <f aca="false">A53+1</f>
        <v>52</v>
      </c>
      <c r="B54" s="1" t="n">
        <f aca="false">B53+H54*1</f>
        <v>17.8816</v>
      </c>
      <c r="C54" s="1" t="n">
        <f aca="false">B54*$K$1</f>
        <v>40.0011392</v>
      </c>
      <c r="D54" s="1" t="n">
        <v>18.7943644846895</v>
      </c>
      <c r="E54" s="1" t="n">
        <f aca="false">D54*$K$1</f>
        <v>42.0429933522504</v>
      </c>
      <c r="F54" s="0" t="n">
        <v>2</v>
      </c>
      <c r="G54" s="0" t="n">
        <f aca="false">B54*F54+5</f>
        <v>40.7632</v>
      </c>
      <c r="H54" s="3" t="n">
        <v>0</v>
      </c>
      <c r="I54" s="3" t="n">
        <v>0</v>
      </c>
      <c r="J54" s="4" t="n">
        <v>38.9180728520219</v>
      </c>
    </row>
    <row r="55" customFormat="false" ht="15" hidden="false" customHeight="false" outlineLevel="0" collapsed="false">
      <c r="A55" s="0" t="n">
        <f aca="false">A54+1</f>
        <v>53</v>
      </c>
      <c r="B55" s="1" t="n">
        <f aca="false">B54+H55*1</f>
        <v>17.8816</v>
      </c>
      <c r="C55" s="1" t="n">
        <f aca="false">B55*$K$1</f>
        <v>40.0011392</v>
      </c>
      <c r="D55" s="1" t="n">
        <v>18.2274613942792</v>
      </c>
      <c r="E55" s="1" t="n">
        <f aca="false">D55*$K$1</f>
        <v>40.7748311390026</v>
      </c>
      <c r="F55" s="0" t="n">
        <v>2</v>
      </c>
      <c r="G55" s="0" t="n">
        <f aca="false">B55*F55+5</f>
        <v>40.7632</v>
      </c>
      <c r="H55" s="3" t="n">
        <v>0</v>
      </c>
      <c r="I55" s="3" t="n">
        <v>0</v>
      </c>
      <c r="J55" s="4" t="n">
        <v>38.2931370692043</v>
      </c>
    </row>
    <row r="56" customFormat="false" ht="15" hidden="false" customHeight="false" outlineLevel="0" collapsed="false">
      <c r="A56" s="0" t="n">
        <f aca="false">A55+1</f>
        <v>54</v>
      </c>
      <c r="B56" s="1" t="n">
        <f aca="false">B55+H56*1</f>
        <v>17.8816</v>
      </c>
      <c r="C56" s="1" t="n">
        <f aca="false">B56*$K$1</f>
        <v>40.0011392</v>
      </c>
      <c r="D56" s="1" t="n">
        <v>17.7033328820334</v>
      </c>
      <c r="E56" s="1" t="n">
        <f aca="false">D56*$K$1</f>
        <v>39.6023556571087</v>
      </c>
      <c r="F56" s="0" t="n">
        <v>2</v>
      </c>
      <c r="G56" s="0" t="n">
        <f aca="false">B56*F56+5</f>
        <v>40.7632</v>
      </c>
      <c r="H56" s="3" t="n">
        <v>0</v>
      </c>
      <c r="I56" s="3" t="n">
        <v>0</v>
      </c>
      <c r="J56" s="4" t="n">
        <v>38.2216239917414</v>
      </c>
    </row>
    <row r="57" customFormat="false" ht="15" hidden="false" customHeight="false" outlineLevel="0" collapsed="false">
      <c r="A57" s="0" t="n">
        <f aca="false">A56+1</f>
        <v>55</v>
      </c>
      <c r="B57" s="1" t="n">
        <f aca="false">B56+H57*1</f>
        <v>17.8816</v>
      </c>
      <c r="C57" s="1" t="n">
        <f aca="false">B57*$K$1</f>
        <v>40.0011392</v>
      </c>
      <c r="D57" s="1" t="n">
        <v>17.307179860206</v>
      </c>
      <c r="E57" s="1" t="n">
        <f aca="false">D57*$K$1</f>
        <v>38.7161613472808</v>
      </c>
      <c r="F57" s="0" t="n">
        <v>2</v>
      </c>
      <c r="G57" s="0" t="n">
        <f aca="false">B57*F57+5</f>
        <v>40.7632</v>
      </c>
      <c r="H57" s="3" t="n">
        <v>0</v>
      </c>
      <c r="I57" s="3" t="n">
        <v>0</v>
      </c>
      <c r="J57" s="4" t="n">
        <v>38.6145243688697</v>
      </c>
    </row>
    <row r="58" customFormat="false" ht="15" hidden="false" customHeight="false" outlineLevel="0" collapsed="false">
      <c r="A58" s="0" t="n">
        <f aca="false">A57+1</f>
        <v>56</v>
      </c>
      <c r="B58" s="1" t="n">
        <f aca="false">B57+H58*1</f>
        <v>17.8816</v>
      </c>
      <c r="C58" s="1" t="n">
        <f aca="false">B58*$K$1</f>
        <v>40.0011392</v>
      </c>
      <c r="D58" s="1" t="n">
        <v>17.0858224474333</v>
      </c>
      <c r="E58" s="1" t="n">
        <f aca="false">D58*$K$1</f>
        <v>38.2209848149083</v>
      </c>
      <c r="F58" s="0" t="n">
        <v>2</v>
      </c>
      <c r="G58" s="0" t="n">
        <f aca="false">B58*F58+5</f>
        <v>40.7632</v>
      </c>
      <c r="H58" s="3" t="n">
        <v>0</v>
      </c>
      <c r="I58" s="3" t="n">
        <v>0</v>
      </c>
      <c r="J58" s="4" t="n">
        <v>39.3167276831953</v>
      </c>
    </row>
    <row r="59" customFormat="false" ht="15" hidden="false" customHeight="false" outlineLevel="0" collapsed="false">
      <c r="A59" s="0" t="n">
        <f aca="false">A58+1</f>
        <v>57</v>
      </c>
      <c r="B59" s="1" t="n">
        <f aca="false">B58+H59*1</f>
        <v>17.8816</v>
      </c>
      <c r="C59" s="1" t="n">
        <f aca="false">B59*$K$1</f>
        <v>40.0011392</v>
      </c>
      <c r="D59" s="1" t="n">
        <v>17.0464403335193</v>
      </c>
      <c r="E59" s="1" t="n">
        <f aca="false">D59*$K$1</f>
        <v>38.1328870260827</v>
      </c>
      <c r="F59" s="0" t="n">
        <v>2</v>
      </c>
      <c r="G59" s="0" t="n">
        <f aca="false">B59*F59+5</f>
        <v>40.7632</v>
      </c>
      <c r="H59" s="3" t="n">
        <v>0</v>
      </c>
      <c r="I59" s="3" t="n">
        <v>0</v>
      </c>
      <c r="J59" s="4" t="n">
        <v>40.146710828672</v>
      </c>
    </row>
    <row r="60" customFormat="false" ht="15" hidden="false" customHeight="false" outlineLevel="0" collapsed="false">
      <c r="A60" s="0" t="n">
        <f aca="false">A59+1</f>
        <v>58</v>
      </c>
      <c r="B60" s="1" t="n">
        <f aca="false">B59+H60*1</f>
        <v>17.8816</v>
      </c>
      <c r="C60" s="1" t="n">
        <f aca="false">B60*$K$1</f>
        <v>40.0011392</v>
      </c>
      <c r="D60" s="1" t="n">
        <v>17.1625830155442</v>
      </c>
      <c r="E60" s="1" t="n">
        <f aca="false">D60*$K$1</f>
        <v>38.3926982057724</v>
      </c>
      <c r="F60" s="0" t="n">
        <v>2</v>
      </c>
      <c r="G60" s="0" t="n">
        <f aca="false">B60*F60+5</f>
        <v>40.7632</v>
      </c>
      <c r="H60" s="3" t="n">
        <v>0</v>
      </c>
      <c r="I60" s="3" t="n">
        <v>0</v>
      </c>
      <c r="J60" s="4" t="n">
        <v>40.9336225933891</v>
      </c>
    </row>
    <row r="61" customFormat="false" ht="15" hidden="false" customHeight="false" outlineLevel="0" collapsed="false">
      <c r="A61" s="0" t="n">
        <f aca="false">A60+1</f>
        <v>59</v>
      </c>
      <c r="B61" s="1" t="n">
        <f aca="false">B60+H61*1</f>
        <v>17.8816</v>
      </c>
      <c r="C61" s="1" t="n">
        <f aca="false">B61*$K$1</f>
        <v>40.0011392</v>
      </c>
      <c r="D61" s="1" t="n">
        <v>17.3850467136903</v>
      </c>
      <c r="E61" s="1" t="n">
        <f aca="false">D61*$K$1</f>
        <v>38.8903494985252</v>
      </c>
      <c r="F61" s="0" t="n">
        <v>2</v>
      </c>
      <c r="G61" s="0" t="n">
        <f aca="false">B61*F61+5</f>
        <v>40.7632</v>
      </c>
      <c r="H61" s="3" t="n">
        <v>0</v>
      </c>
      <c r="I61" s="3" t="n">
        <v>0</v>
      </c>
      <c r="J61" s="4" t="n">
        <v>41.5456579844309</v>
      </c>
    </row>
    <row r="62" customFormat="false" ht="15" hidden="false" customHeight="false" outlineLevel="0" collapsed="false">
      <c r="A62" s="0" t="n">
        <f aca="false">A61+1</f>
        <v>60</v>
      </c>
      <c r="B62" s="1" t="n">
        <f aca="false">B61+H62*1</f>
        <v>17.8816</v>
      </c>
      <c r="C62" s="1" t="n">
        <f aca="false">B62*$K$1</f>
        <v>40.0011392</v>
      </c>
      <c r="D62" s="1" t="n">
        <v>17.6547923223686</v>
      </c>
      <c r="E62" s="1" t="n">
        <f aca="false">D62*$K$1</f>
        <v>39.4937704251386</v>
      </c>
      <c r="F62" s="0" t="n">
        <v>2</v>
      </c>
      <c r="G62" s="0" t="n">
        <f aca="false">B62*F62+5</f>
        <v>40.7632</v>
      </c>
      <c r="H62" s="3" t="n">
        <v>0</v>
      </c>
      <c r="I62" s="3" t="n">
        <v>0</v>
      </c>
      <c r="J62" s="4" t="n">
        <v>41.9062851092613</v>
      </c>
    </row>
    <row r="63" customFormat="false" ht="15" hidden="false" customHeight="false" outlineLevel="0" collapsed="false">
      <c r="A63" s="0" t="n">
        <f aca="false">A62+1</f>
        <v>61</v>
      </c>
      <c r="B63" s="1" t="n">
        <f aca="false">B57-H63*1</f>
        <v>16.98752</v>
      </c>
      <c r="C63" s="1" t="n">
        <f aca="false">B63*$K$1</f>
        <v>38.00108224</v>
      </c>
      <c r="D63" s="1" t="n">
        <v>17.9688804457248</v>
      </c>
      <c r="E63" s="1" t="n">
        <f aca="false">D63*$K$1</f>
        <v>40.1963855570864</v>
      </c>
      <c r="F63" s="0" t="n">
        <v>2</v>
      </c>
      <c r="G63" s="0" t="n">
        <f aca="false">B63*F63+5</f>
        <v>38.97504</v>
      </c>
      <c r="H63" s="3" t="n">
        <v>0.89408</v>
      </c>
      <c r="I63" s="3" t="n">
        <v>0</v>
      </c>
      <c r="J63" s="4" t="n">
        <v>41.520833204195</v>
      </c>
    </row>
    <row r="64" customFormat="false" ht="15" hidden="false" customHeight="false" outlineLevel="0" collapsed="false">
      <c r="A64" s="0" t="n">
        <f aca="false">A63+1</f>
        <v>62</v>
      </c>
      <c r="B64" s="1" t="n">
        <f aca="false">B63-H64*1</f>
        <v>16.09344</v>
      </c>
      <c r="C64" s="1" t="n">
        <f aca="false">B64*$K$1</f>
        <v>36.00102528</v>
      </c>
      <c r="D64" s="1" t="n">
        <v>18.2041858592699</v>
      </c>
      <c r="E64" s="1" t="n">
        <f aca="false">D64*$K$1</f>
        <v>40.7227637671868</v>
      </c>
      <c r="F64" s="0" t="n">
        <v>2</v>
      </c>
      <c r="G64" s="0" t="n">
        <f aca="false">B64*F64+5</f>
        <v>37.18688</v>
      </c>
      <c r="H64" s="3" t="n">
        <v>0.89408</v>
      </c>
      <c r="I64" s="3" t="n">
        <v>0</v>
      </c>
      <c r="J64" s="4" t="n">
        <v>39.9493283825371</v>
      </c>
    </row>
    <row r="65" customFormat="false" ht="15" hidden="false" customHeight="false" outlineLevel="0" collapsed="false">
      <c r="A65" s="0" t="n">
        <f aca="false">A64+1</f>
        <v>63</v>
      </c>
      <c r="B65" s="1" t="n">
        <f aca="false">B64-H65*1</f>
        <v>15.19936</v>
      </c>
      <c r="C65" s="1" t="n">
        <f aca="false">B65*$K$1</f>
        <v>34.00096832</v>
      </c>
      <c r="D65" s="1" t="n">
        <v>18.1746584198021</v>
      </c>
      <c r="E65" s="1" t="n">
        <f aca="false">D65*$K$1</f>
        <v>40.6567108850973</v>
      </c>
      <c r="F65" s="0" t="n">
        <v>2</v>
      </c>
      <c r="G65" s="0" t="n">
        <f aca="false">B65*F65+5</f>
        <v>35.39872</v>
      </c>
      <c r="H65" s="3" t="n">
        <v>0.89408</v>
      </c>
      <c r="I65" s="3" t="n">
        <v>0</v>
      </c>
      <c r="J65" s="4" t="n">
        <v>37.3712724830713</v>
      </c>
    </row>
    <row r="66" customFormat="false" ht="15" hidden="false" customHeight="false" outlineLevel="0" collapsed="false">
      <c r="A66" s="0" t="n">
        <f aca="false">A65+1</f>
        <v>64</v>
      </c>
      <c r="B66" s="1" t="n">
        <f aca="false">B65-H66*1</f>
        <v>14.30528</v>
      </c>
      <c r="C66" s="1" t="n">
        <f aca="false">B66*$K$1</f>
        <v>32.00091136</v>
      </c>
      <c r="D66" s="1" t="n">
        <v>17.7754624103382</v>
      </c>
      <c r="E66" s="1" t="n">
        <f aca="false">D66*$K$1</f>
        <v>39.7637094119266</v>
      </c>
      <c r="F66" s="0" t="n">
        <v>2</v>
      </c>
      <c r="G66" s="0" t="n">
        <f aca="false">B66*F66+5</f>
        <v>33.61056</v>
      </c>
      <c r="H66" s="3" t="n">
        <v>0.89408</v>
      </c>
      <c r="I66" s="3" t="n">
        <v>0</v>
      </c>
      <c r="J66" s="4" t="n">
        <v>34.1118976313576</v>
      </c>
    </row>
    <row r="67" customFormat="false" ht="15" hidden="false" customHeight="false" outlineLevel="0" collapsed="false">
      <c r="A67" s="0" t="n">
        <f aca="false">A66+1</f>
        <v>65</v>
      </c>
      <c r="B67" s="1" t="n">
        <f aca="false">B66-H67*1</f>
        <v>13.4112</v>
      </c>
      <c r="C67" s="1" t="n">
        <f aca="false">B67*$K$1</f>
        <v>30.0008544</v>
      </c>
      <c r="D67" s="1" t="n">
        <v>16.9866652973114</v>
      </c>
      <c r="E67" s="1" t="n">
        <f aca="false">D67*$K$1</f>
        <v>37.9991702700856</v>
      </c>
      <c r="F67" s="0" t="n">
        <v>2</v>
      </c>
      <c r="G67" s="0" t="n">
        <f aca="false">B67*F67+5</f>
        <v>31.8224</v>
      </c>
      <c r="H67" s="3" t="n">
        <v>0.89408</v>
      </c>
      <c r="I67" s="3" t="n">
        <v>0</v>
      </c>
      <c r="J67" s="4" t="n">
        <v>30.5576374807355</v>
      </c>
    </row>
    <row r="68" customFormat="false" ht="15" hidden="false" customHeight="false" outlineLevel="0" collapsed="false">
      <c r="A68" s="0" t="n">
        <f aca="false">A67+1</f>
        <v>66</v>
      </c>
      <c r="B68" s="1" t="n">
        <f aca="false">B67-H68*1</f>
        <v>12.51712</v>
      </c>
      <c r="C68" s="1" t="n">
        <f aca="false">B68*$K$1</f>
        <v>28.00079744</v>
      </c>
      <c r="D68" s="1" t="n">
        <v>15.8611735442671</v>
      </c>
      <c r="E68" s="1" t="n">
        <f aca="false">D68*$K$1</f>
        <v>35.4814452185255</v>
      </c>
      <c r="F68" s="0" t="n">
        <v>2</v>
      </c>
      <c r="G68" s="0" t="n">
        <f aca="false">B68*F68+5</f>
        <v>30.03424</v>
      </c>
      <c r="H68" s="3" t="n">
        <v>0.89408</v>
      </c>
      <c r="I68" s="3" t="n">
        <v>0</v>
      </c>
      <c r="J68" s="4" t="n">
        <v>27.0762662895482</v>
      </c>
    </row>
    <row r="69" customFormat="false" ht="15" hidden="false" customHeight="false" outlineLevel="0" collapsed="false">
      <c r="A69" s="0" t="n">
        <f aca="false">A68+1</f>
        <v>67</v>
      </c>
      <c r="B69" s="1" t="n">
        <f aca="false">B68-H69*1</f>
        <v>11.62304</v>
      </c>
      <c r="C69" s="1" t="n">
        <f aca="false">B69*$K$1</f>
        <v>26.00074048</v>
      </c>
      <c r="D69" s="1" t="n">
        <v>14.5019525863112</v>
      </c>
      <c r="E69" s="1" t="n">
        <f aca="false">D69*$K$1</f>
        <v>32.4408679355782</v>
      </c>
      <c r="F69" s="0" t="n">
        <v>2</v>
      </c>
      <c r="G69" s="0" t="n">
        <f aca="false">B69*F69+5</f>
        <v>28.24608</v>
      </c>
      <c r="H69" s="3" t="n">
        <v>0.89408</v>
      </c>
      <c r="I69" s="3" t="n">
        <v>0</v>
      </c>
      <c r="J69" s="4" t="n">
        <v>23.9550277405305</v>
      </c>
    </row>
    <row r="70" customFormat="false" ht="15" hidden="false" customHeight="false" outlineLevel="0" collapsed="false">
      <c r="A70" s="0" t="n">
        <f aca="false">A69+1</f>
        <v>68</v>
      </c>
      <c r="B70" s="1" t="n">
        <f aca="false">B69-H70*1</f>
        <v>10.72896</v>
      </c>
      <c r="C70" s="1" t="n">
        <f aca="false">B70*$K$1</f>
        <v>24.00068352</v>
      </c>
      <c r="D70" s="1" t="n">
        <v>13.0345450185258</v>
      </c>
      <c r="E70" s="1" t="n">
        <f aca="false">D70*$K$1</f>
        <v>29.1582772064422</v>
      </c>
      <c r="F70" s="0" t="n">
        <v>2</v>
      </c>
      <c r="G70" s="0" t="n">
        <f aca="false">B70*F70+5</f>
        <v>26.45792</v>
      </c>
      <c r="H70" s="3" t="n">
        <v>0.89408</v>
      </c>
      <c r="I70" s="3" t="n">
        <v>0</v>
      </c>
      <c r="J70" s="4" t="n">
        <v>21.3644329593692</v>
      </c>
    </row>
    <row r="71" customFormat="false" ht="15" hidden="false" customHeight="false" outlineLevel="0" collapsed="false">
      <c r="A71" s="0" t="n">
        <f aca="false">A70+1</f>
        <v>69</v>
      </c>
      <c r="B71" s="1" t="n">
        <f aca="false">B70-H71*1</f>
        <v>9.83488</v>
      </c>
      <c r="C71" s="1" t="n">
        <f aca="false">B71*$K$1</f>
        <v>22.00062656</v>
      </c>
      <c r="D71" s="1" t="n">
        <v>11.580630630464</v>
      </c>
      <c r="E71" s="1" t="n">
        <f aca="false">D71*$K$1</f>
        <v>25.905870720348</v>
      </c>
      <c r="F71" s="0" t="n">
        <v>2</v>
      </c>
      <c r="G71" s="0" t="n">
        <f aca="false">B71*F71+5</f>
        <v>24.66976</v>
      </c>
      <c r="H71" s="3" t="n">
        <v>0.89408</v>
      </c>
      <c r="I71" s="3" t="n">
        <v>0</v>
      </c>
      <c r="J71" s="4" t="n">
        <v>19.3494381669822</v>
      </c>
    </row>
    <row r="72" customFormat="false" ht="15" hidden="false" customHeight="false" outlineLevel="0" collapsed="false">
      <c r="A72" s="0" t="n">
        <f aca="false">A71+1</f>
        <v>70</v>
      </c>
      <c r="B72" s="1" t="n">
        <f aca="false">B71-H72*1</f>
        <v>8.9408</v>
      </c>
      <c r="C72" s="1" t="n">
        <f aca="false">B72*$K$1</f>
        <v>20.0005696</v>
      </c>
      <c r="D72" s="1" t="n">
        <v>10.2371313813326</v>
      </c>
      <c r="E72" s="1" t="n">
        <f aca="false">D72*$K$1</f>
        <v>22.900462900041</v>
      </c>
      <c r="F72" s="0" t="n">
        <v>2</v>
      </c>
      <c r="G72" s="0" t="n">
        <f aca="false">B72*F72+5</f>
        <v>22.8816</v>
      </c>
      <c r="H72" s="3" t="n">
        <v>0.89408</v>
      </c>
      <c r="I72" s="3" t="n">
        <v>0</v>
      </c>
      <c r="J72" s="4" t="n">
        <v>17.8445366541253</v>
      </c>
    </row>
    <row r="73" customFormat="false" ht="15" hidden="false" customHeight="false" outlineLevel="0" collapsed="false">
      <c r="A73" s="0" t="n">
        <f aca="false">A72+1</f>
        <v>71</v>
      </c>
      <c r="B73" s="1" t="n">
        <f aca="false">B72+H73*1</f>
        <v>8.9408</v>
      </c>
      <c r="C73" s="1" t="n">
        <f aca="false">B73*$K$1</f>
        <v>20.0005696</v>
      </c>
      <c r="D73" s="1" t="n">
        <v>9.00990750672265</v>
      </c>
      <c r="E73" s="1" t="n">
        <f aca="false">D73*$K$1</f>
        <v>20.1551630925386</v>
      </c>
      <c r="F73" s="0" t="n">
        <v>2</v>
      </c>
      <c r="G73" s="0" t="n">
        <f aca="false">B73*F73+5</f>
        <v>22.8816</v>
      </c>
      <c r="H73" s="3" t="n">
        <v>0</v>
      </c>
      <c r="I73" s="3" t="n">
        <v>0</v>
      </c>
      <c r="J73" s="4" t="n">
        <v>17.1825331600431</v>
      </c>
    </row>
    <row r="74" customFormat="false" ht="15" hidden="false" customHeight="false" outlineLevel="0" collapsed="false">
      <c r="A74" s="0" t="n">
        <f aca="false">A73+1</f>
        <v>72</v>
      </c>
      <c r="B74" s="1" t="n">
        <f aca="false">B73+H74*1</f>
        <v>8.9408</v>
      </c>
      <c r="C74" s="1" t="n">
        <f aca="false">B74*$K$1</f>
        <v>20.0005696</v>
      </c>
      <c r="D74" s="1" t="n">
        <v>7.99594968687519</v>
      </c>
      <c r="E74" s="1" t="n">
        <f aca="false">D74*$K$1</f>
        <v>17.8869394495398</v>
      </c>
      <c r="F74" s="0" t="n">
        <v>2</v>
      </c>
      <c r="G74" s="0" t="n">
        <f aca="false">B74*F74+5</f>
        <v>22.8816</v>
      </c>
      <c r="H74" s="3" t="n">
        <v>0</v>
      </c>
      <c r="I74" s="3" t="n">
        <v>0</v>
      </c>
      <c r="J74" s="4" t="n">
        <v>17.6540921759013</v>
      </c>
    </row>
    <row r="75" customFormat="false" ht="15" hidden="false" customHeight="false" outlineLevel="0" collapsed="false">
      <c r="A75" s="0" t="n">
        <f aca="false">A74+1</f>
        <v>73</v>
      </c>
      <c r="B75" s="1" t="n">
        <f aca="false">B74+H75*1</f>
        <v>8.9408</v>
      </c>
      <c r="C75" s="1" t="n">
        <f aca="false">B75*$K$1</f>
        <v>20.0005696</v>
      </c>
      <c r="D75" s="1" t="n">
        <v>7.33609820418339</v>
      </c>
      <c r="E75" s="1" t="n">
        <f aca="false">D75*$K$1</f>
        <v>16.4108516827582</v>
      </c>
      <c r="F75" s="0" t="n">
        <v>2</v>
      </c>
      <c r="G75" s="0" t="n">
        <f aca="false">B75*F75+5</f>
        <v>22.8816</v>
      </c>
      <c r="H75" s="3" t="n">
        <v>0</v>
      </c>
      <c r="I75" s="3" t="n">
        <v>0</v>
      </c>
      <c r="J75" s="4" t="n">
        <v>18.9671621796128</v>
      </c>
    </row>
    <row r="76" customFormat="false" ht="15" hidden="false" customHeight="false" outlineLevel="0" collapsed="false">
      <c r="A76" s="0" t="n">
        <f aca="false">A75+1</f>
        <v>74</v>
      </c>
      <c r="B76" s="1" t="n">
        <f aca="false">B75+H76*1</f>
        <v>8.9408</v>
      </c>
      <c r="C76" s="1" t="n">
        <f aca="false">B76*$K$1</f>
        <v>20.0005696</v>
      </c>
      <c r="D76" s="1" t="n">
        <v>7.08243647950128</v>
      </c>
      <c r="E76" s="1" t="n">
        <f aca="false">D76*$K$1</f>
        <v>15.8434104046444</v>
      </c>
      <c r="F76" s="0" t="n">
        <v>2</v>
      </c>
      <c r="G76" s="0" t="n">
        <f aca="false">B76*F76+5</f>
        <v>22.8816</v>
      </c>
      <c r="H76" s="3" t="n">
        <v>0</v>
      </c>
      <c r="I76" s="3" t="n">
        <v>0</v>
      </c>
      <c r="J76" s="4" t="n">
        <v>20.7339492778622</v>
      </c>
    </row>
    <row r="77" customFormat="false" ht="15" hidden="false" customHeight="false" outlineLevel="0" collapsed="false">
      <c r="A77" s="0" t="n">
        <f aca="false">A76+1</f>
        <v>75</v>
      </c>
      <c r="B77" s="1" t="n">
        <f aca="false">B76+H77*1</f>
        <v>8.9408</v>
      </c>
      <c r="C77" s="1" t="n">
        <f aca="false">B77*$K$1</f>
        <v>20.0005696</v>
      </c>
      <c r="D77" s="1" t="n">
        <v>7.20535491019487</v>
      </c>
      <c r="E77" s="1" t="n">
        <f aca="false">D77*$K$1</f>
        <v>16.1183789341059</v>
      </c>
      <c r="F77" s="0" t="n">
        <v>2</v>
      </c>
      <c r="G77" s="0" t="n">
        <f aca="false">B77*F77+5</f>
        <v>22.8816</v>
      </c>
      <c r="H77" s="3" t="n">
        <v>0</v>
      </c>
      <c r="I77" s="3" t="n">
        <v>0</v>
      </c>
      <c r="J77" s="4" t="n">
        <v>22.5573674864972</v>
      </c>
    </row>
    <row r="78" customFormat="false" ht="15" hidden="false" customHeight="false" outlineLevel="0" collapsed="false">
      <c r="A78" s="0" t="n">
        <f aca="false">A77+1</f>
        <v>76</v>
      </c>
      <c r="B78" s="1" t="n">
        <f aca="false">B77+H78*1</f>
        <v>8.9408</v>
      </c>
      <c r="C78" s="1" t="n">
        <f aca="false">B78*$K$1</f>
        <v>20.0005696</v>
      </c>
      <c r="D78" s="1" t="n">
        <v>7.61382158190416</v>
      </c>
      <c r="E78" s="1" t="n">
        <f aca="false">D78*$K$1</f>
        <v>17.0321188787196</v>
      </c>
      <c r="F78" s="0" t="n">
        <v>2</v>
      </c>
      <c r="G78" s="0" t="n">
        <f aca="false">B78*F78+5</f>
        <v>22.8816</v>
      </c>
      <c r="H78" s="3" t="n">
        <v>0</v>
      </c>
      <c r="I78" s="3" t="n">
        <v>0</v>
      </c>
      <c r="J78" s="4" t="n">
        <v>24.103251232854</v>
      </c>
    </row>
    <row r="79" customFormat="false" ht="15" hidden="false" customHeight="false" outlineLevel="0" collapsed="false">
      <c r="A79" s="0" t="n">
        <f aca="false">A78+1</f>
        <v>77</v>
      </c>
      <c r="B79" s="1" t="n">
        <f aca="false">B78+H79*1</f>
        <v>8.9408</v>
      </c>
      <c r="C79" s="1" t="n">
        <f aca="false">B79*$K$1</f>
        <v>20.0005696</v>
      </c>
      <c r="D79" s="1" t="n">
        <v>8.18283354662568</v>
      </c>
      <c r="E79" s="1" t="n">
        <f aca="false">D79*$K$1</f>
        <v>18.3049986438016</v>
      </c>
      <c r="F79" s="0" t="n">
        <v>2</v>
      </c>
      <c r="G79" s="0" t="n">
        <f aca="false">B79*F79+5</f>
        <v>22.8816</v>
      </c>
      <c r="H79" s="3" t="n">
        <v>0</v>
      </c>
      <c r="I79" s="3" t="n">
        <v>0</v>
      </c>
      <c r="J79" s="4" t="n">
        <v>25.1481249362579</v>
      </c>
    </row>
    <row r="80" customFormat="false" ht="15" hidden="false" customHeight="false" outlineLevel="0" collapsed="false">
      <c r="A80" s="0" t="n">
        <f aca="false">A79+1</f>
        <v>78</v>
      </c>
      <c r="B80" s="1" t="n">
        <f aca="false">B79+H80*1</f>
        <v>8.9408</v>
      </c>
      <c r="C80" s="1" t="n">
        <f aca="false">B80*$K$1</f>
        <v>20.0005696</v>
      </c>
      <c r="D80" s="1" t="n">
        <v>8.78185491166304</v>
      </c>
      <c r="E80" s="1" t="n">
        <f aca="false">D80*$K$1</f>
        <v>19.6450094373902</v>
      </c>
      <c r="F80" s="0" t="n">
        <v>2</v>
      </c>
      <c r="G80" s="0" t="n">
        <f aca="false">B80*F80+5</f>
        <v>22.8816</v>
      </c>
      <c r="H80" s="3" t="n">
        <v>0</v>
      </c>
      <c r="I80" s="3" t="n">
        <v>0</v>
      </c>
      <c r="J80" s="4" t="n">
        <v>25.598539978154</v>
      </c>
    </row>
    <row r="81" customFormat="false" ht="15" hidden="false" customHeight="false" outlineLevel="0" collapsed="false">
      <c r="A81" s="0" t="n">
        <f aca="false">A80+1</f>
        <v>79</v>
      </c>
      <c r="B81" s="1" t="n">
        <f aca="false">B80+H81*1</f>
        <v>8.9408</v>
      </c>
      <c r="C81" s="1" t="n">
        <f aca="false">B81*$K$1</f>
        <v>20.0005696</v>
      </c>
      <c r="D81" s="1" t="n">
        <v>9.29901104485492</v>
      </c>
      <c r="E81" s="1" t="n">
        <f aca="false">D81*$K$1</f>
        <v>20.8018877073405</v>
      </c>
      <c r="F81" s="0" t="n">
        <v>2</v>
      </c>
      <c r="G81" s="0" t="n">
        <f aca="false">B81*F81+5</f>
        <v>22.8816</v>
      </c>
      <c r="H81" s="3" t="n">
        <v>0</v>
      </c>
      <c r="I81" s="3" t="n">
        <v>0</v>
      </c>
      <c r="J81" s="4" t="n">
        <v>25.4837709573405</v>
      </c>
    </row>
    <row r="82" customFormat="false" ht="15" hidden="false" customHeight="false" outlineLevel="0" collapsed="false">
      <c r="A82" s="0" t="n">
        <f aca="false">A81+1</f>
        <v>80</v>
      </c>
      <c r="B82" s="1" t="n">
        <f aca="false">B81+H82*1</f>
        <v>8.9408</v>
      </c>
      <c r="C82" s="1" t="n">
        <f aca="false">B82*$K$1</f>
        <v>20.0005696</v>
      </c>
      <c r="D82" s="1" t="n">
        <v>9.65752301204929</v>
      </c>
      <c r="E82" s="1" t="n">
        <f aca="false">D82*$K$1</f>
        <v>21.6038789779543</v>
      </c>
      <c r="F82" s="0" t="n">
        <v>2</v>
      </c>
      <c r="G82" s="0" t="n">
        <f aca="false">B82*F82+5</f>
        <v>22.8816</v>
      </c>
      <c r="H82" s="3" t="n">
        <v>0</v>
      </c>
      <c r="I82" s="3" t="n">
        <v>0</v>
      </c>
      <c r="J82" s="4" t="n">
        <v>24.9280640221488</v>
      </c>
    </row>
    <row r="83" customFormat="false" ht="15" hidden="false" customHeight="false" outlineLevel="0" collapsed="false">
      <c r="A83" s="0" t="n">
        <f aca="false">A82+1</f>
        <v>81</v>
      </c>
      <c r="B83" s="1" t="n">
        <f aca="false">B82+H83*1</f>
        <v>8.9408</v>
      </c>
      <c r="C83" s="1" t="n">
        <f aca="false">B83*$K$1</f>
        <v>20.0005696</v>
      </c>
      <c r="D83" s="1" t="n">
        <v>9.82289029402206</v>
      </c>
      <c r="E83" s="1" t="n">
        <f aca="false">D83*$K$1</f>
        <v>21.9738055877273</v>
      </c>
      <c r="F83" s="0" t="n">
        <v>2</v>
      </c>
      <c r="G83" s="0" t="n">
        <f aca="false">B83*F83+5</f>
        <v>22.8816</v>
      </c>
      <c r="H83" s="3" t="n">
        <v>0</v>
      </c>
      <c r="I83" s="3" t="n">
        <v>0</v>
      </c>
      <c r="J83" s="4" t="n">
        <v>24.1111226162251</v>
      </c>
    </row>
    <row r="84" customFormat="false" ht="15" hidden="false" customHeight="false" outlineLevel="0" collapsed="false">
      <c r="A84" s="0" t="n">
        <f aca="false">A83+1</f>
        <v>82</v>
      </c>
      <c r="B84" s="1" t="n">
        <f aca="false">B83+H84*1</f>
        <v>8.9408</v>
      </c>
      <c r="C84" s="1" t="n">
        <f aca="false">B84*$K$1</f>
        <v>20.0005696</v>
      </c>
      <c r="D84" s="1" t="n">
        <v>9.80124671219147</v>
      </c>
      <c r="E84" s="1" t="n">
        <f aca="false">D84*$K$1</f>
        <v>21.9253888951723</v>
      </c>
      <c r="F84" s="0" t="n">
        <v>2</v>
      </c>
      <c r="G84" s="0" t="n">
        <f aca="false">B84*F84+5</f>
        <v>22.8816</v>
      </c>
      <c r="H84" s="3" t="n">
        <v>0</v>
      </c>
      <c r="I84" s="3" t="n">
        <v>0</v>
      </c>
      <c r="J84" s="4" t="n">
        <v>23.2260083152648</v>
      </c>
    </row>
    <row r="85" customFormat="false" ht="15" hidden="false" customHeight="false" outlineLevel="0" collapsed="false">
      <c r="A85" s="0" t="n">
        <f aca="false">A84+1</f>
        <v>83</v>
      </c>
      <c r="B85" s="1" t="n">
        <f aca="false">B84+H85*1</f>
        <v>8.9408</v>
      </c>
      <c r="C85" s="1" t="n">
        <f aca="false">B85*$K$1</f>
        <v>20.0005696</v>
      </c>
      <c r="D85" s="1" t="n">
        <v>9.63080364572375</v>
      </c>
      <c r="E85" s="1" t="n">
        <f aca="false">D85*$K$1</f>
        <v>21.544107755484</v>
      </c>
      <c r="F85" s="0" t="n">
        <v>2</v>
      </c>
      <c r="G85" s="0" t="n">
        <f aca="false">B85*F85+5</f>
        <v>22.8816</v>
      </c>
      <c r="H85" s="3" t="n">
        <v>0</v>
      </c>
      <c r="I85" s="3" t="n">
        <v>0</v>
      </c>
      <c r="J85" s="4" t="n">
        <v>22.4424067438596</v>
      </c>
    </row>
    <row r="86" customFormat="false" ht="15" hidden="false" customHeight="false" outlineLevel="0" collapsed="false">
      <c r="A86" s="0" t="n">
        <f aca="false">A85+1</f>
        <v>84</v>
      </c>
      <c r="B86" s="1" t="n">
        <f aca="false">B85+H86*1</f>
        <v>8.9408</v>
      </c>
      <c r="C86" s="1" t="n">
        <f aca="false">B86*$K$1</f>
        <v>20.0005696</v>
      </c>
      <c r="D86" s="1" t="n">
        <v>9.36917024659726</v>
      </c>
      <c r="E86" s="1" t="n">
        <f aca="false">D86*$K$1</f>
        <v>20.9588338416381</v>
      </c>
      <c r="F86" s="0" t="n">
        <v>2</v>
      </c>
      <c r="G86" s="0" t="n">
        <f aca="false">B86*F86+5</f>
        <v>22.8816</v>
      </c>
      <c r="H86" s="3" t="n">
        <v>0</v>
      </c>
      <c r="I86" s="3" t="n">
        <v>0</v>
      </c>
      <c r="J86" s="4" t="n">
        <v>21.8807949305005</v>
      </c>
    </row>
    <row r="87" customFormat="false" ht="15" hidden="false" customHeight="false" outlineLevel="0" collapsed="false">
      <c r="A87" s="0" t="n">
        <f aca="false">A86+1</f>
        <v>85</v>
      </c>
      <c r="B87" s="1" t="n">
        <f aca="false">B86+H87*1</f>
        <v>8.9408</v>
      </c>
      <c r="C87" s="1" t="n">
        <f aca="false">B87*$K$1</f>
        <v>20.0005696</v>
      </c>
      <c r="D87" s="1" t="n">
        <v>9.07955973503663</v>
      </c>
      <c r="E87" s="1" t="n">
        <f aca="false">D87*$K$1</f>
        <v>20.3109751272769</v>
      </c>
      <c r="F87" s="0" t="n">
        <v>2</v>
      </c>
      <c r="G87" s="0" t="n">
        <f aca="false">B87*F87+5</f>
        <v>22.8816</v>
      </c>
      <c r="H87" s="3" t="n">
        <v>0</v>
      </c>
      <c r="I87" s="3" t="n">
        <v>0</v>
      </c>
      <c r="J87" s="4" t="n">
        <v>21.6000933882922</v>
      </c>
    </row>
    <row r="88" customFormat="false" ht="15" hidden="false" customHeight="false" outlineLevel="0" collapsed="false">
      <c r="A88" s="0" t="n">
        <f aca="false">A87+1</f>
        <v>86</v>
      </c>
      <c r="B88" s="1" t="n">
        <f aca="false">B82+H88*1</f>
        <v>10.4308</v>
      </c>
      <c r="C88" s="1" t="n">
        <f aca="false">B88*$K$1</f>
        <v>23.3336996</v>
      </c>
      <c r="D88" s="1" t="n">
        <v>8.72913563786852</v>
      </c>
      <c r="E88" s="1" t="n">
        <f aca="false">D88*$K$1</f>
        <v>19.5270764219119</v>
      </c>
      <c r="F88" s="0" t="n">
        <v>2</v>
      </c>
      <c r="G88" s="0" t="n">
        <f aca="false">B88*F88+5</f>
        <v>25.8616</v>
      </c>
      <c r="H88" s="3" t="n">
        <v>1.49</v>
      </c>
      <c r="I88" s="3" t="n">
        <v>0</v>
      </c>
      <c r="J88" s="4" t="n">
        <v>22.3931838367862</v>
      </c>
    </row>
    <row r="89" customFormat="false" ht="15" hidden="false" customHeight="false" outlineLevel="0" collapsed="false">
      <c r="A89" s="0" t="n">
        <f aca="false">A88+1</f>
        <v>87</v>
      </c>
      <c r="B89" s="1" t="n">
        <f aca="false">B88+H89*1</f>
        <v>11.9208</v>
      </c>
      <c r="C89" s="1" t="n">
        <f aca="false">B89*$K$1</f>
        <v>26.6668296</v>
      </c>
      <c r="D89" s="1" t="n">
        <v>8.48996499707842</v>
      </c>
      <c r="E89" s="1" t="n">
        <f aca="false">D89*$K$1</f>
        <v>18.9920516984644</v>
      </c>
      <c r="F89" s="0" t="n">
        <v>2</v>
      </c>
      <c r="G89" s="0" t="n">
        <f aca="false">B89*F89+5</f>
        <v>28.8416</v>
      </c>
      <c r="H89" s="3" t="n">
        <v>1.49</v>
      </c>
      <c r="I89" s="3" t="n">
        <v>0</v>
      </c>
      <c r="J89" s="4" t="n">
        <v>24.9976895549477</v>
      </c>
    </row>
    <row r="90" customFormat="false" ht="15" hidden="false" customHeight="false" outlineLevel="0" collapsed="false">
      <c r="A90" s="0" t="n">
        <f aca="false">A89+1</f>
        <v>88</v>
      </c>
      <c r="B90" s="1" t="n">
        <f aca="false">B89+H90*1</f>
        <v>13.4108</v>
      </c>
      <c r="C90" s="1" t="n">
        <f aca="false">B90*$K$1</f>
        <v>29.9999596</v>
      </c>
      <c r="D90" s="1" t="n">
        <v>8.64862575345893</v>
      </c>
      <c r="E90" s="1" t="n">
        <f aca="false">D90*$K$1</f>
        <v>19.3469758104876</v>
      </c>
      <c r="F90" s="0" t="n">
        <v>2</v>
      </c>
      <c r="G90" s="0" t="n">
        <f aca="false">B90*F90+5</f>
        <v>31.8216</v>
      </c>
      <c r="H90" s="3" t="n">
        <v>1.49</v>
      </c>
      <c r="I90" s="3" t="n">
        <v>0</v>
      </c>
      <c r="J90" s="4" t="n">
        <v>29.147383765704</v>
      </c>
    </row>
    <row r="91" customFormat="false" ht="15" hidden="false" customHeight="false" outlineLevel="0" collapsed="false">
      <c r="A91" s="0" t="n">
        <f aca="false">A90+1</f>
        <v>89</v>
      </c>
      <c r="B91" s="1" t="n">
        <f aca="false">B90+H91*1</f>
        <v>14.9008</v>
      </c>
      <c r="C91" s="1" t="n">
        <f aca="false">B91*$K$1</f>
        <v>33.3330896</v>
      </c>
      <c r="D91" s="1" t="n">
        <v>9.36839201594158</v>
      </c>
      <c r="E91" s="1" t="n">
        <f aca="false">D91*$K$1</f>
        <v>20.9570929396613</v>
      </c>
      <c r="F91" s="0" t="n">
        <v>2</v>
      </c>
      <c r="G91" s="0" t="n">
        <f aca="false">B91*F91+5</f>
        <v>34.8016</v>
      </c>
      <c r="H91" s="3" t="n">
        <v>1.49</v>
      </c>
      <c r="I91" s="3" t="n">
        <v>0</v>
      </c>
      <c r="J91" s="4" t="n">
        <v>34.3506094562175</v>
      </c>
    </row>
    <row r="92" customFormat="false" ht="15" hidden="false" customHeight="false" outlineLevel="0" collapsed="false">
      <c r="A92" s="0" t="n">
        <f aca="false">A91+1</f>
        <v>90</v>
      </c>
      <c r="B92" s="1" t="n">
        <f aca="false">B91+H92*1</f>
        <v>16.3908</v>
      </c>
      <c r="C92" s="1" t="n">
        <f aca="false">B92*$K$1</f>
        <v>36.6662196</v>
      </c>
      <c r="D92" s="1" t="n">
        <v>10.6829043406886</v>
      </c>
      <c r="E92" s="1" t="n">
        <f aca="false">D92*$K$1</f>
        <v>23.8976570101204</v>
      </c>
      <c r="F92" s="0" t="n">
        <v>2</v>
      </c>
      <c r="G92" s="0" t="n">
        <f aca="false">B92*F92+5</f>
        <v>37.7816</v>
      </c>
      <c r="H92" s="3" t="n">
        <v>1.49</v>
      </c>
      <c r="I92" s="3" t="n">
        <v>0</v>
      </c>
      <c r="J92" s="4" t="n">
        <v>40.0190048797149</v>
      </c>
    </row>
    <row r="93" customFormat="false" ht="15" hidden="false" customHeight="false" outlineLevel="0" collapsed="false">
      <c r="A93" s="0" t="n">
        <f aca="false">A92+1</f>
        <v>91</v>
      </c>
      <c r="B93" s="1" t="n">
        <f aca="false">B92+H93*1</f>
        <v>17.8808</v>
      </c>
      <c r="C93" s="1" t="n">
        <f aca="false">B93*$K$1</f>
        <v>39.9993496</v>
      </c>
      <c r="D93" s="1" t="n">
        <v>12.5140204297076</v>
      </c>
      <c r="E93" s="1" t="n">
        <f aca="false">D93*$K$1</f>
        <v>27.9938637012559</v>
      </c>
      <c r="F93" s="0" t="n">
        <v>2</v>
      </c>
      <c r="G93" s="0" t="n">
        <f aca="false">B93*F93+5</f>
        <v>40.7616</v>
      </c>
      <c r="H93" s="3" t="n">
        <v>1.49</v>
      </c>
      <c r="I93" s="3" t="n">
        <v>0</v>
      </c>
      <c r="J93" s="4" t="n">
        <v>45.5897426334068</v>
      </c>
    </row>
    <row r="94" customFormat="false" ht="15" hidden="false" customHeight="false" outlineLevel="0" collapsed="false">
      <c r="A94" s="0" t="n">
        <f aca="false">A93+1</f>
        <v>92</v>
      </c>
      <c r="B94" s="1" t="n">
        <f aca="false">B93-H94*1</f>
        <v>17.8808</v>
      </c>
      <c r="C94" s="1" t="n">
        <f aca="false">B94*$K$1</f>
        <v>39.9993496</v>
      </c>
      <c r="D94" s="1" t="n">
        <v>14.7956329345143</v>
      </c>
      <c r="E94" s="1" t="n">
        <f aca="false">D94*$K$1</f>
        <v>33.0978308745085</v>
      </c>
      <c r="F94" s="0" t="n">
        <v>2</v>
      </c>
      <c r="G94" s="0" t="n">
        <f aca="false">B94*F94+5</f>
        <v>40.7616</v>
      </c>
      <c r="H94" s="3" t="n">
        <v>0</v>
      </c>
      <c r="I94" s="3" t="n">
        <v>0</v>
      </c>
      <c r="J94" s="4" t="n">
        <v>49.826103479011</v>
      </c>
    </row>
    <row r="95" customFormat="false" ht="15" hidden="false" customHeight="false" outlineLevel="0" collapsed="false">
      <c r="A95" s="0" t="n">
        <f aca="false">A94+1</f>
        <v>93</v>
      </c>
      <c r="B95" s="1" t="n">
        <f aca="false">B94-H95*1</f>
        <v>17.8808</v>
      </c>
      <c r="C95" s="1" t="n">
        <f aca="false">B95*$K$1</f>
        <v>39.9993496</v>
      </c>
      <c r="D95" s="1" t="n">
        <v>17.2057243157317</v>
      </c>
      <c r="E95" s="1" t="n">
        <f aca="false">D95*$K$1</f>
        <v>38.4892052942918</v>
      </c>
      <c r="F95" s="0" t="n">
        <v>2</v>
      </c>
      <c r="G95" s="0" t="n">
        <f aca="false">B95*F95+5</f>
        <v>40.7616</v>
      </c>
      <c r="H95" s="3" t="n">
        <v>0</v>
      </c>
      <c r="I95" s="3" t="n">
        <v>0</v>
      </c>
      <c r="J95" s="4" t="n">
        <v>51.6744623914941</v>
      </c>
    </row>
    <row r="96" customFormat="false" ht="15" hidden="false" customHeight="false" outlineLevel="0" collapsed="false">
      <c r="A96" s="0" t="n">
        <f aca="false">A95+1</f>
        <v>94</v>
      </c>
      <c r="B96" s="1" t="n">
        <f aca="false">B95-H96*1</f>
        <v>17.8808</v>
      </c>
      <c r="C96" s="1" t="n">
        <f aca="false">B96*$K$1</f>
        <v>39.9993496</v>
      </c>
      <c r="D96" s="1" t="n">
        <v>19.2927578968299</v>
      </c>
      <c r="E96" s="1" t="n">
        <f aca="false">D96*$K$1</f>
        <v>43.1578994152085</v>
      </c>
      <c r="F96" s="0" t="n">
        <v>2</v>
      </c>
      <c r="G96" s="0" t="n">
        <f aca="false">B96*F96+5</f>
        <v>40.7616</v>
      </c>
      <c r="H96" s="3" t="n">
        <v>0</v>
      </c>
      <c r="I96" s="3" t="n">
        <v>0</v>
      </c>
      <c r="J96" s="4" t="n">
        <v>51.2454946658824</v>
      </c>
    </row>
    <row r="97" customFormat="false" ht="15" hidden="false" customHeight="false" outlineLevel="0" collapsed="false">
      <c r="A97" s="0" t="n">
        <f aca="false">A96+1</f>
        <v>95</v>
      </c>
      <c r="B97" s="1" t="n">
        <f aca="false">B96-H97*1</f>
        <v>17.8808</v>
      </c>
      <c r="C97" s="1" t="n">
        <f aca="false">B97*$K$1</f>
        <v>39.9993496</v>
      </c>
      <c r="D97" s="1" t="n">
        <v>20.7455401154536</v>
      </c>
      <c r="E97" s="1" t="n">
        <f aca="false">D97*$K$1</f>
        <v>46.4077732382697</v>
      </c>
      <c r="F97" s="0" t="n">
        <v>2</v>
      </c>
      <c r="G97" s="0" t="n">
        <f aca="false">B97*F97+5</f>
        <v>40.7616</v>
      </c>
      <c r="H97" s="3" t="n">
        <v>0</v>
      </c>
      <c r="I97" s="3" t="n">
        <v>0</v>
      </c>
      <c r="J97" s="4" t="n">
        <v>49.0338879338352</v>
      </c>
    </row>
    <row r="98" customFormat="false" ht="15" hidden="false" customHeight="false" outlineLevel="0" collapsed="false">
      <c r="A98" s="0" t="n">
        <f aca="false">A97+1</f>
        <v>96</v>
      </c>
      <c r="B98" s="1" t="n">
        <f aca="false">B97-H98*1</f>
        <v>17.8808</v>
      </c>
      <c r="C98" s="1" t="n">
        <f aca="false">B98*$K$1</f>
        <v>39.9993496</v>
      </c>
      <c r="D98" s="1" t="n">
        <v>21.4226827236219</v>
      </c>
      <c r="E98" s="1" t="n">
        <f aca="false">D98*$K$1</f>
        <v>47.9225412527422</v>
      </c>
      <c r="F98" s="0" t="n">
        <v>2</v>
      </c>
      <c r="G98" s="0" t="n">
        <f aca="false">B98*F98+5</f>
        <v>40.7616</v>
      </c>
      <c r="H98" s="3" t="n">
        <v>0</v>
      </c>
      <c r="I98" s="3" t="n">
        <v>0</v>
      </c>
      <c r="J98" s="4" t="n">
        <v>45.7599346925144</v>
      </c>
    </row>
    <row r="99" customFormat="false" ht="15" hidden="false" customHeight="false" outlineLevel="0" collapsed="false">
      <c r="A99" s="0" t="n">
        <f aca="false">A98+1</f>
        <v>97</v>
      </c>
      <c r="B99" s="1" t="n">
        <f aca="false">B98-H99*1</f>
        <v>17.8808</v>
      </c>
      <c r="C99" s="1" t="n">
        <f aca="false">B99*$K$1</f>
        <v>39.9993496</v>
      </c>
      <c r="D99" s="1" t="n">
        <v>21.3465006133171</v>
      </c>
      <c r="E99" s="1" t="n">
        <f aca="false">D99*$K$1</f>
        <v>47.7521218719904</v>
      </c>
      <c r="F99" s="0" t="n">
        <v>2</v>
      </c>
      <c r="G99" s="0" t="n">
        <f aca="false">B99*F99+5</f>
        <v>40.7616</v>
      </c>
      <c r="H99" s="3" t="n">
        <v>0</v>
      </c>
      <c r="I99" s="3" t="n">
        <v>0</v>
      </c>
      <c r="J99" s="4" t="n">
        <v>42.2001792092499</v>
      </c>
    </row>
    <row r="100" customFormat="false" ht="15" hidden="false" customHeight="false" outlineLevel="0" collapsed="false">
      <c r="A100" s="0" t="n">
        <f aca="false">A99+1</f>
        <v>98</v>
      </c>
      <c r="B100" s="1" t="n">
        <f aca="false">B99-H100*1</f>
        <v>17.8808</v>
      </c>
      <c r="C100" s="1" t="n">
        <f aca="false">B100*$K$1</f>
        <v>39.9993496</v>
      </c>
      <c r="D100" s="1" t="n">
        <v>20.6689646841638</v>
      </c>
      <c r="E100" s="1" t="n">
        <f aca="false">D100*$K$1</f>
        <v>46.2364739984744</v>
      </c>
      <c r="F100" s="0" t="n">
        <v>2</v>
      </c>
      <c r="G100" s="0" t="n">
        <f aca="false">B100*F100+5</f>
        <v>40.7616</v>
      </c>
      <c r="H100" s="3" t="n">
        <v>0</v>
      </c>
      <c r="I100" s="3" t="n">
        <v>0</v>
      </c>
      <c r="J100" s="4" t="n">
        <v>39.0391999474228</v>
      </c>
    </row>
    <row r="101" customFormat="false" ht="15" hidden="false" customHeight="false" outlineLevel="0" collapsed="false">
      <c r="A101" s="0" t="n">
        <f aca="false">A100+1</f>
        <v>99</v>
      </c>
      <c r="B101" s="1" t="n">
        <f aca="false">B100-H101*1</f>
        <v>17.8808</v>
      </c>
      <c r="C101" s="1" t="n">
        <f aca="false">B101*$K$1</f>
        <v>39.9993496</v>
      </c>
      <c r="D101" s="1" t="n">
        <v>19.6208906729577</v>
      </c>
      <c r="E101" s="1" t="n">
        <f aca="false">D101*$K$1</f>
        <v>43.8919324354064</v>
      </c>
      <c r="F101" s="0" t="n">
        <v>2</v>
      </c>
      <c r="G101" s="0" t="n">
        <f aca="false">B101*F101+5</f>
        <v>40.7616</v>
      </c>
      <c r="H101" s="3" t="n">
        <v>0</v>
      </c>
      <c r="I101" s="3" t="n">
        <v>0</v>
      </c>
      <c r="J101" s="4" t="n">
        <v>36.7649601281603</v>
      </c>
    </row>
    <row r="102" customFormat="false" ht="15" hidden="false" customHeight="false" outlineLevel="0" collapsed="false">
      <c r="A102" s="0" t="n">
        <f aca="false">A101+1</f>
        <v>100</v>
      </c>
      <c r="B102" s="1" t="n">
        <f aca="false">B101-H102*1</f>
        <v>17.8808</v>
      </c>
      <c r="C102" s="1" t="n">
        <f aca="false">B102*$K$1</f>
        <v>39.9993496</v>
      </c>
      <c r="D102" s="1" t="n">
        <v>18.4564666083237</v>
      </c>
      <c r="E102" s="1" t="n">
        <f aca="false">D102*$K$1</f>
        <v>41.2871158028201</v>
      </c>
      <c r="F102" s="0" t="n">
        <v>2</v>
      </c>
      <c r="G102" s="0" t="n">
        <f aca="false">B102*F102+5</f>
        <v>40.7616</v>
      </c>
      <c r="H102" s="3" t="n">
        <v>0</v>
      </c>
      <c r="I102" s="3" t="n">
        <v>0</v>
      </c>
      <c r="J102" s="4" t="n">
        <v>35.6183006618155</v>
      </c>
    </row>
    <row r="103" customFormat="false" ht="15" hidden="false" customHeight="false" outlineLevel="0" collapsed="false">
      <c r="A103" s="0" t="n">
        <f aca="false">A102+1</f>
        <v>101</v>
      </c>
      <c r="B103" s="1" t="n">
        <f aca="false">B102-H103*1</f>
        <v>17.8808</v>
      </c>
      <c r="C103" s="1" t="n">
        <f aca="false">B103*$K$1</f>
        <v>39.9993496</v>
      </c>
      <c r="D103" s="1" t="n">
        <v>17.4038250062234</v>
      </c>
      <c r="E103" s="1" t="n">
        <f aca="false">D103*$K$1</f>
        <v>38.9323565389217</v>
      </c>
      <c r="F103" s="0" t="n">
        <v>2</v>
      </c>
      <c r="G103" s="0" t="n">
        <f aca="false">B103*F103+5</f>
        <v>40.7616</v>
      </c>
      <c r="H103" s="3" t="n">
        <v>0</v>
      </c>
      <c r="I103" s="3" t="n">
        <v>0</v>
      </c>
      <c r="J103" s="4" t="n">
        <v>35.5955930954433</v>
      </c>
    </row>
    <row r="104" customFormat="false" ht="15" hidden="false" customHeight="false" outlineLevel="0" collapsed="false">
      <c r="A104" s="0" t="n">
        <f aca="false">A103+1</f>
        <v>102</v>
      </c>
      <c r="B104" s="1" t="n">
        <f aca="false">B103-H104*1</f>
        <v>17.8808</v>
      </c>
      <c r="C104" s="1" t="n">
        <f aca="false">B104*$K$1</f>
        <v>39.9993496</v>
      </c>
      <c r="D104" s="1" t="n">
        <v>16.6293250985596</v>
      </c>
      <c r="E104" s="1" t="n">
        <f aca="false">D104*$K$1</f>
        <v>37.1998002454778</v>
      </c>
      <c r="F104" s="0" t="n">
        <v>2</v>
      </c>
      <c r="G104" s="0" t="n">
        <f aca="false">B104*F104+5</f>
        <v>40.7616</v>
      </c>
      <c r="H104" s="3" t="n">
        <v>0</v>
      </c>
      <c r="I104" s="3" t="n">
        <v>0</v>
      </c>
      <c r="J104" s="4" t="n">
        <v>36.4943119011</v>
      </c>
    </row>
    <row r="105" customFormat="false" ht="15" hidden="false" customHeight="false" outlineLevel="0" collapsed="false">
      <c r="A105" s="0" t="n">
        <f aca="false">A104+1</f>
        <v>103</v>
      </c>
      <c r="B105" s="1" t="n">
        <f aca="false">B104-H105*1</f>
        <v>17.8808</v>
      </c>
      <c r="C105" s="1" t="n">
        <f aca="false">B105*$K$1</f>
        <v>39.9993496</v>
      </c>
      <c r="D105" s="1" t="n">
        <v>16.2193673842044</v>
      </c>
      <c r="E105" s="1" t="n">
        <f aca="false">D105*$K$1</f>
        <v>36.2827248384652</v>
      </c>
      <c r="F105" s="0" t="n">
        <v>2</v>
      </c>
      <c r="G105" s="0" t="n">
        <f aca="false">B105*F105+5</f>
        <v>40.7616</v>
      </c>
      <c r="H105" s="3" t="n">
        <v>0</v>
      </c>
      <c r="I105" s="3" t="n">
        <v>0</v>
      </c>
      <c r="J105" s="4" t="n">
        <v>37.9855468709218</v>
      </c>
    </row>
    <row r="106" customFormat="false" ht="15" hidden="false" customHeight="false" outlineLevel="0" collapsed="false">
      <c r="A106" s="0" t="n">
        <f aca="false">A105+1</f>
        <v>104</v>
      </c>
      <c r="B106" s="1" t="n">
        <f aca="false">B105-H106*1</f>
        <v>17.8808</v>
      </c>
      <c r="C106" s="1" t="n">
        <f aca="false">B106*$K$1</f>
        <v>39.9993496</v>
      </c>
      <c r="D106" s="1" t="n">
        <v>16.179747378692</v>
      </c>
      <c r="E106" s="1" t="n">
        <f aca="false">D106*$K$1</f>
        <v>36.194094886134</v>
      </c>
      <c r="F106" s="0" t="n">
        <v>2</v>
      </c>
      <c r="G106" s="0" t="n">
        <f aca="false">B106*F106+5</f>
        <v>40.7616</v>
      </c>
      <c r="H106" s="3" t="n">
        <v>0</v>
      </c>
      <c r="I106" s="3" t="n">
        <v>0</v>
      </c>
      <c r="J106" s="4" t="n">
        <v>39.6956296474305</v>
      </c>
    </row>
    <row r="107" customFormat="false" ht="15" hidden="false" customHeight="false" outlineLevel="0" collapsed="false">
      <c r="A107" s="0" t="n">
        <f aca="false">A106+1</f>
        <v>105</v>
      </c>
      <c r="B107" s="1" t="n">
        <f aca="false">B101-H107*1</f>
        <v>16.3908</v>
      </c>
      <c r="C107" s="1" t="n">
        <f aca="false">B107*$K$1</f>
        <v>36.6662196</v>
      </c>
      <c r="D107" s="1" t="n">
        <v>16.5388399929537</v>
      </c>
      <c r="E107" s="1" t="n">
        <f aca="false">D107*$K$1</f>
        <v>36.9973850642374</v>
      </c>
      <c r="F107" s="0" t="n">
        <v>2</v>
      </c>
      <c r="G107" s="0" t="n">
        <f aca="false">B107*F107+5</f>
        <v>37.7816</v>
      </c>
      <c r="H107" s="3" t="n">
        <v>1.49</v>
      </c>
      <c r="I107" s="3" t="n">
        <v>0</v>
      </c>
      <c r="J107" s="4" t="n">
        <v>40.4860395029459</v>
      </c>
    </row>
    <row r="108" customFormat="false" ht="15" hidden="false" customHeight="false" outlineLevel="0" collapsed="false">
      <c r="A108" s="0" t="n">
        <f aca="false">A107+1</f>
        <v>106</v>
      </c>
      <c r="B108" s="1" t="n">
        <f aca="false">B107-H108*1</f>
        <v>14.9008</v>
      </c>
      <c r="C108" s="1" t="n">
        <f aca="false">B108*$K$1</f>
        <v>33.3330896</v>
      </c>
      <c r="D108" s="1" t="n">
        <v>17.0609407080233</v>
      </c>
      <c r="E108" s="1" t="n">
        <f aca="false">D108*$K$1</f>
        <v>38.1653243638481</v>
      </c>
      <c r="F108" s="0" t="n">
        <v>2</v>
      </c>
      <c r="G108" s="0" t="n">
        <f aca="false">B108*F108+5</f>
        <v>34.8016</v>
      </c>
      <c r="H108" s="3" t="n">
        <v>1.49</v>
      </c>
      <c r="I108" s="3" t="n">
        <v>0</v>
      </c>
      <c r="J108" s="4" t="n">
        <v>39.3096702221581</v>
      </c>
    </row>
    <row r="109" customFormat="false" ht="15" hidden="false" customHeight="false" outlineLevel="0" collapsed="false">
      <c r="A109" s="0" t="n">
        <f aca="false">A108+1</f>
        <v>107</v>
      </c>
      <c r="B109" s="1" t="n">
        <f aca="false">B108-H109*1</f>
        <v>13.4108</v>
      </c>
      <c r="C109" s="1" t="n">
        <f aca="false">B109*$K$1</f>
        <v>29.9999596</v>
      </c>
      <c r="D109" s="1" t="n">
        <v>17.3588325970767</v>
      </c>
      <c r="E109" s="1" t="n">
        <f aca="false">D109*$K$1</f>
        <v>38.8317085196606</v>
      </c>
      <c r="F109" s="0" t="n">
        <v>2</v>
      </c>
      <c r="G109" s="0" t="n">
        <f aca="false">B109*F109+5</f>
        <v>31.8216</v>
      </c>
      <c r="H109" s="3" t="n">
        <v>1.49</v>
      </c>
      <c r="I109" s="3" t="n">
        <v>0</v>
      </c>
      <c r="J109" s="4" t="n">
        <v>36.2077274497497</v>
      </c>
    </row>
    <row r="110" customFormat="false" ht="15" hidden="false" customHeight="false" outlineLevel="0" collapsed="false">
      <c r="A110" s="0" t="n">
        <f aca="false">A109+1</f>
        <v>108</v>
      </c>
      <c r="B110" s="1" t="n">
        <f aca="false">B109-H110*1</f>
        <v>11.9208</v>
      </c>
      <c r="C110" s="1" t="n">
        <f aca="false">B110*$K$1</f>
        <v>26.6668296</v>
      </c>
      <c r="D110" s="1" t="n">
        <v>17.1562701222831</v>
      </c>
      <c r="E110" s="1" t="n">
        <f aca="false">D110*$K$1</f>
        <v>38.3785762635473</v>
      </c>
      <c r="F110" s="0" t="n">
        <v>2</v>
      </c>
      <c r="G110" s="0" t="n">
        <f aca="false">B110*F110+5</f>
        <v>28.8416</v>
      </c>
      <c r="H110" s="3" t="n">
        <v>1.49</v>
      </c>
      <c r="I110" s="3" t="n">
        <v>0</v>
      </c>
      <c r="J110" s="4" t="n">
        <v>31.5557404196593</v>
      </c>
    </row>
    <row r="111" customFormat="false" ht="15" hidden="false" customHeight="false" outlineLevel="0" collapsed="false">
      <c r="A111" s="0" t="n">
        <f aca="false">A110+1</f>
        <v>109</v>
      </c>
      <c r="B111" s="1" t="n">
        <f aca="false">B110-H111*1</f>
        <v>10.4308</v>
      </c>
      <c r="C111" s="1" t="n">
        <f aca="false">B111*$K$1</f>
        <v>23.3336996</v>
      </c>
      <c r="D111" s="1" t="n">
        <v>16.3166339894784</v>
      </c>
      <c r="E111" s="1" t="n">
        <f aca="false">D111*$K$1</f>
        <v>36.5003102344632</v>
      </c>
      <c r="F111" s="0" t="n">
        <v>2</v>
      </c>
      <c r="G111" s="0" t="n">
        <f aca="false">B111*F111+5</f>
        <v>25.8616</v>
      </c>
      <c r="H111" s="3" t="n">
        <v>1.49</v>
      </c>
      <c r="I111" s="3" t="n">
        <v>0</v>
      </c>
      <c r="J111" s="4" t="n">
        <v>25.9354434070306</v>
      </c>
    </row>
    <row r="112" customFormat="false" ht="15" hidden="false" customHeight="false" outlineLevel="0" collapsed="false">
      <c r="A112" s="0" t="n">
        <f aca="false">A111+1</f>
        <v>110</v>
      </c>
      <c r="B112" s="1" t="n">
        <f aca="false">B111-H112*1</f>
        <v>8.9408</v>
      </c>
      <c r="C112" s="1" t="n">
        <f aca="false">B112*$K$1</f>
        <v>20.0005696</v>
      </c>
      <c r="D112" s="1" t="n">
        <v>14.8415284620595</v>
      </c>
      <c r="E112" s="1" t="n">
        <f aca="false">D112*$K$1</f>
        <v>33.2004991696271</v>
      </c>
      <c r="F112" s="0" t="n">
        <v>2</v>
      </c>
      <c r="G112" s="0" t="n">
        <f aca="false">B112*F112+5</f>
        <v>22.8816</v>
      </c>
      <c r="H112" s="3" t="n">
        <v>1.49</v>
      </c>
      <c r="I112" s="3" t="n">
        <v>0</v>
      </c>
      <c r="J112" s="4" t="n">
        <v>19.9935896715633</v>
      </c>
    </row>
    <row r="113" customFormat="false" ht="15" hidden="false" customHeight="false" outlineLevel="0" collapsed="false">
      <c r="A113" s="0" t="n">
        <f aca="false">A112+1</f>
        <v>111</v>
      </c>
      <c r="B113" s="1" t="n">
        <f aca="false">B112-H113*1</f>
        <v>8.9408</v>
      </c>
      <c r="C113" s="1" t="n">
        <f aca="false">B113*$K$1</f>
        <v>20.0005696</v>
      </c>
      <c r="D113" s="1" t="n">
        <v>12.7556940968606</v>
      </c>
      <c r="E113" s="1" t="n">
        <f aca="false">D113*$K$1</f>
        <v>28.5344876946772</v>
      </c>
      <c r="F113" s="0" t="n">
        <v>2</v>
      </c>
      <c r="G113" s="0" t="n">
        <f aca="false">B113*F113+5</f>
        <v>22.8816</v>
      </c>
      <c r="H113" s="3" t="n">
        <v>0</v>
      </c>
      <c r="I113" s="3" t="n">
        <v>0</v>
      </c>
      <c r="J113" s="4" t="n">
        <v>15.1098344453521</v>
      </c>
    </row>
    <row r="114" customFormat="false" ht="15" hidden="false" customHeight="false" outlineLevel="0" collapsed="false">
      <c r="A114" s="0" t="n">
        <f aca="false">A113+1</f>
        <v>112</v>
      </c>
      <c r="B114" s="1" t="n">
        <f aca="false">B113-H114*1</f>
        <v>8.9408</v>
      </c>
      <c r="C114" s="1" t="n">
        <f aca="false">B114*$K$1</f>
        <v>20.0005696</v>
      </c>
      <c r="D114" s="1" t="n">
        <v>10.3758340953568</v>
      </c>
      <c r="E114" s="1" t="n">
        <f aca="false">D114*$K$1</f>
        <v>23.2107408713132</v>
      </c>
      <c r="F114" s="0" t="n">
        <v>2</v>
      </c>
      <c r="G114" s="0" t="n">
        <f aca="false">B114*F114+5</f>
        <v>22.8816</v>
      </c>
      <c r="H114" s="3" t="n">
        <v>0</v>
      </c>
      <c r="I114" s="3" t="n">
        <v>0</v>
      </c>
      <c r="J114" s="4" t="n">
        <v>12.5035250525277</v>
      </c>
    </row>
    <row r="115" customFormat="false" ht="15" hidden="false" customHeight="false" outlineLevel="0" collapsed="false">
      <c r="A115" s="0" t="n">
        <f aca="false">A114+1</f>
        <v>113</v>
      </c>
      <c r="B115" s="1" t="n">
        <f aca="false">B114-H115*1</f>
        <v>8.9408</v>
      </c>
      <c r="C115" s="1" t="n">
        <f aca="false">B115*$K$1</f>
        <v>20.0005696</v>
      </c>
      <c r="D115" s="1" t="n">
        <v>8.17854120030935</v>
      </c>
      <c r="E115" s="1" t="n">
        <f aca="false">D115*$K$1</f>
        <v>18.295396665092</v>
      </c>
      <c r="F115" s="0" t="n">
        <v>2</v>
      </c>
      <c r="G115" s="0" t="n">
        <f aca="false">B115*F115+5</f>
        <v>22.8816</v>
      </c>
      <c r="H115" s="3" t="n">
        <v>0</v>
      </c>
      <c r="I115" s="3" t="n">
        <v>0</v>
      </c>
      <c r="J115" s="4" t="n">
        <v>12.2188822710136</v>
      </c>
    </row>
    <row r="116" customFormat="false" ht="15" hidden="false" customHeight="false" outlineLevel="0" collapsed="false">
      <c r="A116" s="0" t="n">
        <f aca="false">A115+1</f>
        <v>114</v>
      </c>
      <c r="B116" s="1" t="n">
        <f aca="false">B115-H116*1</f>
        <v>8.9408</v>
      </c>
      <c r="C116" s="1" t="n">
        <f aca="false">B116*$K$1</f>
        <v>20.0005696</v>
      </c>
      <c r="D116" s="1" t="n">
        <v>6.52040519529682</v>
      </c>
      <c r="E116" s="1" t="n">
        <f aca="false">D116*$K$1</f>
        <v>14.586146421879</v>
      </c>
      <c r="F116" s="0" t="n">
        <v>2</v>
      </c>
      <c r="G116" s="0" t="n">
        <f aca="false">B116*F116+5</f>
        <v>22.8816</v>
      </c>
      <c r="H116" s="3" t="n">
        <v>0</v>
      </c>
      <c r="I116" s="3" t="n">
        <v>0</v>
      </c>
      <c r="J116" s="4" t="n">
        <v>13.879775277449</v>
      </c>
    </row>
    <row r="117" customFormat="false" ht="15" hidden="false" customHeight="false" outlineLevel="0" collapsed="false">
      <c r="A117" s="0" t="n">
        <f aca="false">A116+1</f>
        <v>115</v>
      </c>
      <c r="B117" s="1" t="n">
        <f aca="false">B116-H117*1</f>
        <v>8.9408</v>
      </c>
      <c r="C117" s="1" t="n">
        <f aca="false">B117*$K$1</f>
        <v>20.0005696</v>
      </c>
      <c r="D117" s="1" t="n">
        <v>5.59675228475168</v>
      </c>
      <c r="E117" s="1" t="n">
        <f aca="false">D117*$K$1</f>
        <v>12.5199348609895</v>
      </c>
      <c r="F117" s="0" t="n">
        <v>2</v>
      </c>
      <c r="G117" s="0" t="n">
        <f aca="false">B117*F117+5</f>
        <v>22.8816</v>
      </c>
      <c r="H117" s="3" t="n">
        <v>0</v>
      </c>
      <c r="I117" s="3" t="n">
        <v>0</v>
      </c>
      <c r="J117" s="4" t="n">
        <v>16.8337570476613</v>
      </c>
    </row>
    <row r="118" customFormat="false" ht="15" hidden="false" customHeight="false" outlineLevel="0" collapsed="false">
      <c r="A118" s="0" t="n">
        <f aca="false">A117+1</f>
        <v>116</v>
      </c>
      <c r="B118" s="1" t="n">
        <f aca="false">B117-H118*1</f>
        <v>8.9408</v>
      </c>
      <c r="C118" s="1" t="n">
        <f aca="false">B118*$K$1</f>
        <v>20.0005696</v>
      </c>
      <c r="D118" s="1" t="n">
        <v>5.43660050342973</v>
      </c>
      <c r="E118" s="1" t="n">
        <f aca="false">D118*$K$1</f>
        <v>12.1616753261723</v>
      </c>
      <c r="F118" s="0" t="n">
        <v>2</v>
      </c>
      <c r="G118" s="0" t="n">
        <f aca="false">B118*F118+5</f>
        <v>22.8816</v>
      </c>
      <c r="H118" s="3" t="n">
        <v>0</v>
      </c>
      <c r="I118" s="3" t="n">
        <v>0</v>
      </c>
      <c r="J118" s="4" t="n">
        <v>20.3186907278632</v>
      </c>
    </row>
    <row r="119" customFormat="false" ht="15" hidden="false" customHeight="false" outlineLevel="0" collapsed="false">
      <c r="A119" s="0" t="n">
        <f aca="false">A118+1</f>
        <v>117</v>
      </c>
      <c r="B119" s="1" t="n">
        <f aca="false">B118-H119*1</f>
        <v>8.9408</v>
      </c>
      <c r="C119" s="1" t="n">
        <f aca="false">B119*$K$1</f>
        <v>20.0005696</v>
      </c>
      <c r="D119" s="1" t="n">
        <v>5.92807114897734</v>
      </c>
      <c r="E119" s="1" t="n">
        <f aca="false">D119*$K$1</f>
        <v>13.2610951602623</v>
      </c>
      <c r="F119" s="0" t="n">
        <v>2</v>
      </c>
      <c r="G119" s="0" t="n">
        <f aca="false">B119*F119+5</f>
        <v>22.8816</v>
      </c>
      <c r="H119" s="3" t="n">
        <v>0</v>
      </c>
      <c r="I119" s="3" t="n">
        <v>0</v>
      </c>
      <c r="J119" s="4" t="n">
        <v>23.6182298202675</v>
      </c>
    </row>
    <row r="120" customFormat="false" ht="15" hidden="false" customHeight="false" outlineLevel="0" collapsed="false">
      <c r="A120" s="0" t="n">
        <f aca="false">A119+1</f>
        <v>118</v>
      </c>
      <c r="B120" s="1" t="n">
        <f aca="false">B119-H120*1</f>
        <v>8.9408</v>
      </c>
      <c r="C120" s="1" t="n">
        <f aca="false">B120*$K$1</f>
        <v>20.0005696</v>
      </c>
      <c r="D120" s="1" t="n">
        <v>6.8641471563248</v>
      </c>
      <c r="E120" s="1" t="n">
        <f aca="false">D120*$K$1</f>
        <v>15.3550971886986</v>
      </c>
      <c r="F120" s="0" t="n">
        <v>2</v>
      </c>
      <c r="G120" s="0" t="n">
        <f aca="false">B120*F120+5</f>
        <v>22.8816</v>
      </c>
      <c r="H120" s="3" t="n">
        <v>0</v>
      </c>
      <c r="I120" s="3" t="n">
        <v>0</v>
      </c>
      <c r="J120" s="4" t="n">
        <v>26.1805942336025</v>
      </c>
    </row>
    <row r="121" customFormat="false" ht="15" hidden="false" customHeight="false" outlineLevel="0" collapsed="false">
      <c r="A121" s="0" t="n">
        <f aca="false">A120+1</f>
        <v>119</v>
      </c>
      <c r="B121" s="1" t="n">
        <f aca="false">B120-H121*1</f>
        <v>8.9408</v>
      </c>
      <c r="C121" s="1" t="n">
        <f aca="false">B121*$K$1</f>
        <v>20.0005696</v>
      </c>
      <c r="D121" s="1" t="n">
        <v>7.99691444456566</v>
      </c>
      <c r="E121" s="1" t="n">
        <f aca="false">D121*$K$1</f>
        <v>17.8890976124934</v>
      </c>
      <c r="F121" s="0" t="n">
        <v>2</v>
      </c>
      <c r="G121" s="0" t="n">
        <f aca="false">B121*F121+5</f>
        <v>22.8816</v>
      </c>
      <c r="H121" s="3" t="n">
        <v>0</v>
      </c>
      <c r="I121" s="3" t="n">
        <v>0</v>
      </c>
      <c r="J121" s="4" t="n">
        <v>27.6862982552759</v>
      </c>
    </row>
    <row r="122" customFormat="false" ht="15" hidden="false" customHeight="false" outlineLevel="0" collapsed="false">
      <c r="A122" s="0" t="n">
        <f aca="false">A121+1</f>
        <v>120</v>
      </c>
      <c r="B122" s="1" t="n">
        <f aca="false">B121-H122*1</f>
        <v>8.9408</v>
      </c>
      <c r="C122" s="1" t="n">
        <f aca="false">B122*$K$1</f>
        <v>20.0005696</v>
      </c>
      <c r="D122" s="1" t="n">
        <v>9.08909640201024</v>
      </c>
      <c r="E122" s="1" t="n">
        <f aca="false">D122*$K$1</f>
        <v>20.3323086512969</v>
      </c>
      <c r="F122" s="0" t="n">
        <v>2</v>
      </c>
      <c r="G122" s="0" t="n">
        <f aca="false">B122*F122+5</f>
        <v>22.8816</v>
      </c>
      <c r="H122" s="3" t="n">
        <v>0</v>
      </c>
      <c r="I122" s="3" t="n">
        <v>0</v>
      </c>
      <c r="J122" s="4" t="n">
        <v>28.0621864698628</v>
      </c>
    </row>
    <row r="123" customFormat="false" ht="15" hidden="false" customHeight="false" outlineLevel="0" collapsed="false">
      <c r="A123" s="0" t="n">
        <f aca="false">A122+1</f>
        <v>121</v>
      </c>
      <c r="B123" s="1" t="n">
        <f aca="false">B122-H123*1</f>
        <v>8.9408</v>
      </c>
      <c r="C123" s="1" t="n">
        <f aca="false">B123*$K$1</f>
        <v>20.0005696</v>
      </c>
      <c r="D123" s="1" t="n">
        <v>9.95422873634087</v>
      </c>
      <c r="E123" s="1" t="n">
        <f aca="false">D123*$K$1</f>
        <v>22.2676096831945</v>
      </c>
      <c r="F123" s="0" t="n">
        <v>2</v>
      </c>
      <c r="G123" s="0" t="n">
        <f aca="false">B123*F123+5</f>
        <v>22.8816</v>
      </c>
      <c r="H123" s="3" t="n">
        <v>0</v>
      </c>
      <c r="I123" s="3" t="n">
        <v>0</v>
      </c>
      <c r="J123" s="4" t="n">
        <v>27.4491528749202</v>
      </c>
    </row>
    <row r="124" customFormat="false" ht="15" hidden="false" customHeight="false" outlineLevel="0" collapsed="false">
      <c r="A124" s="0" t="n">
        <f aca="false">A123+1</f>
        <v>122</v>
      </c>
      <c r="B124" s="1" t="n">
        <f aca="false">B123-H124*1</f>
        <v>8.9408</v>
      </c>
      <c r="C124" s="1" t="n">
        <f aca="false">B124*$K$1</f>
        <v>20.0005696</v>
      </c>
      <c r="D124" s="1" t="n">
        <v>10.4804290704876</v>
      </c>
      <c r="E124" s="1" t="n">
        <f aca="false">D124*$K$1</f>
        <v>23.4447198306808</v>
      </c>
      <c r="F124" s="0" t="n">
        <v>2</v>
      </c>
      <c r="G124" s="0" t="n">
        <f aca="false">B124*F124+5</f>
        <v>22.8816</v>
      </c>
      <c r="H124" s="3" t="n">
        <v>0</v>
      </c>
      <c r="I124" s="3" t="n">
        <v>0</v>
      </c>
      <c r="J124" s="4" t="n">
        <v>26.1377868435234</v>
      </c>
    </row>
    <row r="125" customFormat="false" ht="15" hidden="false" customHeight="false" outlineLevel="0" collapsed="false">
      <c r="A125" s="0" t="n">
        <f aca="false">A124+1</f>
        <v>123</v>
      </c>
      <c r="B125" s="1" t="n">
        <f aca="false">B124-H125*1</f>
        <v>8.9408</v>
      </c>
      <c r="C125" s="1" t="n">
        <f aca="false">B125*$K$1</f>
        <v>20.0005696</v>
      </c>
      <c r="D125" s="1" t="n">
        <v>10.636555781599</v>
      </c>
      <c r="E125" s="1" t="n">
        <f aca="false">D125*$K$1</f>
        <v>23.793975283437</v>
      </c>
      <c r="F125" s="0" t="n">
        <v>2</v>
      </c>
      <c r="G125" s="0" t="n">
        <f aca="false">B125*F125+5</f>
        <v>22.8816</v>
      </c>
      <c r="H125" s="3" t="n">
        <v>0</v>
      </c>
      <c r="I125" s="3" t="n">
        <v>0</v>
      </c>
      <c r="J125" s="4" t="n">
        <v>24.4892666832354</v>
      </c>
    </row>
    <row r="126" customFormat="false" ht="15" hidden="false" customHeight="false" outlineLevel="0" collapsed="false">
      <c r="A126" s="0" t="n">
        <f aca="false">A125+1</f>
        <v>124</v>
      </c>
      <c r="B126" s="1" t="n">
        <f aca="false">B120+H126*1</f>
        <v>10.9408</v>
      </c>
      <c r="C126" s="1" t="n">
        <f aca="false">B126*$K$1</f>
        <v>24.4745696</v>
      </c>
      <c r="D126" s="1" t="n">
        <v>10.3428990128022</v>
      </c>
      <c r="E126" s="1" t="n">
        <f aca="false">D126*$K$1</f>
        <v>23.1370650916385</v>
      </c>
      <c r="F126" s="0" t="n">
        <v>2</v>
      </c>
      <c r="G126" s="0" t="n">
        <f aca="false">B126*F126+5</f>
        <v>26.8816</v>
      </c>
      <c r="H126" s="3" t="n">
        <v>2</v>
      </c>
      <c r="I126" s="3" t="n">
        <v>0</v>
      </c>
      <c r="J126" s="4" t="n">
        <v>23.9249244102039</v>
      </c>
    </row>
    <row r="127" customFormat="false" ht="15" hidden="false" customHeight="false" outlineLevel="0" collapsed="false">
      <c r="A127" s="0" t="n">
        <f aca="false">A126+1</f>
        <v>125</v>
      </c>
      <c r="B127" s="1" t="n">
        <f aca="false">B126+H127*1</f>
        <v>12.9408</v>
      </c>
      <c r="C127" s="1" t="n">
        <f aca="false">B127*$K$1</f>
        <v>28.9485696</v>
      </c>
      <c r="D127" s="1" t="n">
        <v>9.86670380768684</v>
      </c>
      <c r="E127" s="1" t="n">
        <f aca="false">D127*$K$1</f>
        <v>22.0718164177955</v>
      </c>
      <c r="F127" s="0" t="n">
        <v>2</v>
      </c>
      <c r="G127" s="0" t="n">
        <f aca="false">B127*F127+5</f>
        <v>30.8816</v>
      </c>
      <c r="H127" s="3" t="n">
        <v>2</v>
      </c>
      <c r="I127" s="3" t="n">
        <v>0</v>
      </c>
      <c r="J127" s="4" t="n">
        <v>25.7897143274042</v>
      </c>
    </row>
    <row r="128" customFormat="false" ht="15" hidden="false" customHeight="false" outlineLevel="0" collapsed="false">
      <c r="A128" s="0" t="n">
        <f aca="false">A127+1</f>
        <v>126</v>
      </c>
      <c r="B128" s="1" t="n">
        <f aca="false">B127+H128*1</f>
        <v>14.9408</v>
      </c>
      <c r="C128" s="1" t="n">
        <f aca="false">B128*$K$1</f>
        <v>33.4225696</v>
      </c>
      <c r="D128" s="1" t="n">
        <v>9.6811788897467</v>
      </c>
      <c r="E128" s="1" t="n">
        <f aca="false">D128*$K$1</f>
        <v>21.6567971763634</v>
      </c>
      <c r="F128" s="0" t="n">
        <v>2</v>
      </c>
      <c r="G128" s="0" t="n">
        <f aca="false">B128*F128+5</f>
        <v>34.8816</v>
      </c>
      <c r="H128" s="3" t="n">
        <v>2</v>
      </c>
      <c r="I128" s="3" t="n">
        <v>0</v>
      </c>
      <c r="J128" s="4" t="n">
        <v>30.0163343314669</v>
      </c>
    </row>
    <row r="129" customFormat="false" ht="15" hidden="false" customHeight="false" outlineLevel="0" collapsed="false">
      <c r="A129" s="0" t="n">
        <f aca="false">A128+1</f>
        <v>127</v>
      </c>
      <c r="B129" s="1" t="n">
        <f aca="false">B128+H129*1</f>
        <v>16.9408</v>
      </c>
      <c r="C129" s="1" t="n">
        <f aca="false">B129*$K$1</f>
        <v>37.8965696</v>
      </c>
      <c r="D129" s="1" t="n">
        <v>10.1209576105241</v>
      </c>
      <c r="E129" s="1" t="n">
        <f aca="false">D129*$K$1</f>
        <v>22.6405821747424</v>
      </c>
      <c r="F129" s="0" t="n">
        <v>2</v>
      </c>
      <c r="G129" s="0" t="n">
        <f aca="false">B129*F129+5</f>
        <v>38.8816</v>
      </c>
      <c r="H129" s="3" t="n">
        <v>2</v>
      </c>
      <c r="I129" s="3" t="n">
        <v>0</v>
      </c>
      <c r="J129" s="4" t="n">
        <v>36.1304948968179</v>
      </c>
    </row>
    <row r="130" customFormat="false" ht="15" hidden="false" customHeight="false" outlineLevel="0" collapsed="false">
      <c r="A130" s="0" t="n">
        <f aca="false">A129+1</f>
        <v>128</v>
      </c>
      <c r="B130" s="1" t="n">
        <f aca="false">B129+H130*1</f>
        <v>18.9408</v>
      </c>
      <c r="C130" s="1" t="n">
        <f aca="false">B130*$K$1</f>
        <v>42.3705696</v>
      </c>
      <c r="D130" s="1" t="n">
        <v>11.3481490128812</v>
      </c>
      <c r="E130" s="1" t="n">
        <f aca="false">D130*$K$1</f>
        <v>25.3858093418152</v>
      </c>
      <c r="F130" s="0" t="n">
        <v>2</v>
      </c>
      <c r="G130" s="0" t="n">
        <f aca="false">B130*F130+5</f>
        <v>42.8816</v>
      </c>
      <c r="H130" s="3" t="n">
        <v>2</v>
      </c>
      <c r="I130" s="3" t="n">
        <v>0</v>
      </c>
      <c r="J130" s="4" t="n">
        <v>43.409927059924</v>
      </c>
    </row>
    <row r="131" customFormat="false" ht="15" hidden="false" customHeight="false" outlineLevel="0" collapsed="false">
      <c r="A131" s="0" t="n">
        <f aca="false">A130+1</f>
        <v>129</v>
      </c>
      <c r="B131" s="1" t="n">
        <f aca="false">B130+H131*1</f>
        <v>18.9408</v>
      </c>
      <c r="C131" s="1" t="n">
        <f aca="false">B131*$K$1</f>
        <v>42.3705696</v>
      </c>
      <c r="D131" s="1" t="n">
        <v>13.4752606038957</v>
      </c>
      <c r="E131" s="1" t="n">
        <f aca="false">D131*$K$1</f>
        <v>30.1441579709147</v>
      </c>
      <c r="F131" s="0" t="n">
        <v>2</v>
      </c>
      <c r="G131" s="0" t="n">
        <f aca="false">B131*F131+5</f>
        <v>42.8816</v>
      </c>
      <c r="H131" s="3" t="n">
        <v>0</v>
      </c>
      <c r="I131" s="3" t="n">
        <v>0</v>
      </c>
      <c r="J131" s="4" t="n">
        <v>49.9915317297484</v>
      </c>
    </row>
    <row r="132" customFormat="false" ht="15" hidden="false" customHeight="false" outlineLevel="0" collapsed="false">
      <c r="A132" s="0" t="n">
        <f aca="false">A131+1</f>
        <v>130</v>
      </c>
      <c r="B132" s="1" t="n">
        <f aca="false">B131+H132*1</f>
        <v>18.9408</v>
      </c>
      <c r="C132" s="1" t="n">
        <f aca="false">B132*$K$1</f>
        <v>42.3705696</v>
      </c>
      <c r="D132" s="1" t="n">
        <v>16.1818932375144</v>
      </c>
      <c r="E132" s="1" t="n">
        <f aca="false">D132*$K$1</f>
        <v>36.1988951723197</v>
      </c>
      <c r="F132" s="0" t="n">
        <v>2</v>
      </c>
      <c r="G132" s="0" t="n">
        <f aca="false">B132*F132+5</f>
        <v>42.8816</v>
      </c>
      <c r="H132" s="3" t="n">
        <v>0</v>
      </c>
      <c r="I132" s="3" t="n">
        <v>0</v>
      </c>
      <c r="J132" s="4" t="n">
        <v>54.1011758409031</v>
      </c>
    </row>
    <row r="133" customFormat="false" ht="15" hidden="false" customHeight="false" outlineLevel="0" collapsed="false">
      <c r="A133" s="0" t="n">
        <f aca="false">A132+1</f>
        <v>131</v>
      </c>
      <c r="B133" s="1" t="n">
        <f aca="false">B132+H133*1</f>
        <v>18.9408</v>
      </c>
      <c r="C133" s="1" t="n">
        <f aca="false">B133*$K$1</f>
        <v>42.3705696</v>
      </c>
      <c r="D133" s="1" t="n">
        <v>18.8809661634049</v>
      </c>
      <c r="E133" s="1" t="n">
        <f aca="false">D133*$K$1</f>
        <v>42.2367213075368</v>
      </c>
      <c r="F133" s="0" t="n">
        <v>2</v>
      </c>
      <c r="G133" s="0" t="n">
        <f aca="false">B133*F133+5</f>
        <v>42.8816</v>
      </c>
      <c r="H133" s="3" t="n">
        <v>0</v>
      </c>
      <c r="I133" s="3" t="n">
        <v>0</v>
      </c>
      <c r="J133" s="4" t="n">
        <v>55.463460668323</v>
      </c>
    </row>
    <row r="134" customFormat="false" ht="15" hidden="false" customHeight="false" outlineLevel="0" collapsed="false">
      <c r="A134" s="0" t="n">
        <f aca="false">A133+1</f>
        <v>132</v>
      </c>
      <c r="B134" s="1" t="n">
        <f aca="false">B133+H134*1</f>
        <v>18.9408</v>
      </c>
      <c r="C134" s="1" t="n">
        <f aca="false">B134*$K$1</f>
        <v>42.3705696</v>
      </c>
      <c r="D134" s="1" t="n">
        <v>21.0946332950128</v>
      </c>
      <c r="E134" s="1" t="n">
        <f aca="false">D134*$K$1</f>
        <v>47.1886946809436</v>
      </c>
      <c r="F134" s="0" t="n">
        <v>2</v>
      </c>
      <c r="G134" s="0" t="n">
        <f aca="false">B134*F134+5</f>
        <v>42.8816</v>
      </c>
      <c r="H134" s="3" t="n">
        <v>0</v>
      </c>
      <c r="I134" s="3" t="n">
        <v>0</v>
      </c>
      <c r="J134" s="4" t="n">
        <v>54.3414085565726</v>
      </c>
    </row>
    <row r="135" customFormat="false" ht="15" hidden="false" customHeight="false" outlineLevel="0" collapsed="false">
      <c r="A135" s="0" t="n">
        <f aca="false">A134+1</f>
        <v>133</v>
      </c>
      <c r="B135" s="1" t="n">
        <f aca="false">B134+H135*1</f>
        <v>18.9408</v>
      </c>
      <c r="C135" s="1" t="n">
        <f aca="false">B135*$K$1</f>
        <v>42.3705696</v>
      </c>
      <c r="D135" s="1" t="n">
        <v>22.5190525331641</v>
      </c>
      <c r="E135" s="1" t="n">
        <f aca="false">D135*$K$1</f>
        <v>50.3751205166881</v>
      </c>
      <c r="F135" s="0" t="n">
        <v>2</v>
      </c>
      <c r="G135" s="0" t="n">
        <f aca="false">B135*F135+5</f>
        <v>42.8816</v>
      </c>
      <c r="H135" s="3" t="n">
        <v>0</v>
      </c>
      <c r="I135" s="3" t="n">
        <v>0</v>
      </c>
      <c r="J135" s="4" t="n">
        <v>51.390812013648</v>
      </c>
    </row>
    <row r="136" customFormat="false" ht="15" hidden="false" customHeight="false" outlineLevel="0" collapsed="false">
      <c r="A136" s="0" t="n">
        <f aca="false">A135+1</f>
        <v>134</v>
      </c>
      <c r="B136" s="1" t="n">
        <f aca="false">B135+H136*1</f>
        <v>18.9408</v>
      </c>
      <c r="C136" s="1" t="n">
        <f aca="false">B136*$K$1</f>
        <v>42.3705696</v>
      </c>
      <c r="D136" s="1" t="n">
        <v>23.0463565526599</v>
      </c>
      <c r="E136" s="1" t="n">
        <f aca="false">D136*$K$1</f>
        <v>51.5546996083002</v>
      </c>
      <c r="F136" s="0" t="n">
        <v>2</v>
      </c>
      <c r="G136" s="0" t="n">
        <f aca="false">B136*F136+5</f>
        <v>42.8816</v>
      </c>
      <c r="H136" s="3" t="n">
        <v>0</v>
      </c>
      <c r="I136" s="3" t="n">
        <v>0</v>
      </c>
      <c r="J136" s="4" t="n">
        <v>47.4716116800776</v>
      </c>
    </row>
    <row r="137" customFormat="false" ht="15" hidden="false" customHeight="false" outlineLevel="0" collapsed="false">
      <c r="A137" s="0" t="n">
        <f aca="false">A136+1</f>
        <v>135</v>
      </c>
      <c r="B137" s="1" t="n">
        <f aca="false">B136+H137*1</f>
        <v>18.9408</v>
      </c>
      <c r="C137" s="1" t="n">
        <f aca="false">B137*$K$1</f>
        <v>42.3705696</v>
      </c>
      <c r="D137" s="1" t="n">
        <v>22.7477894366673</v>
      </c>
      <c r="E137" s="1" t="n">
        <f aca="false">D137*$K$1</f>
        <v>50.8868049698248</v>
      </c>
      <c r="F137" s="0" t="n">
        <v>2</v>
      </c>
      <c r="G137" s="0" t="n">
        <f aca="false">B137*F137+5</f>
        <v>42.8816</v>
      </c>
      <c r="H137" s="3" t="n">
        <v>0</v>
      </c>
      <c r="I137" s="3" t="n">
        <v>0</v>
      </c>
      <c r="J137" s="4" t="n">
        <v>43.4576912006141</v>
      </c>
    </row>
    <row r="138" customFormat="false" ht="15" hidden="false" customHeight="false" outlineLevel="0" collapsed="false">
      <c r="A138" s="0" t="n">
        <f aca="false">A137+1</f>
        <v>136</v>
      </c>
      <c r="B138" s="1" t="n">
        <f aca="false">B137+H138*1</f>
        <v>18.9408</v>
      </c>
      <c r="C138" s="1" t="n">
        <f aca="false">B138*$K$1</f>
        <v>42.3705696</v>
      </c>
      <c r="D138" s="1" t="n">
        <v>21.8281401973477</v>
      </c>
      <c r="E138" s="1" t="n">
        <f aca="false">D138*$K$1</f>
        <v>48.8295496214668</v>
      </c>
      <c r="F138" s="0" t="n">
        <v>2</v>
      </c>
      <c r="G138" s="0" t="n">
        <f aca="false">B138*F138+5</f>
        <v>42.8816</v>
      </c>
      <c r="H138" s="3" t="n">
        <v>0</v>
      </c>
      <c r="I138" s="3" t="n">
        <v>0</v>
      </c>
      <c r="J138" s="4" t="n">
        <v>40.0791519138675</v>
      </c>
    </row>
    <row r="139" customFormat="false" ht="15" hidden="false" customHeight="false" outlineLevel="0" collapsed="false">
      <c r="A139" s="0" t="n">
        <f aca="false">A138+1</f>
        <v>137</v>
      </c>
      <c r="B139" s="1" t="n">
        <f aca="false">B138+H139*1</f>
        <v>18.9408</v>
      </c>
      <c r="C139" s="1" t="n">
        <f aca="false">B139*$K$1</f>
        <v>42.3705696</v>
      </c>
      <c r="D139" s="1" t="n">
        <v>20.5648387587474</v>
      </c>
      <c r="E139" s="1" t="n">
        <f aca="false">D139*$K$1</f>
        <v>46.0035443033179</v>
      </c>
      <c r="F139" s="0" t="n">
        <v>2</v>
      </c>
      <c r="G139" s="0" t="n">
        <f aca="false">B139*F139+5</f>
        <v>42.8816</v>
      </c>
      <c r="H139" s="3" t="n">
        <v>0</v>
      </c>
      <c r="I139" s="3" t="n">
        <v>0</v>
      </c>
      <c r="J139" s="4" t="n">
        <v>37.8191032962229</v>
      </c>
    </row>
    <row r="140" customFormat="false" ht="15" hidden="false" customHeight="false" outlineLevel="0" collapsed="false">
      <c r="A140" s="0" t="n">
        <f aca="false">A139+1</f>
        <v>138</v>
      </c>
      <c r="B140" s="1" t="n">
        <f aca="false">B139+H140*1</f>
        <v>18.9408</v>
      </c>
      <c r="C140" s="1" t="n">
        <f aca="false">B140*$K$1</f>
        <v>42.3705696</v>
      </c>
      <c r="D140" s="1" t="n">
        <v>19.2453469471433</v>
      </c>
      <c r="E140" s="1" t="n">
        <f aca="false">D140*$K$1</f>
        <v>43.0518411207596</v>
      </c>
      <c r="F140" s="0" t="n">
        <v>2</v>
      </c>
      <c r="G140" s="0" t="n">
        <f aca="false">B140*F140+5</f>
        <v>42.8816</v>
      </c>
      <c r="H140" s="3" t="n">
        <v>0</v>
      </c>
      <c r="I140" s="3" t="n">
        <v>0</v>
      </c>
      <c r="J140" s="4" t="n">
        <v>36.8732758059361</v>
      </c>
    </row>
    <row r="141" customFormat="false" ht="15" hidden="false" customHeight="false" outlineLevel="0" collapsed="false">
      <c r="A141" s="0" t="n">
        <f aca="false">A140+1</f>
        <v>139</v>
      </c>
      <c r="B141" s="1" t="n">
        <f aca="false">B140+H141*1</f>
        <v>18.9408</v>
      </c>
      <c r="C141" s="1" t="n">
        <f aca="false">B141*$K$1</f>
        <v>42.3705696</v>
      </c>
      <c r="D141" s="1" t="n">
        <v>18.1142744060791</v>
      </c>
      <c r="E141" s="1" t="n">
        <f aca="false">D141*$K$1</f>
        <v>40.521631846399</v>
      </c>
      <c r="F141" s="0" t="n">
        <v>2</v>
      </c>
      <c r="G141" s="0" t="n">
        <f aca="false">B141*F141+5</f>
        <v>42.8816</v>
      </c>
      <c r="H141" s="3" t="n">
        <v>0</v>
      </c>
      <c r="I141" s="3" t="n">
        <v>0</v>
      </c>
      <c r="J141" s="4" t="n">
        <v>37.1680817302104</v>
      </c>
    </row>
    <row r="142" customFormat="false" ht="15" hidden="false" customHeight="false" outlineLevel="0" collapsed="false">
      <c r="A142" s="0" t="n">
        <f aca="false">A141+1</f>
        <v>140</v>
      </c>
      <c r="B142" s="1" t="n">
        <f aca="false">B141+H142*1</f>
        <v>18.9408</v>
      </c>
      <c r="C142" s="1" t="n">
        <f aca="false">B142*$K$1</f>
        <v>42.3705696</v>
      </c>
      <c r="D142" s="1" t="n">
        <v>17.3378220741267</v>
      </c>
      <c r="E142" s="1" t="n">
        <f aca="false">D142*$K$1</f>
        <v>38.7847079798214</v>
      </c>
      <c r="F142" s="0" t="n">
        <v>2</v>
      </c>
      <c r="G142" s="0" t="n">
        <f aca="false">B142*F142+5</f>
        <v>42.8816</v>
      </c>
      <c r="H142" s="3" t="n">
        <v>0</v>
      </c>
      <c r="I142" s="3" t="n">
        <v>0</v>
      </c>
      <c r="J142" s="4" t="n">
        <v>38.4231757874152</v>
      </c>
    </row>
    <row r="143" customFormat="false" ht="15" hidden="false" customHeight="false" outlineLevel="0" collapsed="false">
      <c r="A143" s="0" t="n">
        <f aca="false">A142+1</f>
        <v>141</v>
      </c>
      <c r="B143" s="1" t="n">
        <f aca="false">B142+H143*1</f>
        <v>18.9408</v>
      </c>
      <c r="C143" s="1" t="n">
        <f aca="false">B143*$K$1</f>
        <v>42.3705696</v>
      </c>
      <c r="D143" s="1" t="n">
        <v>16.9886820624626</v>
      </c>
      <c r="E143" s="1" t="n">
        <f aca="false">D143*$K$1</f>
        <v>38.0036817737288</v>
      </c>
      <c r="F143" s="0" t="n">
        <v>2</v>
      </c>
      <c r="G143" s="0" t="n">
        <f aca="false">B143*F143+5</f>
        <v>42.8816</v>
      </c>
      <c r="H143" s="3" t="n">
        <v>0</v>
      </c>
      <c r="I143" s="3" t="n">
        <v>0</v>
      </c>
      <c r="J143" s="4" t="n">
        <v>40.2392294358526</v>
      </c>
    </row>
    <row r="144" customFormat="false" ht="15" hidden="false" customHeight="false" outlineLevel="0" collapsed="false">
      <c r="A144" s="0" t="n">
        <f aca="false">A143+1</f>
        <v>142</v>
      </c>
      <c r="B144" s="1" t="n">
        <f aca="false">B138-H144*1</f>
        <v>16.9408</v>
      </c>
      <c r="C144" s="1" t="n">
        <f aca="false">B144*$K$1</f>
        <v>37.8965696</v>
      </c>
      <c r="D144" s="1" t="n">
        <v>17.1703156111849</v>
      </c>
      <c r="E144" s="1" t="n">
        <f aca="false">D144*$K$1</f>
        <v>38.4099960222206</v>
      </c>
      <c r="F144" s="0" t="n">
        <v>2</v>
      </c>
      <c r="G144" s="0" t="n">
        <f aca="false">B144*F144+5</f>
        <v>38.8816</v>
      </c>
      <c r="H144" s="3" t="n">
        <v>2</v>
      </c>
      <c r="I144" s="3" t="n">
        <v>0</v>
      </c>
      <c r="J144" s="4" t="n">
        <v>41.1240336872891</v>
      </c>
    </row>
    <row r="145" customFormat="false" ht="15" hidden="false" customHeight="false" outlineLevel="0" collapsed="false">
      <c r="A145" s="0" t="n">
        <f aca="false">A144+1</f>
        <v>143</v>
      </c>
      <c r="B145" s="1" t="n">
        <f aca="false">B144-H145*1</f>
        <v>14.9408</v>
      </c>
      <c r="C145" s="1" t="n">
        <f aca="false">B145*$K$1</f>
        <v>33.4225696</v>
      </c>
      <c r="D145" s="1" t="n">
        <v>17.6204838447671</v>
      </c>
      <c r="E145" s="1" t="n">
        <f aca="false">D145*$K$1</f>
        <v>39.417022360744</v>
      </c>
      <c r="F145" s="0" t="n">
        <v>2</v>
      </c>
      <c r="G145" s="0" t="n">
        <f aca="false">B145*F145+5</f>
        <v>34.8816</v>
      </c>
      <c r="H145" s="3" t="n">
        <v>2</v>
      </c>
      <c r="I145" s="3" t="n">
        <v>0</v>
      </c>
      <c r="J145" s="4" t="n">
        <v>39.6476295760408</v>
      </c>
    </row>
    <row r="146" customFormat="false" ht="15" hidden="false" customHeight="false" outlineLevel="0" collapsed="false">
      <c r="A146" s="0" t="n">
        <f aca="false">A145+1</f>
        <v>144</v>
      </c>
      <c r="B146" s="1" t="n">
        <f aca="false">B145-H146*1</f>
        <v>12.9408</v>
      </c>
      <c r="C146" s="1" t="n">
        <f aca="false">B146*$K$1</f>
        <v>28.9485696</v>
      </c>
      <c r="D146" s="1" t="n">
        <v>17.8547950736513</v>
      </c>
      <c r="E146" s="1" t="n">
        <f aca="false">D146*$K$1</f>
        <v>39.941176579758</v>
      </c>
      <c r="F146" s="0" t="n">
        <v>2</v>
      </c>
      <c r="G146" s="0" t="n">
        <f aca="false">B146*F146+5</f>
        <v>30.8816</v>
      </c>
      <c r="H146" s="3" t="n">
        <v>2</v>
      </c>
      <c r="I146" s="3" t="n">
        <v>0</v>
      </c>
      <c r="J146" s="4" t="n">
        <v>35.7958762578471</v>
      </c>
    </row>
    <row r="147" customFormat="false" ht="15" hidden="false" customHeight="false" outlineLevel="0" collapsed="false">
      <c r="A147" s="0" t="n">
        <f aca="false">A146+1</f>
        <v>145</v>
      </c>
      <c r="B147" s="1" t="n">
        <f aca="false">B146-H147*1</f>
        <v>10.9408</v>
      </c>
      <c r="C147" s="1" t="n">
        <f aca="false">B147*$K$1</f>
        <v>24.4745696</v>
      </c>
      <c r="D147" s="1" t="n">
        <v>17.5162046469501</v>
      </c>
      <c r="E147" s="1" t="n">
        <f aca="false">D147*$K$1</f>
        <v>39.1837497952274</v>
      </c>
      <c r="F147" s="0" t="n">
        <v>2</v>
      </c>
      <c r="G147" s="0" t="n">
        <f aca="false">B147*F147+5</f>
        <v>26.8816</v>
      </c>
      <c r="H147" s="3" t="n">
        <v>2</v>
      </c>
      <c r="I147" s="3" t="n">
        <v>0</v>
      </c>
      <c r="J147" s="4" t="n">
        <v>29.9789881094594</v>
      </c>
    </row>
    <row r="148" customFormat="false" ht="15" hidden="false" customHeight="false" outlineLevel="0" collapsed="false">
      <c r="A148" s="0" t="n">
        <f aca="false">A147+1</f>
        <v>146</v>
      </c>
      <c r="B148" s="1" t="n">
        <f aca="false">B147-H148*1</f>
        <v>8.9408</v>
      </c>
      <c r="C148" s="1" t="n">
        <f aca="false">B148*$K$1</f>
        <v>20.0005696</v>
      </c>
      <c r="D148" s="1" t="n">
        <v>16.4150066580197</v>
      </c>
      <c r="E148" s="1" t="n">
        <f aca="false">D148*$K$1</f>
        <v>36.7203698939901</v>
      </c>
      <c r="F148" s="0" t="n">
        <v>2</v>
      </c>
      <c r="G148" s="0" t="n">
        <f aca="false">B148*F148+5</f>
        <v>22.8816</v>
      </c>
      <c r="H148" s="3" t="n">
        <v>2</v>
      </c>
      <c r="I148" s="3" t="n">
        <v>0</v>
      </c>
      <c r="J148" s="4" t="n">
        <v>22.8807118275736</v>
      </c>
    </row>
    <row r="149" customFormat="false" ht="15" hidden="false" customHeight="false" outlineLevel="0" collapsed="false">
      <c r="A149" s="0" t="n">
        <f aca="false">A148+1</f>
        <v>147</v>
      </c>
      <c r="B149" s="1" t="n">
        <f aca="false">B148-H149*1</f>
        <v>8.9408</v>
      </c>
      <c r="C149" s="1" t="n">
        <f aca="false">B149*$K$1</f>
        <v>20.0005696</v>
      </c>
      <c r="D149" s="1" t="n">
        <v>14.4117641395533</v>
      </c>
      <c r="E149" s="1" t="n">
        <f aca="false">D149*$K$1</f>
        <v>32.2391163801807</v>
      </c>
      <c r="F149" s="0" t="n">
        <v>2</v>
      </c>
      <c r="G149" s="0" t="n">
        <f aca="false">B149*F149+5</f>
        <v>22.8816</v>
      </c>
      <c r="H149" s="3" t="n">
        <v>0</v>
      </c>
      <c r="I149" s="3" t="n">
        <v>0</v>
      </c>
      <c r="J149" s="4" t="n">
        <v>16.3533209089962</v>
      </c>
    </row>
    <row r="150" customFormat="false" ht="15" hidden="false" customHeight="false" outlineLevel="0" collapsed="false">
      <c r="A150" s="0" t="n">
        <f aca="false">A149+1</f>
        <v>148</v>
      </c>
      <c r="B150" s="1" t="n">
        <f aca="false">B149-H150*1</f>
        <v>8.9408</v>
      </c>
      <c r="C150" s="1" t="n">
        <f aca="false">B150*$K$1</f>
        <v>20.0005696</v>
      </c>
      <c r="D150" s="1" t="n">
        <v>11.8052730022577</v>
      </c>
      <c r="E150" s="1" t="n">
        <f aca="false">D150*$K$1</f>
        <v>26.4083957060505</v>
      </c>
      <c r="F150" s="0" t="n">
        <v>2</v>
      </c>
      <c r="G150" s="0" t="n">
        <f aca="false">B150*F150+5</f>
        <v>22.8816</v>
      </c>
      <c r="H150" s="3" t="n">
        <v>0</v>
      </c>
      <c r="I150" s="3" t="n">
        <v>0</v>
      </c>
      <c r="J150" s="4" t="n">
        <v>12.1846516089468</v>
      </c>
    </row>
    <row r="151" customFormat="false" ht="15" hidden="false" customHeight="false" outlineLevel="0" collapsed="false">
      <c r="A151" s="0" t="n">
        <f aca="false">A150+1</f>
        <v>149</v>
      </c>
      <c r="B151" s="1" t="n">
        <f aca="false">B150-H151*1</f>
        <v>8.9408</v>
      </c>
      <c r="C151" s="1" t="n">
        <f aca="false">B151*$K$1</f>
        <v>20.0005696</v>
      </c>
      <c r="D151" s="1" t="n">
        <v>9.16919391868198</v>
      </c>
      <c r="E151" s="1" t="n">
        <f aca="false">D151*$K$1</f>
        <v>20.5114867960916</v>
      </c>
      <c r="F151" s="0" t="n">
        <v>2</v>
      </c>
      <c r="G151" s="0" t="n">
        <f aca="false">B151*F151+5</f>
        <v>22.8816</v>
      </c>
      <c r="H151" s="3" t="n">
        <v>0</v>
      </c>
      <c r="I151" s="3" t="n">
        <v>0</v>
      </c>
      <c r="J151" s="4" t="n">
        <v>10.6813937034735</v>
      </c>
    </row>
    <row r="152" customFormat="false" ht="15" hidden="false" customHeight="false" outlineLevel="0" collapsed="false">
      <c r="A152" s="0" t="n">
        <f aca="false">A151+1</f>
        <v>150</v>
      </c>
      <c r="B152" s="1" t="n">
        <f aca="false">B151-H152*1</f>
        <v>8.9408</v>
      </c>
      <c r="C152" s="1" t="n">
        <f aca="false">B152*$K$1</f>
        <v>20.0005696</v>
      </c>
      <c r="D152" s="1" t="n">
        <v>6.97701498201525</v>
      </c>
      <c r="E152" s="1" t="n">
        <f aca="false">D152*$K$1</f>
        <v>15.6075825147681</v>
      </c>
      <c r="F152" s="0" t="n">
        <v>2</v>
      </c>
      <c r="G152" s="0" t="n">
        <f aca="false">B152*F152+5</f>
        <v>22.8816</v>
      </c>
      <c r="H152" s="3" t="n">
        <v>0</v>
      </c>
      <c r="I152" s="3" t="n">
        <v>0</v>
      </c>
      <c r="J152" s="4" t="n">
        <v>11.6206156021672</v>
      </c>
    </row>
    <row r="153" customFormat="false" ht="15" hidden="false" customHeight="false" outlineLevel="0" collapsed="false">
      <c r="A153" s="0" t="n">
        <f aca="false">A152+1</f>
        <v>151</v>
      </c>
      <c r="B153" s="1" t="n">
        <f aca="false">B152-H153*1</f>
        <v>8.9408</v>
      </c>
      <c r="C153" s="1" t="n">
        <f aca="false">B153*$K$1</f>
        <v>20.0005696</v>
      </c>
      <c r="D153" s="1" t="n">
        <v>5.53639075868036</v>
      </c>
      <c r="E153" s="1" t="n">
        <f aca="false">D153*$K$1</f>
        <v>12.384906127168</v>
      </c>
      <c r="F153" s="0" t="n">
        <v>2</v>
      </c>
      <c r="G153" s="0" t="n">
        <f aca="false">B153*F153+5</f>
        <v>22.8816</v>
      </c>
      <c r="H153" s="3" t="n">
        <v>0</v>
      </c>
      <c r="I153" s="3" t="n">
        <v>0</v>
      </c>
      <c r="J153" s="4" t="n">
        <v>14.3866797283383</v>
      </c>
    </row>
    <row r="154" customFormat="false" ht="15" hidden="false" customHeight="false" outlineLevel="0" collapsed="false">
      <c r="A154" s="0" t="n">
        <f aca="false">A153+1</f>
        <v>152</v>
      </c>
      <c r="B154" s="1" t="n">
        <f aca="false">B153-H154*1</f>
        <v>8.9408</v>
      </c>
      <c r="C154" s="1" t="n">
        <f aca="false">B154*$K$1</f>
        <v>20.0005696</v>
      </c>
      <c r="D154" s="1" t="n">
        <v>4.96499302790378</v>
      </c>
      <c r="E154" s="1" t="n">
        <f aca="false">D154*$K$1</f>
        <v>11.1066894034208</v>
      </c>
      <c r="F154" s="0" t="n">
        <v>2</v>
      </c>
      <c r="G154" s="0" t="n">
        <f aca="false">B154*F154+5</f>
        <v>22.8816</v>
      </c>
      <c r="H154" s="3" t="n">
        <v>0</v>
      </c>
      <c r="I154" s="3" t="n">
        <v>0</v>
      </c>
      <c r="J154" s="4" t="n">
        <v>18.152723024446</v>
      </c>
    </row>
    <row r="155" customFormat="false" ht="15" hidden="false" customHeight="false" outlineLevel="0" collapsed="false">
      <c r="A155" s="0" t="n">
        <f aca="false">A154+1</f>
        <v>153</v>
      </c>
      <c r="B155" s="1" t="n">
        <f aca="false">B154-H155*1</f>
        <v>8.9408</v>
      </c>
      <c r="C155" s="1" t="n">
        <f aca="false">B155*$K$1</f>
        <v>20.0005696</v>
      </c>
      <c r="D155" s="1" t="n">
        <v>5.20453211802879</v>
      </c>
      <c r="E155" s="1" t="n">
        <f aca="false">D155*$K$1</f>
        <v>11.6425383480304</v>
      </c>
      <c r="F155" s="0" t="n">
        <v>2</v>
      </c>
      <c r="G155" s="0" t="n">
        <f aca="false">B155*F155+5</f>
        <v>22.8816</v>
      </c>
      <c r="H155" s="3" t="n">
        <v>0</v>
      </c>
      <c r="I155" s="3" t="n">
        <v>0</v>
      </c>
      <c r="J155" s="4" t="n">
        <v>22.0662896311285</v>
      </c>
    </row>
    <row r="156" customFormat="false" ht="15" hidden="false" customHeight="false" outlineLevel="0" collapsed="false">
      <c r="A156" s="0" t="n">
        <f aca="false">A155+1</f>
        <v>154</v>
      </c>
      <c r="B156" s="1" t="n">
        <f aca="false">B155-H156*1</f>
        <v>8.9408</v>
      </c>
      <c r="C156" s="1" t="n">
        <f aca="false">B156*$K$1</f>
        <v>20.0005696</v>
      </c>
      <c r="D156" s="1" t="n">
        <v>6.06344436596751</v>
      </c>
      <c r="E156" s="1" t="n">
        <f aca="false">D156*$K$1</f>
        <v>13.5639250466693</v>
      </c>
      <c r="F156" s="0" t="n">
        <v>2</v>
      </c>
      <c r="G156" s="0" t="n">
        <f aca="false">B156*F156+5</f>
        <v>22.8816</v>
      </c>
      <c r="H156" s="3" t="n">
        <v>0</v>
      </c>
      <c r="I156" s="3" t="n">
        <v>0</v>
      </c>
      <c r="J156" s="4" t="n">
        <v>25.4053925491448</v>
      </c>
    </row>
    <row r="157" customFormat="false" ht="15" hidden="false" customHeight="false" outlineLevel="0" collapsed="false">
      <c r="A157" s="0" t="n">
        <f aca="false">A156+1</f>
        <v>155</v>
      </c>
      <c r="B157" s="1" t="n">
        <f aca="false">B156-H157*1</f>
        <v>8.9408</v>
      </c>
      <c r="C157" s="1" t="n">
        <f aca="false">B157*$K$1</f>
        <v>20.0005696</v>
      </c>
      <c r="D157" s="1" t="n">
        <v>7.27539810780551</v>
      </c>
      <c r="E157" s="1" t="n">
        <f aca="false">D157*$K$1</f>
        <v>16.2750655671609</v>
      </c>
      <c r="F157" s="0" t="n">
        <v>2</v>
      </c>
      <c r="G157" s="0" t="n">
        <f aca="false">B157*F157+5</f>
        <v>22.8816</v>
      </c>
      <c r="H157" s="3" t="n">
        <v>0</v>
      </c>
      <c r="I157" s="3" t="n">
        <v>0</v>
      </c>
      <c r="J157" s="4" t="n">
        <v>27.6827291649465</v>
      </c>
    </row>
    <row r="158" customFormat="false" ht="15" hidden="false" customHeight="false" outlineLevel="0" collapsed="false">
      <c r="A158" s="0" t="n">
        <f aca="false">A157+1</f>
        <v>156</v>
      </c>
      <c r="B158" s="1" t="n">
        <f aca="false">B157-H158*1</f>
        <v>8.9408</v>
      </c>
      <c r="C158" s="1" t="n">
        <f aca="false">B158*$K$1</f>
        <v>20.0005696</v>
      </c>
      <c r="D158" s="1" t="n">
        <v>8.56032304239097</v>
      </c>
      <c r="E158" s="1" t="n">
        <f aca="false">D158*$K$1</f>
        <v>19.1494426458286</v>
      </c>
      <c r="F158" s="0" t="n">
        <v>2</v>
      </c>
      <c r="G158" s="0" t="n">
        <f aca="false">B158*F158+5</f>
        <v>22.8816</v>
      </c>
      <c r="H158" s="3" t="n">
        <v>0</v>
      </c>
      <c r="I158" s="3" t="n">
        <v>0</v>
      </c>
      <c r="J158" s="4" t="n">
        <v>28.6890747620682</v>
      </c>
    </row>
    <row r="159" customFormat="false" ht="15" hidden="false" customHeight="false" outlineLevel="0" collapsed="false">
      <c r="A159" s="0" t="n">
        <f aca="false">A158+1</f>
        <v>157</v>
      </c>
      <c r="B159" s="1" t="n">
        <f aca="false">B158-H159*1</f>
        <v>8.9408</v>
      </c>
      <c r="C159" s="1" t="n">
        <f aca="false">B159*$K$1</f>
        <v>20.0005696</v>
      </c>
      <c r="D159" s="1" t="n">
        <v>9.67666312547143</v>
      </c>
      <c r="E159" s="1" t="n">
        <f aca="false">D159*$K$1</f>
        <v>21.6466954116796</v>
      </c>
      <c r="F159" s="0" t="n">
        <v>2</v>
      </c>
      <c r="G159" s="0" t="n">
        <f aca="false">B159*F159+5</f>
        <v>22.8816</v>
      </c>
      <c r="H159" s="3" t="n">
        <v>0</v>
      </c>
      <c r="I159" s="3" t="n">
        <v>0</v>
      </c>
      <c r="J159" s="4" t="n">
        <v>28.4793269939205</v>
      </c>
    </row>
    <row r="160" customFormat="false" ht="15" hidden="false" customHeight="false" outlineLevel="0" collapsed="false">
      <c r="A160" s="0" t="n">
        <f aca="false">A159+1</f>
        <v>158</v>
      </c>
      <c r="B160" s="1" t="n">
        <f aca="false">B159-H160*1</f>
        <v>8.9408</v>
      </c>
      <c r="C160" s="1" t="n">
        <f aca="false">B160*$K$1</f>
        <v>20.0005696</v>
      </c>
      <c r="D160" s="1" t="n">
        <v>10.4571881227832</v>
      </c>
      <c r="E160" s="1" t="n">
        <f aca="false">D160*$K$1</f>
        <v>23.392729830666</v>
      </c>
      <c r="F160" s="0" t="n">
        <v>2</v>
      </c>
      <c r="G160" s="0" t="n">
        <f aca="false">B160*F160+5</f>
        <v>22.8816</v>
      </c>
      <c r="H160" s="3" t="n">
        <v>0</v>
      </c>
      <c r="I160" s="3" t="n">
        <v>0</v>
      </c>
      <c r="J160" s="4" t="n">
        <v>27.3142186782429</v>
      </c>
    </row>
    <row r="161" customFormat="false" ht="15" hidden="false" customHeight="false" outlineLevel="0" collapsed="false">
      <c r="A161" s="0" t="n">
        <f aca="false">A160+1</f>
        <v>159</v>
      </c>
      <c r="B161" s="1" t="n">
        <f aca="false">B155-H161*1</f>
        <v>8.04672</v>
      </c>
      <c r="C161" s="1" t="n">
        <f aca="false">B161*$K$1</f>
        <v>18.00051264</v>
      </c>
      <c r="D161" s="1" t="n">
        <v>10.8786716350104</v>
      </c>
      <c r="E161" s="1" t="n">
        <f aca="false">D161*$K$1</f>
        <v>24.3355884475183</v>
      </c>
      <c r="F161" s="0" t="n">
        <v>2</v>
      </c>
      <c r="G161" s="0" t="n">
        <f aca="false">B161*F161+5</f>
        <v>21.09344</v>
      </c>
      <c r="H161" s="3" t="n">
        <v>0.89408</v>
      </c>
      <c r="I161" s="3" t="n">
        <v>0</v>
      </c>
      <c r="J161" s="4" t="n">
        <v>25.099352641043</v>
      </c>
    </row>
    <row r="162" customFormat="false" ht="15" hidden="false" customHeight="false" outlineLevel="0" collapsed="false">
      <c r="A162" s="0" t="n">
        <f aca="false">A161+1</f>
        <v>160</v>
      </c>
      <c r="B162" s="1" t="n">
        <f aca="false">B161-H162*1</f>
        <v>7.15264</v>
      </c>
      <c r="C162" s="1" t="n">
        <f aca="false">B162*$K$1</f>
        <v>16.00045568</v>
      </c>
      <c r="D162" s="1" t="n">
        <v>10.8730528047964</v>
      </c>
      <c r="E162" s="1" t="n">
        <f aca="false">D162*$K$1</f>
        <v>24.3230191243295</v>
      </c>
      <c r="F162" s="0" t="n">
        <v>2</v>
      </c>
      <c r="G162" s="0" t="n">
        <f aca="false">B162*F162+5</f>
        <v>19.30528</v>
      </c>
      <c r="H162" s="3" t="n">
        <v>0.89408</v>
      </c>
      <c r="I162" s="3" t="n">
        <v>0</v>
      </c>
      <c r="J162" s="4" t="n">
        <v>21.7753870333033</v>
      </c>
    </row>
    <row r="163" customFormat="false" ht="15" hidden="false" customHeight="false" outlineLevel="0" collapsed="false">
      <c r="A163" s="0" t="n">
        <f aca="false">A162+1</f>
        <v>161</v>
      </c>
      <c r="B163" s="1" t="n">
        <f aca="false">B162-H163*1</f>
        <v>6.25856</v>
      </c>
      <c r="C163" s="1" t="n">
        <f aca="false">B163*$K$1</f>
        <v>14.00039872</v>
      </c>
      <c r="D163" s="1" t="n">
        <v>10.361072334928</v>
      </c>
      <c r="E163" s="1" t="n">
        <f aca="false">D163*$K$1</f>
        <v>23.1777188132339</v>
      </c>
      <c r="F163" s="0" t="n">
        <v>2</v>
      </c>
      <c r="G163" s="0" t="n">
        <f aca="false">B163*F163+5</f>
        <v>17.51712</v>
      </c>
      <c r="H163" s="3" t="n">
        <v>0.89408</v>
      </c>
      <c r="I163" s="3" t="n">
        <v>0</v>
      </c>
      <c r="J163" s="4" t="n">
        <v>17.8188405273395</v>
      </c>
    </row>
    <row r="164" customFormat="false" ht="15" hidden="false" customHeight="false" outlineLevel="0" collapsed="false">
      <c r="A164" s="0" t="n">
        <f aca="false">A163+1</f>
        <v>162</v>
      </c>
      <c r="B164" s="1" t="n">
        <f aca="false">B163-H164*1</f>
        <v>5.36448</v>
      </c>
      <c r="C164" s="1" t="n">
        <f aca="false">B164*$K$1</f>
        <v>12.00034176</v>
      </c>
      <c r="D164" s="1" t="n">
        <v>9.36794434794257</v>
      </c>
      <c r="E164" s="1" t="n">
        <f aca="false">D164*$K$1</f>
        <v>20.9560915063475</v>
      </c>
      <c r="F164" s="0" t="n">
        <v>2</v>
      </c>
      <c r="G164" s="0" t="n">
        <f aca="false">B164*F164+5</f>
        <v>15.72896</v>
      </c>
      <c r="H164" s="3" t="n">
        <v>0.89408</v>
      </c>
      <c r="I164" s="3" t="n">
        <v>0</v>
      </c>
      <c r="J164" s="4" t="n">
        <v>13.7309765056173</v>
      </c>
    </row>
    <row r="165" customFormat="false" ht="15" hidden="false" customHeight="false" outlineLevel="0" collapsed="false">
      <c r="A165" s="0" t="n">
        <f aca="false">A164+1</f>
        <v>163</v>
      </c>
      <c r="B165" s="1" t="n">
        <f aca="false">B164-H165*1</f>
        <v>4.4704</v>
      </c>
      <c r="C165" s="1" t="n">
        <f aca="false">B165*$K$1</f>
        <v>10.0002848</v>
      </c>
      <c r="D165" s="1" t="n">
        <v>7.99967958567509</v>
      </c>
      <c r="E165" s="1" t="n">
        <f aca="false">D165*$K$1</f>
        <v>17.8952832331552</v>
      </c>
      <c r="F165" s="0" t="n">
        <v>2</v>
      </c>
      <c r="G165" s="0" t="n">
        <f aca="false">B165*F165+5</f>
        <v>13.9408</v>
      </c>
      <c r="H165" s="3" t="n">
        <v>0.89408</v>
      </c>
      <c r="I165" s="3" t="n">
        <v>0</v>
      </c>
      <c r="J165" s="4" t="n">
        <v>9.94425343455646</v>
      </c>
    </row>
    <row r="166" customFormat="false" ht="15" hidden="false" customHeight="false" outlineLevel="0" collapsed="false">
      <c r="A166" s="0" t="n">
        <f aca="false">A165+1</f>
        <v>164</v>
      </c>
      <c r="B166" s="1" t="n">
        <f aca="false">B165-H166*1</f>
        <v>3.57632</v>
      </c>
      <c r="C166" s="1" t="n">
        <f aca="false">B166*$K$1</f>
        <v>8.00022783999999</v>
      </c>
      <c r="D166" s="1" t="n">
        <v>6.40941398995006</v>
      </c>
      <c r="E166" s="1" t="n">
        <f aca="false">D166*$K$1</f>
        <v>14.3378590955183</v>
      </c>
      <c r="F166" s="0" t="n">
        <v>2</v>
      </c>
      <c r="G166" s="0" t="n">
        <f aca="false">B166*F166+5</f>
        <v>12.15264</v>
      </c>
      <c r="H166" s="3" t="n">
        <v>0.89408</v>
      </c>
      <c r="I166" s="3" t="n">
        <v>0</v>
      </c>
      <c r="J166" s="4" t="n">
        <v>6.75818427584159</v>
      </c>
    </row>
    <row r="167" customFormat="false" ht="15" hidden="false" customHeight="false" outlineLevel="0" collapsed="false">
      <c r="A167" s="0" t="n">
        <f aca="false">A166+1</f>
        <v>165</v>
      </c>
      <c r="B167" s="1" t="n">
        <f aca="false">B166-H167*1</f>
        <v>2.68224</v>
      </c>
      <c r="C167" s="1" t="n">
        <f aca="false">B167*$K$1</f>
        <v>6.00017087999999</v>
      </c>
      <c r="D167" s="1" t="n">
        <v>4.76155800082377</v>
      </c>
      <c r="E167" s="1" t="n">
        <f aca="false">D167*$K$1</f>
        <v>10.6516052478428</v>
      </c>
      <c r="F167" s="0" t="n">
        <v>2</v>
      </c>
      <c r="G167" s="0" t="n">
        <f aca="false">B167*F167+5</f>
        <v>10.36448</v>
      </c>
      <c r="H167" s="3" t="n">
        <v>0.89408</v>
      </c>
      <c r="I167" s="3" t="n">
        <v>0</v>
      </c>
      <c r="J167" s="4" t="n">
        <v>4.31058872554013</v>
      </c>
    </row>
    <row r="168" customFormat="false" ht="15" hidden="false" customHeight="false" outlineLevel="0" collapsed="false">
      <c r="A168" s="0" t="n">
        <f aca="false">A167+1</f>
        <v>166</v>
      </c>
      <c r="B168" s="1" t="n">
        <f aca="false">B167-H168*1</f>
        <v>1.78816</v>
      </c>
      <c r="C168" s="1" t="n">
        <f aca="false">B168*$K$1</f>
        <v>4.00011391999999</v>
      </c>
      <c r="D168" s="1" t="n">
        <v>3.20053256733068</v>
      </c>
      <c r="E168" s="1" t="n">
        <f aca="false">D168*$K$1</f>
        <v>7.15959135311873</v>
      </c>
      <c r="F168" s="0" t="n">
        <v>2</v>
      </c>
      <c r="G168" s="0" t="n">
        <f aca="false">B168*F168+5</f>
        <v>8.57631999999999</v>
      </c>
      <c r="H168" s="3" t="n">
        <v>0.89408</v>
      </c>
      <c r="I168" s="3" t="n">
        <v>0</v>
      </c>
      <c r="J168" s="4" t="n">
        <v>2.58283819043709</v>
      </c>
    </row>
    <row r="169" customFormat="false" ht="15" hidden="false" customHeight="false" outlineLevel="0" collapsed="false">
      <c r="A169" s="0" t="n">
        <f aca="false">A168+1</f>
        <v>167</v>
      </c>
      <c r="B169" s="1" t="n">
        <f aca="false">B168-H169*1</f>
        <v>0.894079999999997</v>
      </c>
      <c r="C169" s="1" t="n">
        <f aca="false">B169*$K$1</f>
        <v>2.00005695999999</v>
      </c>
      <c r="D169" s="1" t="n">
        <v>1.82880002988241</v>
      </c>
      <c r="E169" s="1" t="n">
        <f aca="false">D169*$K$1</f>
        <v>4.09102566684695</v>
      </c>
      <c r="F169" s="0" t="n">
        <v>2</v>
      </c>
      <c r="G169" s="0" t="n">
        <f aca="false">B169*F169+5</f>
        <v>6.78815999999999</v>
      </c>
      <c r="H169" s="3" t="n">
        <v>0.89408</v>
      </c>
      <c r="I169" s="3" t="n">
        <v>0</v>
      </c>
      <c r="J169" s="4" t="n">
        <v>1.43191511719419</v>
      </c>
    </row>
    <row r="170" customFormat="false" ht="15" hidden="false" customHeight="false" outlineLevel="0" collapsed="false">
      <c r="A170" s="0" t="n">
        <f aca="false">A169+1</f>
        <v>168</v>
      </c>
      <c r="B170" s="1" t="n">
        <f aca="false">B169-H170*1</f>
        <v>-3.33066907387547E-015</v>
      </c>
      <c r="C170" s="1" t="n">
        <f aca="false">B170*$K$1</f>
        <v>-7.45070671825942E-015</v>
      </c>
      <c r="D170" s="1" t="n">
        <v>0.696382422343842</v>
      </c>
      <c r="E170" s="1" t="n">
        <f aca="false">D170*$K$1</f>
        <v>1.55780747878317</v>
      </c>
      <c r="F170" s="0" t="n">
        <v>2</v>
      </c>
      <c r="G170" s="0" t="n">
        <f aca="false">B170*F170+5</f>
        <v>4.99999999999999</v>
      </c>
      <c r="H170" s="3" t="n">
        <v>0.89408</v>
      </c>
      <c r="I170" s="3" t="n">
        <v>0</v>
      </c>
      <c r="J170" s="4" t="n">
        <v>0.63866648015869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6.14"/>
    <col collapsed="false" customWidth="true" hidden="false" outlineLevel="0" max="3" min="3" style="1" width="16.43"/>
    <col collapsed="false" customWidth="true" hidden="false" outlineLevel="0" max="5" min="4" style="1" width="22.28"/>
    <col collapsed="false" customWidth="true" hidden="false" outlineLevel="0" max="6" min="6" style="0" width="11.28"/>
    <col collapsed="false" customWidth="true" hidden="false" outlineLevel="0" max="7" min="7" style="0" width="20"/>
    <col collapsed="false" customWidth="true" hidden="false" outlineLevel="0" max="9" min="8" style="3" width="17.57"/>
    <col collapsed="false" customWidth="true" hidden="false" outlineLevel="0" max="10" min="10" style="4" width="17.57"/>
  </cols>
  <sheetData>
    <row r="1" customFormat="false" ht="15" hidden="false" customHeight="false" outlineLevel="0" collapsed="false">
      <c r="A1" s="11" t="s">
        <v>0</v>
      </c>
      <c r="B1" s="11" t="s">
        <v>1</v>
      </c>
      <c r="C1" s="13" t="s">
        <v>2</v>
      </c>
      <c r="D1" s="13" t="s">
        <v>3</v>
      </c>
      <c r="E1" s="13" t="s">
        <v>3</v>
      </c>
      <c r="F1" s="11" t="s">
        <v>5</v>
      </c>
      <c r="G1" s="11" t="s">
        <v>6</v>
      </c>
      <c r="H1" s="14" t="s">
        <v>7</v>
      </c>
      <c r="I1" s="14" t="s">
        <v>8</v>
      </c>
      <c r="J1" s="15" t="s">
        <v>9</v>
      </c>
      <c r="K1" s="0" t="n">
        <v>2.237</v>
      </c>
      <c r="L1" s="16" t="s">
        <v>10</v>
      </c>
      <c r="M1" s="16" t="n">
        <v>0.1</v>
      </c>
    </row>
    <row r="2" customFormat="false" ht="15" hidden="false" customHeight="false" outlineLevel="0" collapsed="false">
      <c r="A2" s="0" t="n">
        <v>0</v>
      </c>
      <c r="B2" s="1" t="n">
        <v>0</v>
      </c>
      <c r="C2" s="1" t="n">
        <f aca="false">B2*$K$1</f>
        <v>0</v>
      </c>
      <c r="D2" s="1" t="n">
        <v>0</v>
      </c>
      <c r="E2" s="1" t="n">
        <f aca="false">D2*$K$1</f>
        <v>0</v>
      </c>
      <c r="F2" s="0" t="n">
        <v>2</v>
      </c>
      <c r="G2" s="12" t="n">
        <f aca="false">B2*F2+5</f>
        <v>5</v>
      </c>
      <c r="H2" s="3" t="n">
        <v>0</v>
      </c>
      <c r="I2" s="3" t="n">
        <v>0</v>
      </c>
      <c r="J2" s="4" t="n">
        <v>5</v>
      </c>
      <c r="L2" s="10" t="s">
        <v>11</v>
      </c>
      <c r="M2" s="10" t="n">
        <v>0.2</v>
      </c>
    </row>
    <row r="3" customFormat="false" ht="15" hidden="false" customHeight="false" outlineLevel="0" collapsed="false">
      <c r="A3" s="0" t="n">
        <f aca="false">A2+1</f>
        <v>1</v>
      </c>
      <c r="B3" s="1" t="n">
        <v>0</v>
      </c>
      <c r="C3" s="1" t="n">
        <f aca="false">B3*$K$1</f>
        <v>0</v>
      </c>
      <c r="D3" s="1" t="n">
        <v>0</v>
      </c>
      <c r="E3" s="1" t="n">
        <f aca="false">D3*$K$1</f>
        <v>0</v>
      </c>
      <c r="F3" s="0" t="n">
        <v>2</v>
      </c>
      <c r="G3" s="12" t="n">
        <f aca="false">B3*F3+5</f>
        <v>5</v>
      </c>
      <c r="H3" s="3" t="n">
        <v>0</v>
      </c>
      <c r="I3" s="3" t="n">
        <v>0</v>
      </c>
      <c r="J3" s="4" t="n">
        <v>5</v>
      </c>
      <c r="K3" s="0" t="n">
        <f aca="false">20/K1</f>
        <v>8.94054537326777</v>
      </c>
      <c r="L3" s="10" t="s">
        <v>12</v>
      </c>
      <c r="M3" s="10" t="n">
        <v>0.4</v>
      </c>
    </row>
    <row r="4" customFormat="false" ht="15" hidden="false" customHeight="false" outlineLevel="0" collapsed="false">
      <c r="A4" s="0" t="n">
        <f aca="false">A3+1</f>
        <v>2</v>
      </c>
      <c r="B4" s="1" t="n">
        <v>0</v>
      </c>
      <c r="C4" s="1" t="n">
        <f aca="false">B4*$K$1</f>
        <v>0</v>
      </c>
      <c r="D4" s="1" t="n">
        <v>0</v>
      </c>
      <c r="E4" s="1" t="n">
        <f aca="false">D4*$K$1</f>
        <v>0</v>
      </c>
      <c r="F4" s="0" t="n">
        <v>2</v>
      </c>
      <c r="G4" s="12" t="n">
        <f aca="false">B4*F4+5</f>
        <v>5</v>
      </c>
      <c r="H4" s="3" t="n">
        <v>0</v>
      </c>
      <c r="I4" s="3" t="n">
        <v>0</v>
      </c>
      <c r="J4" s="4" t="n">
        <v>5</v>
      </c>
    </row>
    <row r="5" customFormat="false" ht="15" hidden="false" customHeight="false" outlineLevel="0" collapsed="false">
      <c r="A5" s="0" t="n">
        <f aca="false">A4+1</f>
        <v>3</v>
      </c>
      <c r="B5" s="1" t="n">
        <v>0</v>
      </c>
      <c r="C5" s="1" t="n">
        <f aca="false">B5*$K$1</f>
        <v>0</v>
      </c>
      <c r="D5" s="1" t="n">
        <v>0</v>
      </c>
      <c r="E5" s="1" t="n">
        <f aca="false">D5*$K$1</f>
        <v>0</v>
      </c>
      <c r="F5" s="0" t="n">
        <v>2</v>
      </c>
      <c r="G5" s="12" t="n">
        <f aca="false">B5*F5+5</f>
        <v>5</v>
      </c>
      <c r="H5" s="3" t="n">
        <v>0</v>
      </c>
      <c r="I5" s="3" t="n">
        <v>0</v>
      </c>
      <c r="J5" s="4" t="n">
        <v>5</v>
      </c>
    </row>
    <row r="6" customFormat="false" ht="15" hidden="false" customHeight="false" outlineLevel="0" collapsed="false">
      <c r="A6" s="0" t="n">
        <f aca="false">A5+1</f>
        <v>4</v>
      </c>
      <c r="B6" s="1" t="n">
        <v>0</v>
      </c>
      <c r="C6" s="1" t="n">
        <f aca="false">B6*$K$1</f>
        <v>0</v>
      </c>
      <c r="D6" s="1" t="n">
        <v>0</v>
      </c>
      <c r="E6" s="1" t="n">
        <f aca="false">D6*$K$1</f>
        <v>0</v>
      </c>
      <c r="F6" s="0" t="n">
        <v>2</v>
      </c>
      <c r="G6" s="12" t="n">
        <f aca="false">B6*F6+5</f>
        <v>5</v>
      </c>
      <c r="H6" s="3" t="n">
        <v>0</v>
      </c>
      <c r="I6" s="3" t="n">
        <v>0</v>
      </c>
      <c r="J6" s="4" t="n">
        <v>5</v>
      </c>
    </row>
    <row r="7" customFormat="false" ht="15" hidden="false" customHeight="false" outlineLevel="0" collapsed="false">
      <c r="A7" s="0" t="n">
        <f aca="false">A6+1</f>
        <v>5</v>
      </c>
      <c r="B7" s="1" t="n">
        <v>0</v>
      </c>
      <c r="C7" s="1" t="n">
        <f aca="false">B7*$K$1</f>
        <v>0</v>
      </c>
      <c r="D7" s="1" t="n">
        <v>0</v>
      </c>
      <c r="E7" s="1" t="n">
        <f aca="false">D7*$K$1</f>
        <v>0</v>
      </c>
      <c r="F7" s="0" t="n">
        <v>2</v>
      </c>
      <c r="G7" s="12" t="n">
        <f aca="false">B7*F7+5</f>
        <v>5</v>
      </c>
      <c r="H7" s="3" t="n">
        <v>0</v>
      </c>
      <c r="I7" s="3" t="n">
        <v>0</v>
      </c>
      <c r="J7" s="4" t="n">
        <v>5</v>
      </c>
    </row>
    <row r="8" customFormat="false" ht="15" hidden="false" customHeight="false" outlineLevel="0" collapsed="false">
      <c r="A8" s="0" t="n">
        <f aca="false">A7+1</f>
        <v>6</v>
      </c>
      <c r="B8" s="1" t="n">
        <v>0</v>
      </c>
      <c r="C8" s="1" t="n">
        <f aca="false">B8*$K$1</f>
        <v>0</v>
      </c>
      <c r="D8" s="1" t="n">
        <v>0</v>
      </c>
      <c r="E8" s="1" t="n">
        <f aca="false">D8*$K$1</f>
        <v>0</v>
      </c>
      <c r="F8" s="0" t="n">
        <v>2</v>
      </c>
      <c r="G8" s="12" t="n">
        <f aca="false">B8*F8+5</f>
        <v>5</v>
      </c>
      <c r="H8" s="3" t="n">
        <v>0</v>
      </c>
      <c r="I8" s="3" t="n">
        <v>0</v>
      </c>
      <c r="J8" s="4" t="n">
        <v>5</v>
      </c>
    </row>
    <row r="9" customFormat="false" ht="15" hidden="false" customHeight="false" outlineLevel="0" collapsed="false">
      <c r="A9" s="0" t="n">
        <f aca="false">A8+1</f>
        <v>7</v>
      </c>
      <c r="B9" s="1" t="n">
        <v>0</v>
      </c>
      <c r="C9" s="1" t="n">
        <f aca="false">B9*$K$1</f>
        <v>0</v>
      </c>
      <c r="D9" s="1" t="n">
        <v>0</v>
      </c>
      <c r="E9" s="1" t="n">
        <f aca="false">D9*$K$1</f>
        <v>0</v>
      </c>
      <c r="F9" s="0" t="n">
        <v>2</v>
      </c>
      <c r="G9" s="12" t="n">
        <f aca="false">B9*F9+5</f>
        <v>5</v>
      </c>
      <c r="H9" s="3" t="n">
        <v>0</v>
      </c>
      <c r="I9" s="3" t="n">
        <v>0</v>
      </c>
      <c r="J9" s="4" t="n">
        <v>5</v>
      </c>
    </row>
    <row r="10" customFormat="false" ht="15" hidden="false" customHeight="false" outlineLevel="0" collapsed="false">
      <c r="A10" s="0" t="n">
        <f aca="false">A9+1</f>
        <v>8</v>
      </c>
      <c r="B10" s="1" t="n">
        <v>0</v>
      </c>
      <c r="C10" s="1" t="n">
        <f aca="false">B10*$K$1</f>
        <v>0</v>
      </c>
      <c r="D10" s="1" t="n">
        <v>0</v>
      </c>
      <c r="E10" s="1" t="n">
        <f aca="false">D10*$K$1</f>
        <v>0</v>
      </c>
      <c r="F10" s="0" t="n">
        <v>2</v>
      </c>
      <c r="G10" s="12" t="n">
        <f aca="false">B10*F10+5</f>
        <v>5</v>
      </c>
      <c r="H10" s="3" t="n">
        <v>0</v>
      </c>
      <c r="I10" s="3" t="n">
        <v>0</v>
      </c>
      <c r="J10" s="4" t="n">
        <v>5</v>
      </c>
    </row>
    <row r="11" customFormat="false" ht="15" hidden="false" customHeight="false" outlineLevel="0" collapsed="false">
      <c r="A11" s="0" t="n">
        <f aca="false">A10+1</f>
        <v>9</v>
      </c>
      <c r="B11" s="1" t="n">
        <v>0</v>
      </c>
      <c r="C11" s="1" t="n">
        <f aca="false">B11*$K$1</f>
        <v>0</v>
      </c>
      <c r="D11" s="1" t="n">
        <v>0</v>
      </c>
      <c r="E11" s="1" t="n">
        <f aca="false">D11*$K$1</f>
        <v>0</v>
      </c>
      <c r="F11" s="0" t="n">
        <v>2</v>
      </c>
      <c r="G11" s="12" t="n">
        <f aca="false">B11*F11+5</f>
        <v>5</v>
      </c>
      <c r="H11" s="3" t="n">
        <v>0</v>
      </c>
      <c r="I11" s="3" t="n">
        <v>0</v>
      </c>
      <c r="J11" s="4" t="n">
        <v>5</v>
      </c>
    </row>
    <row r="12" customFormat="false" ht="15" hidden="false" customHeight="false" outlineLevel="0" collapsed="false">
      <c r="A12" s="0" t="n">
        <f aca="false">A11+1</f>
        <v>10</v>
      </c>
      <c r="B12" s="1" t="n">
        <v>0</v>
      </c>
      <c r="C12" s="1" t="n">
        <f aca="false">B12*$K$1</f>
        <v>0</v>
      </c>
      <c r="D12" s="1" t="n">
        <v>0</v>
      </c>
      <c r="E12" s="1" t="n">
        <f aca="false">D12*$K$1</f>
        <v>0</v>
      </c>
      <c r="F12" s="0" t="n">
        <v>2</v>
      </c>
      <c r="G12" s="12" t="n">
        <f aca="false">B12*F12+5</f>
        <v>5</v>
      </c>
      <c r="H12" s="3" t="n">
        <v>0</v>
      </c>
      <c r="I12" s="3" t="n">
        <v>0</v>
      </c>
      <c r="J12" s="4" t="n">
        <v>5</v>
      </c>
    </row>
    <row r="13" customFormat="false" ht="15" hidden="false" customHeight="false" outlineLevel="0" collapsed="false">
      <c r="A13" s="0" t="n">
        <f aca="false">A12+1</f>
        <v>11</v>
      </c>
      <c r="B13" s="1" t="n">
        <f aca="false">B12+H13*1</f>
        <v>0.89408</v>
      </c>
      <c r="C13" s="1" t="n">
        <f aca="false">B13*$K$1</f>
        <v>2.00005696</v>
      </c>
      <c r="D13" s="1" t="n">
        <v>0.0298026666666667</v>
      </c>
      <c r="E13" s="1" t="n">
        <f aca="false">D13*$K$1</f>
        <v>0.0666685653333334</v>
      </c>
      <c r="F13" s="0" t="n">
        <v>2</v>
      </c>
      <c r="G13" s="12" t="n">
        <f aca="false">B13*F13+5</f>
        <v>6.78816</v>
      </c>
      <c r="H13" s="3" t="n">
        <v>0.89408</v>
      </c>
      <c r="I13" s="3" t="n">
        <v>0</v>
      </c>
      <c r="J13" s="4" t="n">
        <v>5.44704</v>
      </c>
    </row>
    <row r="14" customFormat="false" ht="15" hidden="false" customHeight="false" outlineLevel="0" collapsed="false">
      <c r="A14" s="0" t="n">
        <f aca="false">A13+1</f>
        <v>12</v>
      </c>
      <c r="B14" s="1" t="n">
        <f aca="false">B13+H14*1</f>
        <v>1.78816</v>
      </c>
      <c r="C14" s="1" t="n">
        <f aca="false">B14*$K$1</f>
        <v>4.00011392</v>
      </c>
      <c r="D14" s="1" t="n">
        <v>0.195982336</v>
      </c>
      <c r="E14" s="1" t="n">
        <f aca="false">D14*$K$1</f>
        <v>0.438412485632</v>
      </c>
      <c r="F14" s="0" t="n">
        <v>2</v>
      </c>
      <c r="G14" s="12" t="n">
        <f aca="false">B14*F14+5</f>
        <v>8.57632</v>
      </c>
      <c r="H14" s="3" t="n">
        <v>0.89408</v>
      </c>
      <c r="I14" s="3" t="n">
        <v>0</v>
      </c>
      <c r="J14" s="4" t="n">
        <v>6.69597041777778</v>
      </c>
    </row>
    <row r="15" customFormat="false" ht="15" hidden="false" customHeight="false" outlineLevel="0" collapsed="false">
      <c r="A15" s="0" t="n">
        <f aca="false">A14+1</f>
        <v>13</v>
      </c>
      <c r="B15" s="1" t="n">
        <f aca="false">B14+H15*1</f>
        <v>2.68224</v>
      </c>
      <c r="C15" s="1" t="n">
        <f aca="false">B15*$K$1</f>
        <v>6.00017088</v>
      </c>
      <c r="D15" s="1" t="n">
        <v>0.570675978543408</v>
      </c>
      <c r="E15" s="1" t="n">
        <f aca="false">D15*$K$1</f>
        <v>1.2766021640016</v>
      </c>
      <c r="F15" s="0" t="n">
        <v>2</v>
      </c>
      <c r="G15" s="12" t="n">
        <f aca="false">B15*F15+5</f>
        <v>10.36448</v>
      </c>
      <c r="H15" s="3" t="n">
        <v>0.89408</v>
      </c>
      <c r="I15" s="3" t="n">
        <v>0</v>
      </c>
      <c r="J15" s="4" t="n">
        <v>8.56910166167704</v>
      </c>
    </row>
    <row r="16" customFormat="false" ht="15" hidden="false" customHeight="false" outlineLevel="0" collapsed="false">
      <c r="A16" s="0" t="n">
        <f aca="false">A15+1</f>
        <v>14</v>
      </c>
      <c r="B16" s="1" t="n">
        <f aca="false">B15+H16*1</f>
        <v>3.57632</v>
      </c>
      <c r="C16" s="1" t="n">
        <f aca="false">B16*$K$1</f>
        <v>8.00022784</v>
      </c>
      <c r="D16" s="1" t="n">
        <v>1.16868381353129</v>
      </c>
      <c r="E16" s="1" t="n">
        <f aca="false">D16*$K$1</f>
        <v>2.6143456908695</v>
      </c>
      <c r="F16" s="0" t="n">
        <v>2</v>
      </c>
      <c r="G16" s="12" t="n">
        <f aca="false">B16*F16+5</f>
        <v>12.15264</v>
      </c>
      <c r="H16" s="3" t="n">
        <v>0.89408</v>
      </c>
      <c r="I16" s="3" t="n">
        <v>0</v>
      </c>
      <c r="J16" s="4" t="n">
        <v>10.8469152413539</v>
      </c>
    </row>
    <row r="17" customFormat="false" ht="15" hidden="false" customHeight="false" outlineLevel="0" collapsed="false">
      <c r="A17" s="0" t="n">
        <f aca="false">A16+1</f>
        <v>15</v>
      </c>
      <c r="B17" s="1" t="n">
        <f aca="false">B16+H17*1</f>
        <v>4.4704</v>
      </c>
      <c r="C17" s="1" t="n">
        <f aca="false">B17*$K$1</f>
        <v>10.0002848</v>
      </c>
      <c r="D17" s="1" t="n">
        <v>1.96399650449281</v>
      </c>
      <c r="E17" s="1" t="n">
        <f aca="false">D17*$K$1</f>
        <v>4.39346018055042</v>
      </c>
      <c r="F17" s="0" t="n">
        <v>2</v>
      </c>
      <c r="G17" s="12" t="n">
        <f aca="false">B17*F17+5</f>
        <v>13.9408</v>
      </c>
      <c r="H17" s="3" t="n">
        <v>0.89408</v>
      </c>
      <c r="I17" s="3" t="n">
        <v>0</v>
      </c>
      <c r="J17" s="4" t="n">
        <v>13.3171760950351</v>
      </c>
    </row>
    <row r="18" customFormat="false" ht="15" hidden="false" customHeight="false" outlineLevel="0" collapsed="false">
      <c r="A18" s="0" t="n">
        <f aca="false">A17+1</f>
        <v>16</v>
      </c>
      <c r="B18" s="1" t="n">
        <f aca="false">B17+H18*1</f>
        <v>5.36448</v>
      </c>
      <c r="C18" s="1" t="n">
        <f aca="false">B18*$K$1</f>
        <v>12.00034176</v>
      </c>
      <c r="D18" s="1" t="n">
        <v>2.90743785708995</v>
      </c>
      <c r="E18" s="1" t="n">
        <f aca="false">D18*$K$1</f>
        <v>6.50393848631022</v>
      </c>
      <c r="F18" s="0" t="n">
        <v>2</v>
      </c>
      <c r="G18" s="12" t="n">
        <f aca="false">B18*F18+5</f>
        <v>15.72896</v>
      </c>
      <c r="H18" s="3" t="n">
        <v>0.89408</v>
      </c>
      <c r="I18" s="3" t="n">
        <v>0</v>
      </c>
      <c r="J18" s="4" t="n">
        <v>15.8066769399011</v>
      </c>
    </row>
    <row r="19" customFormat="false" ht="15" hidden="false" customHeight="false" outlineLevel="0" collapsed="false">
      <c r="A19" s="0" t="n">
        <f aca="false">A18+1</f>
        <v>17</v>
      </c>
      <c r="B19" s="1" t="n">
        <f aca="false">B18+H19*1</f>
        <v>6.25856</v>
      </c>
      <c r="C19" s="1" t="n">
        <f aca="false">B19*$K$1</f>
        <v>14.00039872</v>
      </c>
      <c r="D19" s="1" t="n">
        <v>3.94221663728992</v>
      </c>
      <c r="E19" s="1" t="n">
        <f aca="false">D19*$K$1</f>
        <v>8.81873861761755</v>
      </c>
      <c r="F19" s="0" t="n">
        <v>2</v>
      </c>
      <c r="G19" s="12" t="n">
        <f aca="false">B19*F19+5</f>
        <v>17.51712</v>
      </c>
      <c r="H19" s="3" t="n">
        <v>0.89408</v>
      </c>
      <c r="I19" s="3" t="n">
        <v>0</v>
      </c>
      <c r="J19" s="4" t="n">
        <v>18.1962349051516</v>
      </c>
    </row>
    <row r="20" customFormat="false" ht="15" hidden="false" customHeight="false" outlineLevel="0" collapsed="false">
      <c r="A20" s="0" t="n">
        <f aca="false">A19+1</f>
        <v>18</v>
      </c>
      <c r="B20" s="1" t="n">
        <f aca="false">B19+H20*1</f>
        <v>7.15264</v>
      </c>
      <c r="C20" s="1" t="n">
        <f aca="false">B20*$K$1</f>
        <v>16.00045568</v>
      </c>
      <c r="D20" s="1" t="n">
        <v>5.01557492077552</v>
      </c>
      <c r="E20" s="1" t="n">
        <f aca="false">D20*$K$1</f>
        <v>11.2198410977748</v>
      </c>
      <c r="F20" s="0" t="n">
        <v>2</v>
      </c>
      <c r="G20" s="12" t="n">
        <f aca="false">B20*F20+5</f>
        <v>19.30528</v>
      </c>
      <c r="H20" s="3" t="n">
        <v>0.89408</v>
      </c>
      <c r="I20" s="3" t="n">
        <v>0</v>
      </c>
      <c r="J20" s="4" t="n">
        <v>20.4220506811218</v>
      </c>
    </row>
    <row r="21" customFormat="false" ht="15" hidden="false" customHeight="false" outlineLevel="0" collapsed="false">
      <c r="A21" s="0" t="n">
        <f aca="false">A20+1</f>
        <v>19</v>
      </c>
      <c r="B21" s="1" t="n">
        <f aca="false">B20+H21*1</f>
        <v>8.04672</v>
      </c>
      <c r="C21" s="1" t="n">
        <f aca="false">B21*$K$1</f>
        <v>18.00051264</v>
      </c>
      <c r="D21" s="1" t="n">
        <v>6.08594616085354</v>
      </c>
      <c r="E21" s="1" t="n">
        <f aca="false">D21*$K$1</f>
        <v>13.6142615618294</v>
      </c>
      <c r="F21" s="0" t="n">
        <v>2</v>
      </c>
      <c r="G21" s="12" t="n">
        <f aca="false">B21*F21+5</f>
        <v>21.09344</v>
      </c>
      <c r="H21" s="3" t="n">
        <v>0.89408</v>
      </c>
      <c r="I21" s="3" t="n">
        <v>0</v>
      </c>
      <c r="J21" s="4" t="n">
        <v>22.4677088516094</v>
      </c>
    </row>
    <row r="22" customFormat="false" ht="15" hidden="false" customHeight="false" outlineLevel="0" collapsed="false">
      <c r="A22" s="0" t="n">
        <f aca="false">A21+1</f>
        <v>20</v>
      </c>
      <c r="B22" s="1" t="n">
        <f aca="false">B21+H22*1</f>
        <v>8.9408</v>
      </c>
      <c r="C22" s="1" t="n">
        <f aca="false">B22*$K$1</f>
        <v>20.0005696</v>
      </c>
      <c r="D22" s="1" t="n">
        <v>7.12595211632406</v>
      </c>
      <c r="E22" s="1" t="n">
        <f aca="false">D22*$K$1</f>
        <v>15.9407548842169</v>
      </c>
      <c r="F22" s="0" t="n">
        <v>2</v>
      </c>
      <c r="G22" s="12" t="n">
        <f aca="false">B22*F22+5</f>
        <v>22.8816</v>
      </c>
      <c r="H22" s="3" t="n">
        <v>0.89408</v>
      </c>
      <c r="I22" s="3" t="n">
        <v>0</v>
      </c>
      <c r="J22" s="4" t="n">
        <v>24.3511927968594</v>
      </c>
    </row>
    <row r="23" customFormat="false" ht="15" hidden="false" customHeight="false" outlineLevel="0" collapsed="false">
      <c r="A23" s="0" t="n">
        <f aca="false">A22+1</f>
        <v>21</v>
      </c>
      <c r="B23" s="1" t="n">
        <f aca="false">B22+H23*1</f>
        <v>8.9408</v>
      </c>
      <c r="C23" s="1" t="n">
        <f aca="false">B23*$K$1</f>
        <v>20.0005696</v>
      </c>
      <c r="D23" s="1" t="n">
        <v>8.09232605176416</v>
      </c>
      <c r="E23" s="1" t="n">
        <f aca="false">D23*$K$1</f>
        <v>18.1025333777964</v>
      </c>
      <c r="F23" s="0" t="n">
        <v>2</v>
      </c>
      <c r="G23" s="12" t="n">
        <f aca="false">B23*F23+5</f>
        <v>22.8816</v>
      </c>
      <c r="H23" s="3" t="n">
        <v>0</v>
      </c>
      <c r="I23" s="3" t="n">
        <v>0</v>
      </c>
      <c r="J23" s="4" t="n">
        <v>25.6636074088478</v>
      </c>
    </row>
    <row r="24" customFormat="false" ht="15" hidden="false" customHeight="false" outlineLevel="0" collapsed="false">
      <c r="A24" s="0" t="n">
        <f aca="false">A23+1</f>
        <v>22</v>
      </c>
      <c r="B24" s="1" t="n">
        <f aca="false">B23+H24*1</f>
        <v>8.9408</v>
      </c>
      <c r="C24" s="1" t="n">
        <f aca="false">B24*$K$1</f>
        <v>20.0005696</v>
      </c>
      <c r="D24" s="1" t="n">
        <v>8.8765213690553</v>
      </c>
      <c r="E24" s="1" t="n">
        <f aca="false">D24*$K$1</f>
        <v>19.8567783025767</v>
      </c>
      <c r="F24" s="0" t="n">
        <v>2</v>
      </c>
      <c r="G24" s="12" t="n">
        <f aca="false">B24*F24+5</f>
        <v>22.8816</v>
      </c>
      <c r="H24" s="3" t="n">
        <v>0</v>
      </c>
      <c r="I24" s="3" t="n">
        <v>0</v>
      </c>
      <c r="J24" s="4" t="n">
        <v>26.0956227656814</v>
      </c>
    </row>
    <row r="25" customFormat="false" ht="15" hidden="false" customHeight="false" outlineLevel="0" collapsed="false">
      <c r="A25" s="0" t="n">
        <f aca="false">A24+1</f>
        <v>23</v>
      </c>
      <c r="B25" s="1" t="n">
        <f aca="false">B24+H25*1</f>
        <v>8.9408</v>
      </c>
      <c r="C25" s="1" t="n">
        <f aca="false">B25*$K$1</f>
        <v>20.0005696</v>
      </c>
      <c r="D25" s="1" t="n">
        <v>9.41244821477842</v>
      </c>
      <c r="E25" s="1" t="n">
        <f aca="false">D25*$K$1</f>
        <v>21.0556466564593</v>
      </c>
      <c r="F25" s="0" t="n">
        <v>2</v>
      </c>
      <c r="G25" s="12" t="n">
        <f aca="false">B25*F25+5</f>
        <v>22.8816</v>
      </c>
      <c r="H25" s="3" t="n">
        <v>0</v>
      </c>
      <c r="I25" s="3" t="n">
        <v>0</v>
      </c>
      <c r="J25" s="4" t="n">
        <v>25.8680685065385</v>
      </c>
    </row>
    <row r="26" customFormat="false" ht="15" hidden="false" customHeight="false" outlineLevel="0" collapsed="false">
      <c r="A26" s="0" t="n">
        <f aca="false">A25+1</f>
        <v>24</v>
      </c>
      <c r="B26" s="1" t="n">
        <f aca="false">B25+H26*1</f>
        <v>8.9408</v>
      </c>
      <c r="C26" s="1" t="n">
        <f aca="false">B26*$K$1</f>
        <v>20.0005696</v>
      </c>
      <c r="D26" s="1" t="n">
        <v>9.69575533904538</v>
      </c>
      <c r="E26" s="1" t="n">
        <f aca="false">D26*$K$1</f>
        <v>21.6894046934445</v>
      </c>
      <c r="F26" s="0" t="n">
        <v>2</v>
      </c>
      <c r="G26" s="12" t="n">
        <f aca="false">B26*F26+5</f>
        <v>22.8816</v>
      </c>
      <c r="H26" s="3" t="n">
        <v>0</v>
      </c>
      <c r="I26" s="3" t="n">
        <v>0</v>
      </c>
      <c r="J26" s="4" t="n">
        <v>25.235066985581</v>
      </c>
    </row>
    <row r="27" customFormat="false" ht="15" hidden="false" customHeight="false" outlineLevel="0" collapsed="false">
      <c r="A27" s="0" t="n">
        <f aca="false">A26+1</f>
        <v>25</v>
      </c>
      <c r="B27" s="1" t="n">
        <f aca="false">B26+H27*1</f>
        <v>8.9408</v>
      </c>
      <c r="C27" s="1" t="n">
        <f aca="false">B27*$K$1</f>
        <v>20.0005696</v>
      </c>
      <c r="D27" s="1" t="n">
        <v>9.76417014378323</v>
      </c>
      <c r="E27" s="1" t="n">
        <f aca="false">D27*$K$1</f>
        <v>21.8424486116431</v>
      </c>
      <c r="F27" s="0" t="n">
        <v>2</v>
      </c>
      <c r="G27" s="12" t="n">
        <f aca="false">B27*F27+5</f>
        <v>22.8816</v>
      </c>
      <c r="H27" s="3" t="n">
        <v>0</v>
      </c>
      <c r="I27" s="3" t="n">
        <v>0</v>
      </c>
      <c r="J27" s="4" t="n">
        <v>24.4321686111879</v>
      </c>
    </row>
    <row r="28" customFormat="false" ht="15" hidden="false" customHeight="false" outlineLevel="0" collapsed="false">
      <c r="A28" s="0" t="n">
        <f aca="false">A27+1</f>
        <v>26</v>
      </c>
      <c r="B28" s="1" t="n">
        <f aca="false">B27+H28*1</f>
        <v>8.9408</v>
      </c>
      <c r="C28" s="1" t="n">
        <f aca="false">B28*$K$1</f>
        <v>20.0005696</v>
      </c>
      <c r="D28" s="1" t="n">
        <v>9.67755215866996</v>
      </c>
      <c r="E28" s="1" t="n">
        <f aca="false">D28*$K$1</f>
        <v>21.6486841789447</v>
      </c>
      <c r="F28" s="0" t="n">
        <v>2</v>
      </c>
      <c r="G28" s="12" t="n">
        <f aca="false">B28*F28+5</f>
        <v>22.8816</v>
      </c>
      <c r="H28" s="3" t="n">
        <v>0</v>
      </c>
      <c r="I28" s="3" t="n">
        <v>0</v>
      </c>
      <c r="J28" s="4" t="n">
        <v>23.6445790174836</v>
      </c>
    </row>
    <row r="29" customFormat="false" ht="15" hidden="false" customHeight="false" outlineLevel="0" collapsed="false">
      <c r="A29" s="0" t="n">
        <f aca="false">A28+1</f>
        <v>27</v>
      </c>
      <c r="B29" s="1" t="n">
        <f aca="false">B28+H29*1</f>
        <v>8.9408</v>
      </c>
      <c r="C29" s="1" t="n">
        <f aca="false">B29*$K$1</f>
        <v>20.0005696</v>
      </c>
      <c r="D29" s="1" t="n">
        <v>9.50096362400803</v>
      </c>
      <c r="E29" s="1" t="n">
        <f aca="false">D29*$K$1</f>
        <v>21.253655626906</v>
      </c>
      <c r="F29" s="0" t="n">
        <v>2</v>
      </c>
      <c r="G29" s="12" t="n">
        <f aca="false">B29*F29+5</f>
        <v>22.8816</v>
      </c>
      <c r="H29" s="3" t="n">
        <v>0</v>
      </c>
      <c r="I29" s="3" t="n">
        <v>0</v>
      </c>
      <c r="J29" s="4" t="n">
        <v>22.9939641234235</v>
      </c>
    </row>
    <row r="30" customFormat="false" ht="15" hidden="false" customHeight="false" outlineLevel="0" collapsed="false">
      <c r="A30" s="0" t="n">
        <f aca="false">A29+1</f>
        <v>28</v>
      </c>
      <c r="B30" s="1" t="n">
        <f aca="false">B29+H30*1</f>
        <v>8.9408</v>
      </c>
      <c r="C30" s="1" t="n">
        <f aca="false">B30*$K$1</f>
        <v>20.0005696</v>
      </c>
      <c r="D30" s="1" t="n">
        <v>9.29248596082532</v>
      </c>
      <c r="E30" s="1" t="n">
        <f aca="false">D30*$K$1</f>
        <v>20.7872910943662</v>
      </c>
      <c r="F30" s="0" t="n">
        <v>2</v>
      </c>
      <c r="G30" s="12" t="n">
        <f aca="false">B30*F30+5</f>
        <v>22.8816</v>
      </c>
      <c r="H30" s="3" t="n">
        <v>0</v>
      </c>
      <c r="I30" s="3" t="n">
        <v>0</v>
      </c>
      <c r="J30" s="4" t="n">
        <v>22.5398294243471</v>
      </c>
    </row>
    <row r="31" customFormat="false" ht="15" hidden="false" customHeight="false" outlineLevel="0" collapsed="false">
      <c r="A31" s="0" t="n">
        <f aca="false">A30+1</f>
        <v>29</v>
      </c>
      <c r="B31" s="1" t="n">
        <f aca="false">B30+H31*1</f>
        <v>8.9408</v>
      </c>
      <c r="C31" s="1" t="n">
        <f aca="false">B31*$K$1</f>
        <v>20.0005696</v>
      </c>
      <c r="D31" s="1" t="n">
        <v>9.0961772346483</v>
      </c>
      <c r="E31" s="1" t="n">
        <f aca="false">D31*$K$1</f>
        <v>20.3481484739082</v>
      </c>
      <c r="F31" s="0" t="n">
        <v>2</v>
      </c>
      <c r="G31" s="12" t="n">
        <f aca="false">B31*F31+5</f>
        <v>22.8816</v>
      </c>
      <c r="H31" s="3" t="n">
        <v>0</v>
      </c>
      <c r="I31" s="3" t="n">
        <v>0</v>
      </c>
      <c r="J31" s="4" t="n">
        <v>22.2904453453156</v>
      </c>
    </row>
    <row r="32" customFormat="false" ht="15" hidden="false" customHeight="false" outlineLevel="0" collapsed="false">
      <c r="A32" s="0" t="n">
        <f aca="false">A31+1</f>
        <v>30</v>
      </c>
      <c r="B32" s="1" t="n">
        <f aca="false">B31+H32*1</f>
        <v>8.9408</v>
      </c>
      <c r="C32" s="1" t="n">
        <f aca="false">B32*$K$1</f>
        <v>20.0005696</v>
      </c>
      <c r="D32" s="1" t="n">
        <v>8.93960829330714</v>
      </c>
      <c r="E32" s="1" t="n">
        <f aca="false">D32*$K$1</f>
        <v>19.9979037521281</v>
      </c>
      <c r="F32" s="0" t="n">
        <v>2</v>
      </c>
      <c r="G32" s="12" t="n">
        <f aca="false">B32*F32+5</f>
        <v>22.8816</v>
      </c>
      <c r="H32" s="3" t="n">
        <v>0</v>
      </c>
      <c r="I32" s="3" t="n">
        <v>0</v>
      </c>
      <c r="J32" s="4" t="n">
        <v>22.218412809234</v>
      </c>
    </row>
    <row r="33" customFormat="false" ht="15" hidden="false" customHeight="false" outlineLevel="0" collapsed="false">
      <c r="A33" s="0" t="n">
        <f aca="false">A32+1</f>
        <v>31</v>
      </c>
      <c r="B33" s="1" t="n">
        <f aca="false">B32+H33*1</f>
        <v>8.9408</v>
      </c>
      <c r="C33" s="1" t="n">
        <f aca="false">B33*$K$1</f>
        <v>20.0005696</v>
      </c>
      <c r="D33" s="1" t="n">
        <v>8.83486404187618</v>
      </c>
      <c r="E33" s="1" t="n">
        <f aca="false">D33*$K$1</f>
        <v>19.763590861677</v>
      </c>
      <c r="F33" s="0" t="n">
        <v>2</v>
      </c>
      <c r="G33" s="12" t="n">
        <f aca="false">B33*F33+5</f>
        <v>22.8816</v>
      </c>
      <c r="H33" s="3" t="n">
        <v>0</v>
      </c>
      <c r="I33" s="3" t="n">
        <v>0</v>
      </c>
      <c r="J33" s="4" t="n">
        <v>22.2768344530767</v>
      </c>
    </row>
    <row r="34" customFormat="false" ht="15" hidden="false" customHeight="false" outlineLevel="0" collapsed="false">
      <c r="A34" s="0" t="n">
        <f aca="false">A33+1</f>
        <v>32</v>
      </c>
      <c r="B34" s="1" t="n">
        <f aca="false">B33+H34*1</f>
        <v>8.9408</v>
      </c>
      <c r="C34" s="1" t="n">
        <f aca="false">B34*$K$1</f>
        <v>20.0005696</v>
      </c>
      <c r="D34" s="1" t="n">
        <v>8.78170603551303</v>
      </c>
      <c r="E34" s="1" t="n">
        <f aca="false">D34*$K$1</f>
        <v>19.6446764014426</v>
      </c>
      <c r="F34" s="0" t="n">
        <v>2</v>
      </c>
      <c r="G34" s="12" t="n">
        <f aca="false">B34*F34+5</f>
        <v>22.8816</v>
      </c>
      <c r="H34" s="3" t="n">
        <v>0</v>
      </c>
      <c r="I34" s="3" t="n">
        <v>0</v>
      </c>
      <c r="J34" s="4" t="n">
        <v>22.4132899939216</v>
      </c>
    </row>
    <row r="35" customFormat="false" ht="15" hidden="false" customHeight="false" outlineLevel="0" collapsed="false">
      <c r="A35" s="0" t="n">
        <f aca="false">A34+1</f>
        <v>33</v>
      </c>
      <c r="B35" s="1" t="n">
        <f aca="false">B34+H35*1</f>
        <v>8.9408</v>
      </c>
      <c r="C35" s="1" t="n">
        <f aca="false">B35*$K$1</f>
        <v>20.0005696</v>
      </c>
      <c r="D35" s="1" t="n">
        <v>8.77167480953466</v>
      </c>
      <c r="E35" s="1" t="n">
        <f aca="false">D35*$K$1</f>
        <v>19.622236548929</v>
      </c>
      <c r="F35" s="0" t="n">
        <v>2</v>
      </c>
      <c r="G35" s="12" t="n">
        <f aca="false">B35*F35+5</f>
        <v>22.8816</v>
      </c>
      <c r="H35" s="3" t="n">
        <v>0</v>
      </c>
      <c r="I35" s="3" t="n">
        <v>0</v>
      </c>
      <c r="J35" s="4" t="n">
        <v>22.5800914062747</v>
      </c>
    </row>
    <row r="36" customFormat="false" ht="15" hidden="false" customHeight="false" outlineLevel="0" collapsed="false">
      <c r="A36" s="0" t="n">
        <f aca="false">A35+1</f>
        <v>34</v>
      </c>
      <c r="B36" s="1" t="n">
        <f aca="false">B35+H36*1</f>
        <v>8.9408</v>
      </c>
      <c r="C36" s="1" t="n">
        <f aca="false">B36*$K$1</f>
        <v>20.0005696</v>
      </c>
      <c r="D36" s="1" t="n">
        <v>8.79216202294491</v>
      </c>
      <c r="E36" s="1" t="n">
        <f aca="false">D36*$K$1</f>
        <v>19.6680664453278</v>
      </c>
      <c r="F36" s="0" t="n">
        <v>2</v>
      </c>
      <c r="G36" s="12" t="n">
        <f aca="false">B36*F36+5</f>
        <v>22.8816</v>
      </c>
      <c r="H36" s="3" t="n">
        <v>0</v>
      </c>
      <c r="I36" s="3" t="n">
        <v>0</v>
      </c>
      <c r="J36" s="4" t="n">
        <v>22.7403948021667</v>
      </c>
    </row>
    <row r="37" customFormat="false" ht="15" hidden="false" customHeight="false" outlineLevel="0" collapsed="false">
      <c r="A37" s="0" t="n">
        <f aca="false">A36+1</f>
        <v>35</v>
      </c>
      <c r="B37" s="1" t="n">
        <f aca="false">B36+H37*1</f>
        <v>8.9408</v>
      </c>
      <c r="C37" s="1" t="n">
        <f aca="false">B37*$K$1</f>
        <v>20.0005696</v>
      </c>
      <c r="D37" s="1" t="n">
        <v>8.82980720761895</v>
      </c>
      <c r="E37" s="1" t="n">
        <f aca="false">D37*$K$1</f>
        <v>19.7522787234436</v>
      </c>
      <c r="F37" s="0" t="n">
        <v>2</v>
      </c>
      <c r="G37" s="12" t="n">
        <f aca="false">B37*F37+5</f>
        <v>22.8816</v>
      </c>
      <c r="H37" s="3" t="n">
        <v>0</v>
      </c>
      <c r="I37" s="3" t="n">
        <v>0</v>
      </c>
      <c r="J37" s="4" t="n">
        <v>22.870552047776</v>
      </c>
    </row>
    <row r="38" customFormat="false" ht="15" hidden="false" customHeight="false" outlineLevel="0" collapsed="false">
      <c r="A38" s="0" t="n">
        <f aca="false">A37+1</f>
        <v>36</v>
      </c>
      <c r="B38" s="1" t="n">
        <f aca="false">B37+H38*1</f>
        <v>9.83488</v>
      </c>
      <c r="C38" s="1" t="n">
        <f aca="false">B38*$K$1</f>
        <v>22.00062656</v>
      </c>
      <c r="D38" s="1" t="n">
        <v>8.90269802065468</v>
      </c>
      <c r="E38" s="1" t="n">
        <f aca="false">D38*$K$1</f>
        <v>19.9153354722045</v>
      </c>
      <c r="F38" s="0" t="n">
        <v>2</v>
      </c>
      <c r="G38" s="12" t="n">
        <f aca="false">B38*F38+5</f>
        <v>24.66976</v>
      </c>
      <c r="H38" s="3" t="n">
        <v>0.89408</v>
      </c>
      <c r="I38" s="3" t="n">
        <v>0</v>
      </c>
      <c r="J38" s="4" t="n">
        <v>23.4066038189243</v>
      </c>
    </row>
    <row r="39" customFormat="false" ht="15" hidden="false" customHeight="false" outlineLevel="0" collapsed="false">
      <c r="A39" s="0" t="n">
        <f aca="false">A38+1</f>
        <v>37</v>
      </c>
      <c r="B39" s="1" t="n">
        <f aca="false">B38+H39*1</f>
        <v>10.72896</v>
      </c>
      <c r="C39" s="1" t="n">
        <f aca="false">B39*$K$1</f>
        <v>24.00068352</v>
      </c>
      <c r="D39" s="1" t="n">
        <v>9.10868142624618</v>
      </c>
      <c r="E39" s="1" t="n">
        <f aca="false">D39*$K$1</f>
        <v>20.3761203505127</v>
      </c>
      <c r="F39" s="0" t="n">
        <v>2</v>
      </c>
      <c r="G39" s="12" t="n">
        <f aca="false">B39*F39+5</f>
        <v>26.45792</v>
      </c>
      <c r="H39" s="3" t="n">
        <v>0.89408</v>
      </c>
      <c r="I39" s="3" t="n">
        <v>0</v>
      </c>
      <c r="J39" s="4" t="n">
        <v>24.7026483915649</v>
      </c>
    </row>
    <row r="40" customFormat="false" ht="15" hidden="false" customHeight="false" outlineLevel="0" collapsed="false">
      <c r="A40" s="0" t="n">
        <f aca="false">A39+1</f>
        <v>38</v>
      </c>
      <c r="B40" s="1" t="n">
        <f aca="false">B39+H40*1</f>
        <v>11.62304</v>
      </c>
      <c r="C40" s="1" t="n">
        <f aca="false">B40*$K$1</f>
        <v>26.00074048</v>
      </c>
      <c r="D40" s="1" t="n">
        <v>9.51457354150435</v>
      </c>
      <c r="E40" s="1" t="n">
        <f aca="false">D40*$K$1</f>
        <v>21.2841010123452</v>
      </c>
      <c r="F40" s="0" t="n">
        <v>2</v>
      </c>
      <c r="G40" s="12" t="n">
        <f aca="false">B40*F40+5</f>
        <v>28.24608</v>
      </c>
      <c r="H40" s="3" t="n">
        <v>0.89408</v>
      </c>
      <c r="I40" s="3" t="n">
        <v>0</v>
      </c>
      <c r="J40" s="4" t="n">
        <v>26.5872329328073</v>
      </c>
    </row>
    <row r="41" customFormat="false" ht="15" hidden="false" customHeight="false" outlineLevel="0" collapsed="false">
      <c r="A41" s="0" t="n">
        <f aca="false">A40+1</f>
        <v>39</v>
      </c>
      <c r="B41" s="1" t="n">
        <f aca="false">B40+H41*1</f>
        <v>12.51712</v>
      </c>
      <c r="C41" s="1" t="n">
        <f aca="false">B41*$K$1</f>
        <v>28.00079744</v>
      </c>
      <c r="D41" s="1" t="n">
        <v>10.132992922742</v>
      </c>
      <c r="E41" s="1" t="n">
        <f aca="false">D41*$K$1</f>
        <v>22.6675051681739</v>
      </c>
      <c r="F41" s="0" t="n">
        <v>2</v>
      </c>
      <c r="G41" s="12" t="n">
        <f aca="false">B41*F41+5</f>
        <v>30.03424</v>
      </c>
      <c r="H41" s="3" t="n">
        <v>0.89408</v>
      </c>
      <c r="I41" s="3" t="n">
        <v>0</v>
      </c>
      <c r="J41" s="4" t="n">
        <v>28.8507564023705</v>
      </c>
    </row>
    <row r="42" customFormat="false" ht="15" hidden="false" customHeight="false" outlineLevel="0" collapsed="false">
      <c r="A42" s="0" t="n">
        <f aca="false">A41+1</f>
        <v>40</v>
      </c>
      <c r="B42" s="1" t="n">
        <f aca="false">B41+H42*1</f>
        <v>13.4112</v>
      </c>
      <c r="C42" s="1" t="n">
        <f aca="false">B42*$K$1</f>
        <v>30.0008544</v>
      </c>
      <c r="D42" s="1" t="n">
        <v>10.9382035311304</v>
      </c>
      <c r="E42" s="1" t="n">
        <f aca="false">D42*$K$1</f>
        <v>24.4687612991387</v>
      </c>
      <c r="F42" s="0" t="n">
        <v>2</v>
      </c>
      <c r="G42" s="12" t="n">
        <f aca="false">B42*F42+5</f>
        <v>31.8224</v>
      </c>
      <c r="H42" s="3" t="n">
        <v>0.89408</v>
      </c>
      <c r="I42" s="3" t="n">
        <v>0</v>
      </c>
      <c r="J42" s="4" t="n">
        <v>31.2917724621231</v>
      </c>
    </row>
    <row r="43" customFormat="false" ht="15" hidden="false" customHeight="false" outlineLevel="0" collapsed="false">
      <c r="A43" s="0" t="n">
        <f aca="false">A42+1</f>
        <v>41</v>
      </c>
      <c r="B43" s="1" t="n">
        <f aca="false">B42+H43*1</f>
        <v>14.30528</v>
      </c>
      <c r="C43" s="1" t="n">
        <f aca="false">B43*$K$1</f>
        <v>32.00091136</v>
      </c>
      <c r="D43" s="1" t="n">
        <v>11.8829038685439</v>
      </c>
      <c r="E43" s="1" t="n">
        <f aca="false">D43*$K$1</f>
        <v>26.5820559539327</v>
      </c>
      <c r="F43" s="0" t="n">
        <v>2</v>
      </c>
      <c r="G43" s="12" t="n">
        <f aca="false">B43*F43+5</f>
        <v>33.61056</v>
      </c>
      <c r="H43" s="3" t="n">
        <v>0.89408</v>
      </c>
      <c r="I43" s="3" t="n">
        <v>0</v>
      </c>
      <c r="J43" s="4" t="n">
        <v>33.7467107140423</v>
      </c>
    </row>
    <row r="44" customFormat="false" ht="15" hidden="false" customHeight="false" outlineLevel="0" collapsed="false">
      <c r="A44" s="0" t="n">
        <f aca="false">A43+1</f>
        <v>42</v>
      </c>
      <c r="B44" s="1" t="n">
        <f aca="false">B43+H44*1</f>
        <v>15.19936</v>
      </c>
      <c r="C44" s="1" t="n">
        <f aca="false">B44*$K$1</f>
        <v>34.00096832</v>
      </c>
      <c r="D44" s="1" t="n">
        <v>12.9129490722802</v>
      </c>
      <c r="E44" s="1" t="n">
        <f aca="false">D44*$K$1</f>
        <v>28.8862670746908</v>
      </c>
      <c r="F44" s="0" t="n">
        <v>2</v>
      </c>
      <c r="G44" s="12" t="n">
        <f aca="false">B44*F44+5</f>
        <v>35.39872</v>
      </c>
      <c r="H44" s="3" t="n">
        <v>0.89408</v>
      </c>
      <c r="I44" s="3" t="n">
        <v>0</v>
      </c>
      <c r="J44" s="4" t="n">
        <v>36.1037027164471</v>
      </c>
    </row>
    <row r="45" customFormat="false" ht="15" hidden="false" customHeight="false" outlineLevel="0" collapsed="false">
      <c r="A45" s="0" t="n">
        <f aca="false">A44+1</f>
        <v>43</v>
      </c>
      <c r="B45" s="1" t="n">
        <f aca="false">B44+H45*1</f>
        <v>16.09344</v>
      </c>
      <c r="C45" s="1" t="n">
        <f aca="false">B45*$K$1</f>
        <v>36.00102528</v>
      </c>
      <c r="D45" s="1" t="n">
        <v>13.9783190114219</v>
      </c>
      <c r="E45" s="1" t="n">
        <f aca="false">D45*$K$1</f>
        <v>31.2694996285508</v>
      </c>
      <c r="F45" s="0" t="n">
        <v>2</v>
      </c>
      <c r="G45" s="12" t="n">
        <f aca="false">B45*F45+5</f>
        <v>37.18688</v>
      </c>
      <c r="H45" s="3" t="n">
        <v>0.89408</v>
      </c>
      <c r="I45" s="3" t="n">
        <v>0</v>
      </c>
      <c r="J45" s="4" t="n">
        <v>38.3035302170128</v>
      </c>
    </row>
    <row r="46" customFormat="false" ht="15" hidden="false" customHeight="false" outlineLevel="0" collapsed="false">
      <c r="A46" s="0" t="n">
        <f aca="false">A45+1</f>
        <v>44</v>
      </c>
      <c r="B46" s="1" t="n">
        <f aca="false">B45+H46*1</f>
        <v>16.98752</v>
      </c>
      <c r="C46" s="1" t="n">
        <f aca="false">B46*$K$1</f>
        <v>38.00108224</v>
      </c>
      <c r="D46" s="1" t="n">
        <v>15.0398057252402</v>
      </c>
      <c r="E46" s="1" t="n">
        <f aca="false">D46*$K$1</f>
        <v>33.6440454073623</v>
      </c>
      <c r="F46" s="0" t="n">
        <v>2</v>
      </c>
      <c r="G46" s="12" t="n">
        <f aca="false">B46*F46+5</f>
        <v>38.97504</v>
      </c>
      <c r="H46" s="3" t="n">
        <v>0.89408</v>
      </c>
      <c r="I46" s="3" t="n">
        <v>0</v>
      </c>
      <c r="J46" s="4" t="n">
        <v>40.3317898491436</v>
      </c>
    </row>
    <row r="47" customFormat="false" ht="15" hidden="false" customHeight="false" outlineLevel="0" collapsed="false">
      <c r="A47" s="0" t="n">
        <f aca="false">A46+1</f>
        <v>45</v>
      </c>
      <c r="B47" s="1" t="n">
        <f aca="false">B46+H47*1</f>
        <v>17.8816</v>
      </c>
      <c r="C47" s="1" t="n">
        <f aca="false">B47*$K$1</f>
        <v>40.0011392</v>
      </c>
      <c r="D47" s="1" t="n">
        <v>16.0717559349739</v>
      </c>
      <c r="E47" s="1" t="n">
        <f aca="false">D47*$K$1</f>
        <v>35.9525180265366</v>
      </c>
      <c r="F47" s="0" t="n">
        <v>2</v>
      </c>
      <c r="G47" s="12" t="n">
        <f aca="false">B47*F47+5</f>
        <v>40.7632</v>
      </c>
      <c r="H47" s="3" t="n">
        <v>0.89408</v>
      </c>
      <c r="I47" s="3" t="n">
        <v>0</v>
      </c>
      <c r="J47" s="4" t="n">
        <v>42.2064315201939</v>
      </c>
    </row>
    <row r="48" customFormat="false" ht="15" hidden="false" customHeight="false" outlineLevel="0" collapsed="false">
      <c r="A48" s="0" t="n">
        <f aca="false">A47+1</f>
        <v>46</v>
      </c>
      <c r="B48" s="1" t="n">
        <f aca="false">B47+H48*1</f>
        <v>17.8816</v>
      </c>
      <c r="C48" s="1" t="n">
        <f aca="false">B48*$K$1</f>
        <v>40.0011392</v>
      </c>
      <c r="D48" s="1" t="n">
        <v>17.0319256717819</v>
      </c>
      <c r="E48" s="1" t="n">
        <f aca="false">D48*$K$1</f>
        <v>38.1004177277761</v>
      </c>
      <c r="F48" s="0" t="n">
        <v>2</v>
      </c>
      <c r="G48" s="12" t="n">
        <f aca="false">B48*F48+5</f>
        <v>40.7632</v>
      </c>
      <c r="H48" s="3" t="n">
        <v>0</v>
      </c>
      <c r="I48" s="3" t="n">
        <v>0</v>
      </c>
      <c r="J48" s="4" t="n">
        <v>43.5171610800311</v>
      </c>
    </row>
    <row r="49" customFormat="false" ht="15" hidden="false" customHeight="false" outlineLevel="0" collapsed="false">
      <c r="A49" s="0" t="n">
        <f aca="false">A48+1</f>
        <v>47</v>
      </c>
      <c r="B49" s="1" t="n">
        <f aca="false">B48+H49*1</f>
        <v>17.8816</v>
      </c>
      <c r="C49" s="1" t="n">
        <f aca="false">B49*$K$1</f>
        <v>40.0011392</v>
      </c>
      <c r="D49" s="1" t="n">
        <v>17.8121559250803</v>
      </c>
      <c r="E49" s="1" t="n">
        <f aca="false">D49*$K$1</f>
        <v>39.8457928044046</v>
      </c>
      <c r="F49" s="0" t="n">
        <v>2</v>
      </c>
      <c r="G49" s="12" t="n">
        <f aca="false">B49*F49+5</f>
        <v>40.7632</v>
      </c>
      <c r="H49" s="3" t="n">
        <v>0</v>
      </c>
      <c r="I49" s="3" t="n">
        <v>0</v>
      </c>
      <c r="J49" s="4" t="n">
        <v>43.9525594201481</v>
      </c>
    </row>
    <row r="50" customFormat="false" ht="15" hidden="false" customHeight="false" outlineLevel="0" collapsed="false">
      <c r="A50" s="0" t="n">
        <f aca="false">A49+1</f>
        <v>48</v>
      </c>
      <c r="B50" s="1" t="n">
        <f aca="false">B49+H50*1</f>
        <v>17.8816</v>
      </c>
      <c r="C50" s="1" t="n">
        <f aca="false">B50*$K$1</f>
        <v>40.0011392</v>
      </c>
      <c r="D50" s="1" t="n">
        <v>18.3462563593447</v>
      </c>
      <c r="E50" s="1" t="n">
        <f aca="false">D50*$K$1</f>
        <v>41.0405754758541</v>
      </c>
      <c r="F50" s="0" t="n">
        <v>2</v>
      </c>
      <c r="G50" s="12" t="n">
        <f aca="false">B50*F50+5</f>
        <v>40.7632</v>
      </c>
      <c r="H50" s="3" t="n">
        <v>0</v>
      </c>
      <c r="I50" s="3" t="n">
        <v>0</v>
      </c>
      <c r="J50" s="4" t="n">
        <v>43.7312405698383</v>
      </c>
    </row>
    <row r="51" customFormat="false" ht="15" hidden="false" customHeight="false" outlineLevel="0" collapsed="false">
      <c r="A51" s="0" t="n">
        <f aca="false">A50+1</f>
        <v>49</v>
      </c>
      <c r="B51" s="1" t="n">
        <f aca="false">B50+H51*1</f>
        <v>17.8816</v>
      </c>
      <c r="C51" s="1" t="n">
        <f aca="false">B51*$K$1</f>
        <v>40.0011392</v>
      </c>
      <c r="D51" s="1" t="n">
        <v>18.6294642939171</v>
      </c>
      <c r="E51" s="1" t="n">
        <f aca="false">D51*$K$1</f>
        <v>41.6741116254926</v>
      </c>
      <c r="F51" s="0" t="n">
        <v>2</v>
      </c>
      <c r="G51" s="12" t="n">
        <f aca="false">B51*F51+5</f>
        <v>40.7632</v>
      </c>
      <c r="H51" s="3" t="n">
        <v>0</v>
      </c>
      <c r="I51" s="3" t="n">
        <v>0</v>
      </c>
      <c r="J51" s="4" t="n">
        <v>43.1053830087055</v>
      </c>
    </row>
    <row r="52" customFormat="false" ht="15" hidden="false" customHeight="false" outlineLevel="0" collapsed="false">
      <c r="A52" s="0" t="n">
        <f aca="false">A51+1</f>
        <v>50</v>
      </c>
      <c r="B52" s="1" t="n">
        <f aca="false">B51+H52*1</f>
        <v>17.8816</v>
      </c>
      <c r="C52" s="1" t="n">
        <f aca="false">B52*$K$1</f>
        <v>40.0011392</v>
      </c>
      <c r="D52" s="1" t="n">
        <v>18.6989534898892</v>
      </c>
      <c r="E52" s="1" t="n">
        <f aca="false">D52*$K$1</f>
        <v>41.8295589568821</v>
      </c>
      <c r="F52" s="0" t="n">
        <v>2</v>
      </c>
      <c r="G52" s="12" t="n">
        <f aca="false">B52*F52+5</f>
        <v>40.7632</v>
      </c>
      <c r="H52" s="3" t="n">
        <v>0</v>
      </c>
      <c r="I52" s="3" t="n">
        <v>0</v>
      </c>
      <c r="J52" s="4" t="n">
        <v>42.3090881414435</v>
      </c>
    </row>
    <row r="53" customFormat="false" ht="15" hidden="false" customHeight="false" outlineLevel="0" collapsed="false">
      <c r="A53" s="0" t="n">
        <f aca="false">A52+1</f>
        <v>51</v>
      </c>
      <c r="B53" s="1" t="n">
        <f aca="false">B52+H53*1</f>
        <v>17.8816</v>
      </c>
      <c r="C53" s="1" t="n">
        <f aca="false">B53*$K$1</f>
        <v>40.0011392</v>
      </c>
      <c r="D53" s="1" t="n">
        <v>18.6140235984163</v>
      </c>
      <c r="E53" s="1" t="n">
        <f aca="false">D53*$K$1</f>
        <v>41.6395707896573</v>
      </c>
      <c r="F53" s="0" t="n">
        <v>2</v>
      </c>
      <c r="G53" s="12" t="n">
        <f aca="false">B53*F53+5</f>
        <v>40.7632</v>
      </c>
      <c r="H53" s="3" t="n">
        <v>0</v>
      </c>
      <c r="I53" s="3" t="n">
        <v>0</v>
      </c>
      <c r="J53" s="4" t="n">
        <v>41.5266774005395</v>
      </c>
    </row>
    <row r="54" customFormat="false" ht="15" hidden="false" customHeight="false" outlineLevel="0" collapsed="false">
      <c r="A54" s="0" t="n">
        <f aca="false">A53+1</f>
        <v>52</v>
      </c>
      <c r="B54" s="1" t="n">
        <f aca="false">B53+H54*1</f>
        <v>17.8816</v>
      </c>
      <c r="C54" s="1" t="n">
        <f aca="false">B54*$K$1</f>
        <v>40.0011392</v>
      </c>
      <c r="D54" s="1" t="n">
        <v>18.4392628788751</v>
      </c>
      <c r="E54" s="1" t="n">
        <f aca="false">D54*$K$1</f>
        <v>41.2486310600436</v>
      </c>
      <c r="F54" s="0" t="n">
        <v>2</v>
      </c>
      <c r="G54" s="12" t="n">
        <f aca="false">B54*F54+5</f>
        <v>40.7632</v>
      </c>
      <c r="H54" s="3" t="n">
        <v>0</v>
      </c>
      <c r="I54" s="3" t="n">
        <v>0</v>
      </c>
      <c r="J54" s="4" t="n">
        <v>40.8794533044158</v>
      </c>
    </row>
    <row r="55" customFormat="false" ht="15" hidden="false" customHeight="false" outlineLevel="0" collapsed="false">
      <c r="A55" s="0" t="n">
        <f aca="false">A54+1</f>
        <v>53</v>
      </c>
      <c r="B55" s="1" t="n">
        <f aca="false">B54+H55*1</f>
        <v>17.8816</v>
      </c>
      <c r="C55" s="1" t="n">
        <f aca="false">B55*$K$1</f>
        <v>40.0011392</v>
      </c>
      <c r="D55" s="1" t="n">
        <v>18.2324126001102</v>
      </c>
      <c r="E55" s="1" t="n">
        <f aca="false">D55*$K$1</f>
        <v>40.7859069864465</v>
      </c>
      <c r="F55" s="0" t="n">
        <v>2</v>
      </c>
      <c r="G55" s="12" t="n">
        <f aca="false">B55*F55+5</f>
        <v>40.7632</v>
      </c>
      <c r="H55" s="3" t="n">
        <v>0</v>
      </c>
      <c r="I55" s="3" t="n">
        <v>0</v>
      </c>
      <c r="J55" s="4" t="n">
        <v>40.4269654674588</v>
      </c>
    </row>
    <row r="56" customFormat="false" ht="15" hidden="false" customHeight="false" outlineLevel="0" collapsed="false">
      <c r="A56" s="0" t="n">
        <f aca="false">A55+1</f>
        <v>54</v>
      </c>
      <c r="B56" s="1" t="n">
        <f aca="false">B55+H56*1</f>
        <v>17.8816</v>
      </c>
      <c r="C56" s="1" t="n">
        <f aca="false">B56*$K$1</f>
        <v>40.0011392</v>
      </c>
      <c r="D56" s="1" t="n">
        <v>18.0373350971691</v>
      </c>
      <c r="E56" s="1" t="n">
        <f aca="false">D56*$K$1</f>
        <v>40.3495186123673</v>
      </c>
      <c r="F56" s="0" t="n">
        <v>2</v>
      </c>
      <c r="G56" s="12" t="n">
        <f aca="false">B56*F56+5</f>
        <v>40.7632</v>
      </c>
      <c r="H56" s="3" t="n">
        <v>0</v>
      </c>
      <c r="I56" s="3" t="n">
        <v>0</v>
      </c>
      <c r="J56" s="4" t="n">
        <v>40.1777944641917</v>
      </c>
    </row>
    <row r="57" customFormat="false" ht="15" hidden="false" customHeight="false" outlineLevel="0" collapsed="false">
      <c r="A57" s="0" t="n">
        <f aca="false">A56+1</f>
        <v>55</v>
      </c>
      <c r="B57" s="1" t="n">
        <f aca="false">B56+H57*1</f>
        <v>17.8816</v>
      </c>
      <c r="C57" s="1" t="n">
        <f aca="false">B57*$K$1</f>
        <v>40.0011392</v>
      </c>
      <c r="D57" s="1" t="n">
        <v>17.8815337728979</v>
      </c>
      <c r="E57" s="1" t="n">
        <f aca="false">D57*$K$1</f>
        <v>40.0009910499726</v>
      </c>
      <c r="F57" s="0" t="n">
        <v>2</v>
      </c>
      <c r="G57" s="12" t="n">
        <f aca="false">B57*F57+5</f>
        <v>40.7632</v>
      </c>
      <c r="H57" s="3" t="n">
        <v>0</v>
      </c>
      <c r="I57" s="3" t="n">
        <v>0</v>
      </c>
      <c r="J57" s="4" t="n">
        <v>40.1049797668742</v>
      </c>
    </row>
    <row r="58" customFormat="false" ht="15" hidden="false" customHeight="false" outlineLevel="0" collapsed="false">
      <c r="A58" s="0" t="n">
        <f aca="false">A57+1</f>
        <v>56</v>
      </c>
      <c r="B58" s="1" t="n">
        <f aca="false">B57+H58*1</f>
        <v>17.8816</v>
      </c>
      <c r="C58" s="1" t="n">
        <f aca="false">B58*$K$1</f>
        <v>40.0011392</v>
      </c>
      <c r="D58" s="1" t="n">
        <v>17.7771229183245</v>
      </c>
      <c r="E58" s="1" t="n">
        <f aca="false">D58*$K$1</f>
        <v>39.7674239682919</v>
      </c>
      <c r="F58" s="0" t="n">
        <v>2</v>
      </c>
      <c r="G58" s="12" t="n">
        <f aca="false">B58*F58+5</f>
        <v>40.7632</v>
      </c>
      <c r="H58" s="3" t="n">
        <v>0</v>
      </c>
      <c r="I58" s="3" t="n">
        <v>0</v>
      </c>
      <c r="J58" s="4" t="n">
        <v>40.1620780605794</v>
      </c>
    </row>
    <row r="59" customFormat="false" ht="15" hidden="false" customHeight="false" outlineLevel="0" collapsed="false">
      <c r="A59" s="0" t="n">
        <f aca="false">A58+1</f>
        <v>57</v>
      </c>
      <c r="B59" s="1" t="n">
        <f aca="false">B58+H59*1</f>
        <v>17.8816</v>
      </c>
      <c r="C59" s="1" t="n">
        <f aca="false">B59*$K$1</f>
        <v>40.0011392</v>
      </c>
      <c r="D59" s="1" t="n">
        <v>17.7239536449333</v>
      </c>
      <c r="E59" s="1" t="n">
        <f aca="false">D59*$K$1</f>
        <v>39.6484843037158</v>
      </c>
      <c r="F59" s="0" t="n">
        <v>2</v>
      </c>
      <c r="G59" s="12" t="n">
        <f aca="false">B59*F59+5</f>
        <v>40.7632</v>
      </c>
      <c r="H59" s="3" t="n">
        <v>0</v>
      </c>
      <c r="I59" s="3" t="n">
        <v>0</v>
      </c>
      <c r="J59" s="4" t="n">
        <v>40.2970604467918</v>
      </c>
    </row>
    <row r="60" customFormat="false" ht="15" hidden="false" customHeight="false" outlineLevel="0" collapsed="false">
      <c r="A60" s="0" t="n">
        <f aca="false">A59+1</f>
        <v>58</v>
      </c>
      <c r="B60" s="1" t="n">
        <f aca="false">B59+H60*1</f>
        <v>17.8816</v>
      </c>
      <c r="C60" s="1" t="n">
        <f aca="false">B60*$K$1</f>
        <v>40.0011392</v>
      </c>
      <c r="D60" s="1" t="n">
        <v>17.7136819632712</v>
      </c>
      <c r="E60" s="1" t="n">
        <f aca="false">D60*$K$1</f>
        <v>39.6255065518377</v>
      </c>
      <c r="F60" s="0" t="n">
        <v>2</v>
      </c>
      <c r="G60" s="12" t="n">
        <f aca="false">B60*F60+5</f>
        <v>40.7632</v>
      </c>
      <c r="H60" s="3" t="n">
        <v>0</v>
      </c>
      <c r="I60" s="3" t="n">
        <v>0</v>
      </c>
      <c r="J60" s="4" t="n">
        <v>40.4625253164228</v>
      </c>
    </row>
    <row r="61" customFormat="false" ht="15" hidden="false" customHeight="false" outlineLevel="0" collapsed="false">
      <c r="A61" s="0" t="n">
        <f aca="false">A60+1</f>
        <v>59</v>
      </c>
      <c r="B61" s="1" t="n">
        <f aca="false">B60+H61*1</f>
        <v>17.8816</v>
      </c>
      <c r="C61" s="1" t="n">
        <f aca="false">B61*$K$1</f>
        <v>40.0011392</v>
      </c>
      <c r="D61" s="1" t="n">
        <v>17.7338138003154</v>
      </c>
      <c r="E61" s="1" t="n">
        <f aca="false">D61*$K$1</f>
        <v>39.6705414713055</v>
      </c>
      <c r="F61" s="0" t="n">
        <v>2</v>
      </c>
      <c r="G61" s="12" t="n">
        <f aca="false">B61*F61+5</f>
        <v>40.7632</v>
      </c>
      <c r="H61" s="3" t="n">
        <v>0</v>
      </c>
      <c r="I61" s="3" t="n">
        <v>0</v>
      </c>
      <c r="J61" s="4" t="n">
        <v>40.6217987648043</v>
      </c>
    </row>
    <row r="62" customFormat="false" ht="15" hidden="false" customHeight="false" outlineLevel="0" collapsed="false">
      <c r="A62" s="0" t="n">
        <f aca="false">A61+1</f>
        <v>60</v>
      </c>
      <c r="B62" s="1" t="n">
        <f aca="false">B61+H62*1</f>
        <v>17.8816</v>
      </c>
      <c r="C62" s="1" t="n">
        <f aca="false">B62*$K$1</f>
        <v>40.0011392</v>
      </c>
      <c r="D62" s="1" t="n">
        <v>17.7710837623369</v>
      </c>
      <c r="E62" s="1" t="n">
        <f aca="false">D62*$K$1</f>
        <v>39.7539143763476</v>
      </c>
      <c r="F62" s="0" t="n">
        <v>2</v>
      </c>
      <c r="G62" s="12" t="n">
        <f aca="false">B62*F62+5</f>
        <v>40.7632</v>
      </c>
      <c r="H62" s="3" t="n">
        <v>0</v>
      </c>
      <c r="I62" s="3" t="n">
        <v>0</v>
      </c>
      <c r="J62" s="4" t="n">
        <v>40.7512972569378</v>
      </c>
    </row>
    <row r="63" customFormat="false" ht="15" hidden="false" customHeight="false" outlineLevel="0" collapsed="false">
      <c r="A63" s="0" t="n">
        <f aca="false">A62+1</f>
        <v>61</v>
      </c>
      <c r="B63" s="1" t="n">
        <f aca="false">B57-H63*1</f>
        <v>16.98752</v>
      </c>
      <c r="C63" s="1" t="n">
        <f aca="false">B63*$K$1</f>
        <v>38.00108224</v>
      </c>
      <c r="D63" s="1" t="n">
        <v>17.7840410871203</v>
      </c>
      <c r="E63" s="1" t="n">
        <f aca="false">D63*$K$1</f>
        <v>39.7828999118881</v>
      </c>
      <c r="F63" s="0" t="n">
        <v>2</v>
      </c>
      <c r="G63" s="12" t="n">
        <f aca="false">B63*F63+5</f>
        <v>38.97504</v>
      </c>
      <c r="H63" s="3" t="n">
        <v>0.89408</v>
      </c>
      <c r="I63" s="3" t="n">
        <v>0</v>
      </c>
      <c r="J63" s="4" t="n">
        <v>40.392965043216</v>
      </c>
    </row>
    <row r="64" customFormat="false" ht="15" hidden="false" customHeight="false" outlineLevel="0" collapsed="false">
      <c r="A64" s="0" t="n">
        <f aca="false">A63+1</f>
        <v>62</v>
      </c>
      <c r="B64" s="1" t="n">
        <f aca="false">B63-H64*1</f>
        <v>16.09344</v>
      </c>
      <c r="C64" s="1" t="n">
        <f aca="false">B64*$K$1</f>
        <v>36.00102528</v>
      </c>
      <c r="D64" s="1" t="n">
        <v>17.6574213414473</v>
      </c>
      <c r="E64" s="1" t="n">
        <f aca="false">D64*$K$1</f>
        <v>39.4996515408176</v>
      </c>
      <c r="F64" s="0" t="n">
        <v>2</v>
      </c>
      <c r="G64" s="12" t="n">
        <f aca="false">B64*F64+5</f>
        <v>37.18688</v>
      </c>
      <c r="H64" s="3" t="n">
        <v>0.89408</v>
      </c>
      <c r="I64" s="3" t="n">
        <v>0</v>
      </c>
      <c r="J64" s="4" t="n">
        <v>39.1911314770218</v>
      </c>
    </row>
    <row r="65" customFormat="false" ht="15" hidden="false" customHeight="false" outlineLevel="0" collapsed="false">
      <c r="A65" s="0" t="n">
        <f aca="false">A64+1</f>
        <v>63</v>
      </c>
      <c r="B65" s="1" t="n">
        <f aca="false">B64-H65*1</f>
        <v>15.19936</v>
      </c>
      <c r="C65" s="1" t="n">
        <f aca="false">B65*$K$1</f>
        <v>34.00096832</v>
      </c>
      <c r="D65" s="1" t="n">
        <v>17.3137781138567</v>
      </c>
      <c r="E65" s="1" t="n">
        <f aca="false">D65*$K$1</f>
        <v>38.7309216406974</v>
      </c>
      <c r="F65" s="0" t="n">
        <v>2</v>
      </c>
      <c r="G65" s="12" t="n">
        <f aca="false">B65*F65+5</f>
        <v>35.39872</v>
      </c>
      <c r="H65" s="3" t="n">
        <v>0.89408</v>
      </c>
      <c r="I65" s="3" t="n">
        <v>0</v>
      </c>
      <c r="J65" s="4" t="n">
        <v>37.329631151465</v>
      </c>
    </row>
    <row r="66" customFormat="false" ht="15" hidden="false" customHeight="false" outlineLevel="0" collapsed="false">
      <c r="A66" s="0" t="n">
        <f aca="false">A65+1</f>
        <v>64</v>
      </c>
      <c r="B66" s="1" t="n">
        <f aca="false">B65-H66*1</f>
        <v>14.30528</v>
      </c>
      <c r="C66" s="1" t="n">
        <f aca="false">B66*$K$1</f>
        <v>32.00091136</v>
      </c>
      <c r="D66" s="1" t="n">
        <v>16.7361217652244</v>
      </c>
      <c r="E66" s="1" t="n">
        <f aca="false">D66*$K$1</f>
        <v>37.438704388807</v>
      </c>
      <c r="F66" s="0" t="n">
        <v>2</v>
      </c>
      <c r="G66" s="12" t="n">
        <f aca="false">B66*F66+5</f>
        <v>33.61056</v>
      </c>
      <c r="H66" s="3" t="n">
        <v>0.89408</v>
      </c>
      <c r="I66" s="3" t="n">
        <v>0</v>
      </c>
      <c r="J66" s="4" t="n">
        <v>35.0378071480118</v>
      </c>
    </row>
    <row r="67" customFormat="false" ht="15" hidden="false" customHeight="false" outlineLevel="0" collapsed="false">
      <c r="A67" s="0" t="n">
        <f aca="false">A66+1</f>
        <v>65</v>
      </c>
      <c r="B67" s="1" t="n">
        <f aca="false">B66-H67*1</f>
        <v>13.4112</v>
      </c>
      <c r="C67" s="1" t="n">
        <f aca="false">B67*$K$1</f>
        <v>30.0008544</v>
      </c>
      <c r="D67" s="1" t="n">
        <v>15.9507155728916</v>
      </c>
      <c r="E67" s="1" t="n">
        <f aca="false">D67*$K$1</f>
        <v>35.6817507365585</v>
      </c>
      <c r="F67" s="0" t="n">
        <v>2</v>
      </c>
      <c r="G67" s="12" t="n">
        <f aca="false">B67*F67+5</f>
        <v>31.8224</v>
      </c>
      <c r="H67" s="3" t="n">
        <v>0.89408</v>
      </c>
      <c r="I67" s="3" t="n">
        <v>0</v>
      </c>
      <c r="J67" s="4" t="n">
        <v>32.5386045947728</v>
      </c>
    </row>
    <row r="68" customFormat="false" ht="15" hidden="false" customHeight="false" outlineLevel="0" collapsed="false">
      <c r="A68" s="0" t="n">
        <f aca="false">A67+1</f>
        <v>66</v>
      </c>
      <c r="B68" s="1" t="n">
        <f aca="false">B67-H68*1</f>
        <v>12.51712</v>
      </c>
      <c r="C68" s="1" t="n">
        <f aca="false">B68*$K$1</f>
        <v>28.00079744</v>
      </c>
      <c r="D68" s="1" t="n">
        <v>15.0085864104807</v>
      </c>
      <c r="E68" s="1" t="n">
        <f aca="false">D68*$K$1</f>
        <v>33.5742078002453</v>
      </c>
      <c r="F68" s="0" t="n">
        <v>2</v>
      </c>
      <c r="G68" s="12" t="n">
        <f aca="false">B68*F68+5</f>
        <v>30.03424</v>
      </c>
      <c r="H68" s="3" t="n">
        <v>0.89408</v>
      </c>
      <c r="I68" s="3" t="n">
        <v>0</v>
      </c>
      <c r="J68" s="4" t="n">
        <v>30.0148111753985</v>
      </c>
    </row>
    <row r="69" customFormat="false" ht="15" hidden="false" customHeight="false" outlineLevel="0" collapsed="false">
      <c r="A69" s="0" t="n">
        <f aca="false">A68+1</f>
        <v>67</v>
      </c>
      <c r="B69" s="1" t="n">
        <f aca="false">B68-H69*1</f>
        <v>11.62304</v>
      </c>
      <c r="C69" s="1" t="n">
        <f aca="false">B69*$K$1</f>
        <v>26.00074048</v>
      </c>
      <c r="D69" s="1" t="n">
        <v>13.969148607143</v>
      </c>
      <c r="E69" s="1" t="n">
        <f aca="false">D69*$K$1</f>
        <v>31.2489854341789</v>
      </c>
      <c r="F69" s="0" t="n">
        <v>2</v>
      </c>
      <c r="G69" s="12" t="n">
        <f aca="false">B69*F69+5</f>
        <v>28.24608</v>
      </c>
      <c r="H69" s="3" t="n">
        <v>0.89408</v>
      </c>
      <c r="I69" s="3" t="n">
        <v>0</v>
      </c>
      <c r="J69" s="4" t="n">
        <v>27.5928916545493</v>
      </c>
    </row>
    <row r="70" customFormat="false" ht="15" hidden="false" customHeight="false" outlineLevel="0" collapsed="false">
      <c r="A70" s="0" t="n">
        <f aca="false">A69+1</f>
        <v>68</v>
      </c>
      <c r="B70" s="1" t="n">
        <f aca="false">B69-H70*1</f>
        <v>10.72896</v>
      </c>
      <c r="C70" s="1" t="n">
        <f aca="false">B70*$K$1</f>
        <v>24.00068352</v>
      </c>
      <c r="D70" s="1" t="n">
        <v>12.8878788457124</v>
      </c>
      <c r="E70" s="1" t="n">
        <f aca="false">D70*$K$1</f>
        <v>28.8301849778586</v>
      </c>
      <c r="F70" s="0" t="n">
        <v>2</v>
      </c>
      <c r="G70" s="12" t="n">
        <f aca="false">B70*F70+5</f>
        <v>26.45792</v>
      </c>
      <c r="H70" s="3" t="n">
        <v>0.89408</v>
      </c>
      <c r="I70" s="3" t="n">
        <v>0</v>
      </c>
      <c r="J70" s="4" t="n">
        <v>25.3412151494882</v>
      </c>
    </row>
    <row r="71" customFormat="false" ht="15" hidden="false" customHeight="false" outlineLevel="0" collapsed="false">
      <c r="A71" s="0" t="n">
        <f aca="false">A70+1</f>
        <v>69</v>
      </c>
      <c r="B71" s="1" t="n">
        <f aca="false">B70-H71*1</f>
        <v>9.83488</v>
      </c>
      <c r="C71" s="1" t="n">
        <f aca="false">B71*$K$1</f>
        <v>22.00062656</v>
      </c>
      <c r="D71" s="1" t="n">
        <v>11.8086891290967</v>
      </c>
      <c r="E71" s="1" t="n">
        <f aca="false">D71*$K$1</f>
        <v>26.4160375817893</v>
      </c>
      <c r="F71" s="0" t="n">
        <v>2</v>
      </c>
      <c r="G71" s="12" t="n">
        <f aca="false">B71*F71+5</f>
        <v>24.66976</v>
      </c>
      <c r="H71" s="3" t="n">
        <v>0.89408</v>
      </c>
      <c r="I71" s="3" t="n">
        <v>0</v>
      </c>
      <c r="J71" s="4" t="n">
        <v>23.2782139522674</v>
      </c>
    </row>
    <row r="72" customFormat="false" ht="15" hidden="false" customHeight="false" outlineLevel="0" collapsed="false">
      <c r="A72" s="0" t="n">
        <f aca="false">A71+1</f>
        <v>70</v>
      </c>
      <c r="B72" s="1" t="n">
        <f aca="false">B71-H72*1</f>
        <v>8.9408</v>
      </c>
      <c r="C72" s="1" t="n">
        <f aca="false">B72*$K$1</f>
        <v>20.0005696</v>
      </c>
      <c r="D72" s="1" t="n">
        <v>10.7606756013681</v>
      </c>
      <c r="E72" s="1" t="n">
        <f aca="false">D72*$K$1</f>
        <v>24.0716313202604</v>
      </c>
      <c r="F72" s="0" t="n">
        <v>2</v>
      </c>
      <c r="G72" s="12" t="n">
        <f aca="false">B72*F72+5</f>
        <v>22.8816</v>
      </c>
      <c r="H72" s="3" t="n">
        <v>0.89408</v>
      </c>
      <c r="I72" s="3" t="n">
        <v>0</v>
      </c>
      <c r="J72" s="4" t="n">
        <v>21.3858860339875</v>
      </c>
    </row>
    <row r="73" customFormat="false" ht="15" hidden="false" customHeight="false" outlineLevel="0" collapsed="false">
      <c r="A73" s="0" t="n">
        <f aca="false">A72+1</f>
        <v>71</v>
      </c>
      <c r="B73" s="1" t="n">
        <f aca="false">B72+H73*1</f>
        <v>8.9408</v>
      </c>
      <c r="C73" s="1" t="n">
        <f aca="false">B73*$K$1</f>
        <v>20.0005696</v>
      </c>
      <c r="D73" s="1" t="n">
        <v>9.78812590914139</v>
      </c>
      <c r="E73" s="1" t="n">
        <f aca="false">D73*$K$1</f>
        <v>21.8960376587493</v>
      </c>
      <c r="F73" s="0" t="n">
        <v>2</v>
      </c>
      <c r="G73" s="12" t="n">
        <f aca="false">B73*F73+5</f>
        <v>22.8816</v>
      </c>
      <c r="H73" s="3" t="n">
        <v>0</v>
      </c>
      <c r="I73" s="3" t="n">
        <v>0</v>
      </c>
      <c r="J73" s="4" t="n">
        <v>20.0717466006232</v>
      </c>
    </row>
    <row r="74" customFormat="false" ht="15" hidden="false" customHeight="false" outlineLevel="0" collapsed="false">
      <c r="A74" s="0" t="n">
        <f aca="false">A73+1</f>
        <v>72</v>
      </c>
      <c r="B74" s="1" t="n">
        <f aca="false">B73+H74*1</f>
        <v>8.9408</v>
      </c>
      <c r="C74" s="1" t="n">
        <f aca="false">B74*$K$1</f>
        <v>20.0005696</v>
      </c>
      <c r="D74" s="1" t="n">
        <v>8.99997616914716</v>
      </c>
      <c r="E74" s="1" t="n">
        <f aca="false">D74*$K$1</f>
        <v>20.1329466903822</v>
      </c>
      <c r="F74" s="0" t="n">
        <v>2</v>
      </c>
      <c r="G74" s="12" t="n">
        <f aca="false">B74*F74+5</f>
        <v>22.8816</v>
      </c>
      <c r="H74" s="3" t="n">
        <v>0</v>
      </c>
      <c r="I74" s="3" t="n">
        <v>0</v>
      </c>
      <c r="J74" s="4" t="n">
        <v>19.6430553406503</v>
      </c>
    </row>
    <row r="75" customFormat="false" ht="15" hidden="false" customHeight="false" outlineLevel="0" collapsed="false">
      <c r="A75" s="0" t="n">
        <f aca="false">A74+1</f>
        <v>73</v>
      </c>
      <c r="B75" s="1" t="n">
        <f aca="false">B74+H75*1</f>
        <v>8.9408</v>
      </c>
      <c r="C75" s="1" t="n">
        <f aca="false">B75*$K$1</f>
        <v>20.0005696</v>
      </c>
      <c r="D75" s="1" t="n">
        <v>8.46221991086156</v>
      </c>
      <c r="E75" s="1" t="n">
        <f aca="false">D75*$K$1</f>
        <v>18.9299859405973</v>
      </c>
      <c r="F75" s="0" t="n">
        <v>2</v>
      </c>
      <c r="G75" s="12" t="n">
        <f aca="false">B75*F75+5</f>
        <v>22.8816</v>
      </c>
      <c r="H75" s="3" t="n">
        <v>0</v>
      </c>
      <c r="I75" s="3" t="n">
        <v>0</v>
      </c>
      <c r="J75" s="4" t="n">
        <v>19.8767827836039</v>
      </c>
    </row>
    <row r="76" customFormat="false" ht="15" hidden="false" customHeight="false" outlineLevel="0" collapsed="false">
      <c r="A76" s="0" t="n">
        <f aca="false">A75+1</f>
        <v>74</v>
      </c>
      <c r="B76" s="1" t="n">
        <f aca="false">B75+H76*1</f>
        <v>8.9408</v>
      </c>
      <c r="C76" s="1" t="n">
        <f aca="false">B76*$K$1</f>
        <v>20.0005696</v>
      </c>
      <c r="D76" s="1" t="n">
        <v>8.1788019352053</v>
      </c>
      <c r="E76" s="1" t="n">
        <f aca="false">D76*$K$1</f>
        <v>18.2959799290543</v>
      </c>
      <c r="F76" s="0" t="n">
        <v>2</v>
      </c>
      <c r="G76" s="12" t="n">
        <f aca="false">B76*F76+5</f>
        <v>22.8816</v>
      </c>
      <c r="H76" s="3" t="n">
        <v>0</v>
      </c>
      <c r="I76" s="3" t="n">
        <v>0</v>
      </c>
      <c r="J76" s="4" t="n">
        <v>20.5168738130747</v>
      </c>
    </row>
    <row r="77" customFormat="false" ht="15" hidden="false" customHeight="false" outlineLevel="0" collapsed="false">
      <c r="A77" s="0" t="n">
        <f aca="false">A76+1</f>
        <v>75</v>
      </c>
      <c r="B77" s="1" t="n">
        <f aca="false">B76+H77*1</f>
        <v>8.9408</v>
      </c>
      <c r="C77" s="1" t="n">
        <f aca="false">B77*$K$1</f>
        <v>20.0005696</v>
      </c>
      <c r="D77" s="1" t="n">
        <v>8.11144593172354</v>
      </c>
      <c r="E77" s="1" t="n">
        <f aca="false">D77*$K$1</f>
        <v>18.1453045492656</v>
      </c>
      <c r="F77" s="0" t="n">
        <v>2</v>
      </c>
      <c r="G77" s="12" t="n">
        <f aca="false">B77*F77+5</f>
        <v>22.8816</v>
      </c>
      <c r="H77" s="3" t="n">
        <v>0</v>
      </c>
      <c r="I77" s="3" t="n">
        <v>0</v>
      </c>
      <c r="J77" s="4" t="n">
        <v>21.3263352140119</v>
      </c>
    </row>
    <row r="78" customFormat="false" ht="15" hidden="false" customHeight="false" outlineLevel="0" collapsed="false">
      <c r="A78" s="0" t="n">
        <f aca="false">A77+1</f>
        <v>76</v>
      </c>
      <c r="B78" s="1" t="n">
        <f aca="false">B77+H78*1</f>
        <v>8.9408</v>
      </c>
      <c r="C78" s="1" t="n">
        <f aca="false">B78*$K$1</f>
        <v>20.0005696</v>
      </c>
      <c r="D78" s="1" t="n">
        <v>8.19973629593047</v>
      </c>
      <c r="E78" s="1" t="n">
        <f aca="false">D78*$K$1</f>
        <v>18.3428100939965</v>
      </c>
      <c r="F78" s="0" t="n">
        <v>2</v>
      </c>
      <c r="G78" s="12" t="n">
        <f aca="false">B78*F78+5</f>
        <v>22.8816</v>
      </c>
      <c r="H78" s="3" t="n">
        <v>0</v>
      </c>
      <c r="I78" s="3" t="n">
        <v>0</v>
      </c>
      <c r="J78" s="4" t="n">
        <v>22.1190790562969</v>
      </c>
    </row>
    <row r="79" customFormat="false" ht="15" hidden="false" customHeight="false" outlineLevel="0" collapsed="false">
      <c r="A79" s="0" t="n">
        <f aca="false">A78+1</f>
        <v>77</v>
      </c>
      <c r="B79" s="1" t="n">
        <f aca="false">B78+H79*1</f>
        <v>8.9408</v>
      </c>
      <c r="C79" s="1" t="n">
        <f aca="false">B79*$K$1</f>
        <v>20.0005696</v>
      </c>
      <c r="D79" s="1" t="n">
        <v>8.37813937597366</v>
      </c>
      <c r="E79" s="1" t="n">
        <f aca="false">D79*$K$1</f>
        <v>18.7418977840531</v>
      </c>
      <c r="F79" s="0" t="n">
        <v>2</v>
      </c>
      <c r="G79" s="12" t="n">
        <f aca="false">B79*F79+5</f>
        <v>22.8816</v>
      </c>
      <c r="H79" s="3" t="n">
        <v>0</v>
      </c>
      <c r="I79" s="3" t="n">
        <v>0</v>
      </c>
      <c r="J79" s="4" t="n">
        <v>22.7730747433129</v>
      </c>
    </row>
    <row r="80" customFormat="false" ht="15" hidden="false" customHeight="false" outlineLevel="0" collapsed="false">
      <c r="A80" s="0" t="n">
        <f aca="false">A79+1</f>
        <v>78</v>
      </c>
      <c r="B80" s="1" t="n">
        <f aca="false">B79+H80*1</f>
        <v>8.9408</v>
      </c>
      <c r="C80" s="1" t="n">
        <f aca="false">B80*$K$1</f>
        <v>20.0005696</v>
      </c>
      <c r="D80" s="1" t="n">
        <v>8.58823492735263</v>
      </c>
      <c r="E80" s="1" t="n">
        <f aca="false">D80*$K$1</f>
        <v>19.2118815324878</v>
      </c>
      <c r="F80" s="0" t="n">
        <v>2</v>
      </c>
      <c r="G80" s="12" t="n">
        <f aca="false">B80*F80+5</f>
        <v>22.8816</v>
      </c>
      <c r="H80" s="3" t="n">
        <v>0</v>
      </c>
      <c r="I80" s="3" t="n">
        <v>0</v>
      </c>
      <c r="J80" s="4" t="n">
        <v>23.2288576939533</v>
      </c>
    </row>
    <row r="81" customFormat="false" ht="15" hidden="false" customHeight="false" outlineLevel="0" collapsed="false">
      <c r="A81" s="0" t="n">
        <f aca="false">A80+1</f>
        <v>79</v>
      </c>
      <c r="B81" s="1" t="n">
        <f aca="false">B80+H81*1</f>
        <v>8.9408</v>
      </c>
      <c r="C81" s="1" t="n">
        <f aca="false">B81*$K$1</f>
        <v>20.0005696</v>
      </c>
      <c r="D81" s="1" t="n">
        <v>8.78576943747609</v>
      </c>
      <c r="E81" s="1" t="n">
        <f aca="false">D81*$K$1</f>
        <v>19.653766231634</v>
      </c>
      <c r="F81" s="0" t="n">
        <v>2</v>
      </c>
      <c r="G81" s="12" t="n">
        <f aca="false">B81*F81+5</f>
        <v>22.8816</v>
      </c>
      <c r="H81" s="3" t="n">
        <v>0</v>
      </c>
      <c r="I81" s="3" t="n">
        <v>0</v>
      </c>
      <c r="J81" s="4" t="n">
        <v>23.4784636514443</v>
      </c>
    </row>
    <row r="82" customFormat="false" ht="15" hidden="false" customHeight="false" outlineLevel="0" collapsed="false">
      <c r="A82" s="0" t="n">
        <f aca="false">A81+1</f>
        <v>80</v>
      </c>
      <c r="B82" s="1" t="n">
        <f aca="false">B81+H82*1</f>
        <v>8.9408</v>
      </c>
      <c r="C82" s="1" t="n">
        <f aca="false">B82*$K$1</f>
        <v>20.0005696</v>
      </c>
      <c r="D82" s="1" t="n">
        <v>8.94310415076491</v>
      </c>
      <c r="E82" s="1" t="n">
        <f aca="false">D82*$K$1</f>
        <v>20.0057239852611</v>
      </c>
      <c r="F82" s="0" t="n">
        <v>2</v>
      </c>
      <c r="G82" s="12" t="n">
        <f aca="false">B82*F82+5</f>
        <v>22.8816</v>
      </c>
      <c r="H82" s="3" t="n">
        <v>0</v>
      </c>
      <c r="I82" s="3" t="n">
        <v>0</v>
      </c>
      <c r="J82" s="4" t="n">
        <v>23.5497263812547</v>
      </c>
    </row>
    <row r="83" customFormat="false" ht="15" hidden="false" customHeight="false" outlineLevel="0" collapsed="false">
      <c r="A83" s="0" t="n">
        <f aca="false">A82+1</f>
        <v>81</v>
      </c>
      <c r="B83" s="1" t="n">
        <f aca="false">B82+H83*1</f>
        <v>8.9408</v>
      </c>
      <c r="C83" s="1" t="n">
        <f aca="false">B83*$K$1</f>
        <v>20.0005696</v>
      </c>
      <c r="D83" s="1" t="n">
        <v>9.04818265968164</v>
      </c>
      <c r="E83" s="1" t="n">
        <f aca="false">D83*$K$1</f>
        <v>20.2407846097078</v>
      </c>
      <c r="F83" s="0" t="n">
        <v>2</v>
      </c>
      <c r="G83" s="12" t="n">
        <f aca="false">B83*F83+5</f>
        <v>22.8816</v>
      </c>
      <c r="H83" s="3" t="n">
        <v>0</v>
      </c>
      <c r="I83" s="3" t="n">
        <v>0</v>
      </c>
      <c r="J83" s="4" t="n">
        <v>23.4899941352725</v>
      </c>
    </row>
    <row r="84" customFormat="false" ht="15" hidden="false" customHeight="false" outlineLevel="0" collapsed="false">
      <c r="A84" s="0" t="n">
        <f aca="false">A83+1</f>
        <v>82</v>
      </c>
      <c r="B84" s="1" t="n">
        <f aca="false">B83+H84*1</f>
        <v>8.9408</v>
      </c>
      <c r="C84" s="1" t="n">
        <f aca="false">B84*$K$1</f>
        <v>20.0005696</v>
      </c>
      <c r="D84" s="1" t="n">
        <v>9.10133193463348</v>
      </c>
      <c r="E84" s="1" t="n">
        <f aca="false">D84*$K$1</f>
        <v>20.3596795377751</v>
      </c>
      <c r="F84" s="0" t="n">
        <v>2</v>
      </c>
      <c r="G84" s="12" t="n">
        <f aca="false">B84*F84+5</f>
        <v>22.8816</v>
      </c>
      <c r="H84" s="3" t="n">
        <v>0</v>
      </c>
      <c r="I84" s="3" t="n">
        <v>0</v>
      </c>
      <c r="J84" s="4" t="n">
        <v>23.3520764002014</v>
      </c>
    </row>
    <row r="85" customFormat="false" ht="15" hidden="false" customHeight="false" outlineLevel="0" collapsed="false">
      <c r="A85" s="0" t="n">
        <f aca="false">A84+1</f>
        <v>83</v>
      </c>
      <c r="B85" s="1" t="n">
        <f aca="false">B84+H85*1</f>
        <v>8.9408</v>
      </c>
      <c r="C85" s="1" t="n">
        <f aca="false">B85*$K$1</f>
        <v>20.0005696</v>
      </c>
      <c r="D85" s="1" t="n">
        <v>9.11112595520686</v>
      </c>
      <c r="E85" s="1" t="n">
        <f aca="false">D85*$K$1</f>
        <v>20.3815887617977</v>
      </c>
      <c r="F85" s="0" t="n">
        <v>2</v>
      </c>
      <c r="G85" s="12" t="n">
        <f aca="false">B85*F85+5</f>
        <v>22.8816</v>
      </c>
      <c r="H85" s="3" t="n">
        <v>0</v>
      </c>
      <c r="I85" s="3" t="n">
        <v>0</v>
      </c>
      <c r="J85" s="4" t="n">
        <v>23.1839464440413</v>
      </c>
    </row>
    <row r="86" customFormat="false" ht="15" hidden="false" customHeight="false" outlineLevel="0" collapsed="false">
      <c r="A86" s="0" t="n">
        <f aca="false">A85+1</f>
        <v>84</v>
      </c>
      <c r="B86" s="1" t="n">
        <f aca="false">B85+H86*1</f>
        <v>8.9408</v>
      </c>
      <c r="C86" s="1" t="n">
        <f aca="false">B86*$K$1</f>
        <v>20.0005696</v>
      </c>
      <c r="D86" s="1" t="n">
        <v>9.09028657175784</v>
      </c>
      <c r="E86" s="1" t="n">
        <f aca="false">D86*$K$1</f>
        <v>20.3349710610223</v>
      </c>
      <c r="F86" s="0" t="n">
        <v>2</v>
      </c>
      <c r="G86" s="12" t="n">
        <f aca="false">B86*F86+5</f>
        <v>22.8816</v>
      </c>
      <c r="H86" s="3" t="n">
        <v>0</v>
      </c>
      <c r="I86" s="3" t="n">
        <v>0</v>
      </c>
      <c r="J86" s="4" t="n">
        <v>23.0226178277603</v>
      </c>
    </row>
    <row r="87" customFormat="false" ht="15" hidden="false" customHeight="false" outlineLevel="0" collapsed="false">
      <c r="A87" s="0" t="n">
        <f aca="false">A86+1</f>
        <v>85</v>
      </c>
      <c r="B87" s="1" t="n">
        <f aca="false">B86+H87*1</f>
        <v>8.9408</v>
      </c>
      <c r="C87" s="1" t="n">
        <f aca="false">B87*$K$1</f>
        <v>20.0005696</v>
      </c>
      <c r="D87" s="1" t="n">
        <v>9.05226882543898</v>
      </c>
      <c r="E87" s="1" t="n">
        <f aca="false">D87*$K$1</f>
        <v>20.249925362507</v>
      </c>
      <c r="F87" s="0" t="n">
        <v>2</v>
      </c>
      <c r="G87" s="12" t="n">
        <f aca="false">B87*F87+5</f>
        <v>22.8816</v>
      </c>
      <c r="H87" s="3" t="n">
        <v>0</v>
      </c>
      <c r="I87" s="3" t="n">
        <v>0</v>
      </c>
      <c r="J87" s="4" t="n">
        <v>22.8918036024265</v>
      </c>
    </row>
    <row r="88" customFormat="false" ht="15" hidden="false" customHeight="false" outlineLevel="0" collapsed="false">
      <c r="A88" s="0" t="n">
        <f aca="false">A87+1</f>
        <v>86</v>
      </c>
      <c r="B88" s="1" t="n">
        <f aca="false">B82+H88*1</f>
        <v>10.4308</v>
      </c>
      <c r="C88" s="1" t="n">
        <f aca="false">B88*$K$1</f>
        <v>23.3336996</v>
      </c>
      <c r="D88" s="1" t="n">
        <v>9.05852105821332</v>
      </c>
      <c r="E88" s="1" t="n">
        <f aca="false">D88*$K$1</f>
        <v>20.2639116072232</v>
      </c>
      <c r="F88" s="0" t="n">
        <v>2</v>
      </c>
      <c r="G88" s="12" t="n">
        <f aca="false">B88*F88+5</f>
        <v>25.8616</v>
      </c>
      <c r="H88" s="3" t="n">
        <v>1.49</v>
      </c>
      <c r="I88" s="3" t="n">
        <v>0</v>
      </c>
      <c r="J88" s="4" t="n">
        <v>23.5474873553679</v>
      </c>
    </row>
    <row r="89" customFormat="false" ht="15" hidden="false" customHeight="false" outlineLevel="0" collapsed="false">
      <c r="A89" s="0" t="n">
        <f aca="false">A88+1</f>
        <v>87</v>
      </c>
      <c r="B89" s="1" t="n">
        <f aca="false">B88+H89*1</f>
        <v>11.9208</v>
      </c>
      <c r="C89" s="1" t="n">
        <f aca="false">B89*$K$1</f>
        <v>26.6668296</v>
      </c>
      <c r="D89" s="1" t="n">
        <v>9.29541587774685</v>
      </c>
      <c r="E89" s="1" t="n">
        <f aca="false">D89*$K$1</f>
        <v>20.7938453185197</v>
      </c>
      <c r="F89" s="0" t="n">
        <v>2</v>
      </c>
      <c r="G89" s="12" t="n">
        <f aca="false">B89*F89+5</f>
        <v>28.8416</v>
      </c>
      <c r="H89" s="3" t="n">
        <v>1.49</v>
      </c>
      <c r="I89" s="3" t="n">
        <v>0</v>
      </c>
      <c r="J89" s="4" t="n">
        <v>25.5817184117201</v>
      </c>
    </row>
    <row r="90" customFormat="false" ht="15" hidden="false" customHeight="false" outlineLevel="0" collapsed="false">
      <c r="A90" s="0" t="n">
        <f aca="false">A89+1</f>
        <v>88</v>
      </c>
      <c r="B90" s="1" t="n">
        <f aca="false">B89+H90*1</f>
        <v>13.4108</v>
      </c>
      <c r="C90" s="1" t="n">
        <f aca="false">B90*$K$1</f>
        <v>29.9999596</v>
      </c>
      <c r="D90" s="1" t="n">
        <v>9.88850318446339</v>
      </c>
      <c r="E90" s="1" t="n">
        <f aca="false">D90*$K$1</f>
        <v>22.1205816236446</v>
      </c>
      <c r="F90" s="0" t="n">
        <v>2</v>
      </c>
      <c r="G90" s="12" t="n">
        <f aca="false">B90*F90+5</f>
        <v>31.8216</v>
      </c>
      <c r="H90" s="3" t="n">
        <v>1.49</v>
      </c>
      <c r="I90" s="3" t="n">
        <v>0</v>
      </c>
      <c r="J90" s="4" t="n">
        <v>28.6920462196919</v>
      </c>
    </row>
    <row r="91" customFormat="false" ht="15" hidden="false" customHeight="false" outlineLevel="0" collapsed="false">
      <c r="A91" s="0" t="n">
        <f aca="false">A90+1</f>
        <v>89</v>
      </c>
      <c r="B91" s="1" t="n">
        <f aca="false">B90+H91*1</f>
        <v>14.9008</v>
      </c>
      <c r="C91" s="1" t="n">
        <f aca="false">B91*$K$1</f>
        <v>33.3330896</v>
      </c>
      <c r="D91" s="1" t="n">
        <v>10.8646218981313</v>
      </c>
      <c r="E91" s="1" t="n">
        <f aca="false">D91*$K$1</f>
        <v>24.3041591861197</v>
      </c>
      <c r="F91" s="0" t="n">
        <v>2</v>
      </c>
      <c r="G91" s="12" t="n">
        <f aca="false">B91*F91+5</f>
        <v>34.8016</v>
      </c>
      <c r="H91" s="3" t="n">
        <v>1.49</v>
      </c>
      <c r="I91" s="3" t="n">
        <v>0</v>
      </c>
      <c r="J91" s="4" t="n">
        <v>32.5026296876442</v>
      </c>
    </row>
    <row r="92" customFormat="false" ht="15" hidden="false" customHeight="false" outlineLevel="0" collapsed="false">
      <c r="A92" s="0" t="n">
        <f aca="false">A91+1</f>
        <v>90</v>
      </c>
      <c r="B92" s="1" t="n">
        <f aca="false">B91+H92*1</f>
        <v>16.3908</v>
      </c>
      <c r="C92" s="1" t="n">
        <f aca="false">B92*$K$1</f>
        <v>36.6662196</v>
      </c>
      <c r="D92" s="1" t="n">
        <v>12.1801345617258</v>
      </c>
      <c r="E92" s="1" t="n">
        <f aca="false">D92*$K$1</f>
        <v>27.2469610145806</v>
      </c>
      <c r="F92" s="0" t="n">
        <v>2</v>
      </c>
      <c r="G92" s="12" t="n">
        <f aca="false">B92*F92+5</f>
        <v>37.7816</v>
      </c>
      <c r="H92" s="3" t="n">
        <v>1.49</v>
      </c>
      <c r="I92" s="3" t="n">
        <v>0</v>
      </c>
      <c r="J92" s="4" t="n">
        <v>36.6489084088643</v>
      </c>
    </row>
    <row r="93" customFormat="false" ht="15" hidden="false" customHeight="false" outlineLevel="0" collapsed="false">
      <c r="A93" s="0" t="n">
        <f aca="false">A92+1</f>
        <v>91</v>
      </c>
      <c r="B93" s="1" t="n">
        <f aca="false">B92+H93*1</f>
        <v>17.8808</v>
      </c>
      <c r="C93" s="1" t="n">
        <f aca="false">B93*$K$1</f>
        <v>39.9993496</v>
      </c>
      <c r="D93" s="1" t="n">
        <v>13.7511896663284</v>
      </c>
      <c r="E93" s="1" t="n">
        <f aca="false">D93*$K$1</f>
        <v>30.7614112835766</v>
      </c>
      <c r="F93" s="0" t="n">
        <v>2</v>
      </c>
      <c r="G93" s="12" t="n">
        <f aca="false">B93*F93+5</f>
        <v>40.7616</v>
      </c>
      <c r="H93" s="3" t="n">
        <v>1.49</v>
      </c>
      <c r="I93" s="3" t="n">
        <v>0</v>
      </c>
      <c r="J93" s="4" t="n">
        <v>40.832536261127</v>
      </c>
    </row>
    <row r="94" customFormat="false" ht="15" hidden="false" customHeight="false" outlineLevel="0" collapsed="false">
      <c r="A94" s="0" t="n">
        <f aca="false">A93+1</f>
        <v>92</v>
      </c>
      <c r="B94" s="1" t="n">
        <f aca="false">B93-H94*1</f>
        <v>17.8808</v>
      </c>
      <c r="C94" s="1" t="n">
        <f aca="false">B94*$K$1</f>
        <v>39.9993496</v>
      </c>
      <c r="D94" s="1" t="n">
        <v>15.4308074612305</v>
      </c>
      <c r="E94" s="1" t="n">
        <f aca="false">D94*$K$1</f>
        <v>34.5187162907726</v>
      </c>
      <c r="F94" s="0" t="n">
        <v>2</v>
      </c>
      <c r="G94" s="12" t="n">
        <f aca="false">B94*F94+5</f>
        <v>40.7616</v>
      </c>
      <c r="H94" s="3" t="n">
        <v>0</v>
      </c>
      <c r="I94" s="3" t="n">
        <v>0</v>
      </c>
      <c r="J94" s="4" t="n">
        <v>44.1025459832089</v>
      </c>
    </row>
    <row r="95" customFormat="false" ht="15" hidden="false" customHeight="false" outlineLevel="0" collapsed="false">
      <c r="A95" s="0" t="n">
        <f aca="false">A94+1</f>
        <v>93</v>
      </c>
      <c r="B95" s="1" t="n">
        <f aca="false">B94-H95*1</f>
        <v>17.8808</v>
      </c>
      <c r="C95" s="1" t="n">
        <f aca="false">B95*$K$1</f>
        <v>39.9993496</v>
      </c>
      <c r="D95" s="1" t="n">
        <v>16.9507012095625</v>
      </c>
      <c r="E95" s="1" t="n">
        <f aca="false">D95*$K$1</f>
        <v>37.9187186057913</v>
      </c>
      <c r="F95" s="0" t="n">
        <v>2</v>
      </c>
      <c r="G95" s="12" t="n">
        <f aca="false">B95*F95+5</f>
        <v>40.7616</v>
      </c>
      <c r="H95" s="3" t="n">
        <v>0</v>
      </c>
      <c r="I95" s="3" t="n">
        <v>0</v>
      </c>
      <c r="J95" s="4" t="n">
        <v>45.7566580787545</v>
      </c>
    </row>
    <row r="96" customFormat="false" ht="15" hidden="false" customHeight="false" outlineLevel="0" collapsed="false">
      <c r="A96" s="0" t="n">
        <f aca="false">A95+1</f>
        <v>94</v>
      </c>
      <c r="B96" s="1" t="n">
        <f aca="false">B95-H96*1</f>
        <v>17.8808</v>
      </c>
      <c r="C96" s="1" t="n">
        <f aca="false">B96*$K$1</f>
        <v>39.9993496</v>
      </c>
      <c r="D96" s="1" t="n">
        <v>18.1190103360617</v>
      </c>
      <c r="E96" s="1" t="n">
        <f aca="false">D96*$K$1</f>
        <v>40.53222612177</v>
      </c>
      <c r="F96" s="0" t="n">
        <v>2</v>
      </c>
      <c r="G96" s="12" t="n">
        <f aca="false">B96*F96+5</f>
        <v>40.7616</v>
      </c>
      <c r="H96" s="3" t="n">
        <v>0</v>
      </c>
      <c r="I96" s="3" t="n">
        <v>0</v>
      </c>
      <c r="J96" s="4" t="n">
        <v>46.0616314190096</v>
      </c>
    </row>
    <row r="97" customFormat="false" ht="15" hidden="false" customHeight="false" outlineLevel="0" collapsed="false">
      <c r="A97" s="0" t="n">
        <f aca="false">A96+1</f>
        <v>95</v>
      </c>
      <c r="B97" s="1" t="n">
        <f aca="false">B96-H97*1</f>
        <v>17.8808</v>
      </c>
      <c r="C97" s="1" t="n">
        <f aca="false">B97*$K$1</f>
        <v>39.9993496</v>
      </c>
      <c r="D97" s="1" t="n">
        <v>18.8637116787756</v>
      </c>
      <c r="E97" s="1" t="n">
        <f aca="false">D97*$K$1</f>
        <v>42.198123025421</v>
      </c>
      <c r="F97" s="0" t="n">
        <v>2</v>
      </c>
      <c r="G97" s="12" t="n">
        <f aca="false">B97*F97+5</f>
        <v>40.7616</v>
      </c>
      <c r="H97" s="3" t="n">
        <v>0</v>
      </c>
      <c r="I97" s="3" t="n">
        <v>0</v>
      </c>
      <c r="J97" s="4" t="n">
        <v>45.4133151627532</v>
      </c>
    </row>
    <row r="98" customFormat="false" ht="15" hidden="false" customHeight="false" outlineLevel="0" collapsed="false">
      <c r="A98" s="0" t="n">
        <f aca="false">A97+1</f>
        <v>96</v>
      </c>
      <c r="B98" s="1" t="n">
        <f aca="false">B97-H98*1</f>
        <v>17.8808</v>
      </c>
      <c r="C98" s="1" t="n">
        <f aca="false">B98*$K$1</f>
        <v>39.9993496</v>
      </c>
      <c r="D98" s="1" t="n">
        <v>19.2046874997071</v>
      </c>
      <c r="E98" s="1" t="n">
        <f aca="false">D98*$K$1</f>
        <v>42.9608859368448</v>
      </c>
      <c r="F98" s="0" t="n">
        <v>2</v>
      </c>
      <c r="G98" s="12" t="n">
        <f aca="false">B98*F98+5</f>
        <v>40.7616</v>
      </c>
      <c r="H98" s="3" t="n">
        <v>0</v>
      </c>
      <c r="I98" s="3" t="n">
        <v>0</v>
      </c>
      <c r="J98" s="4" t="n">
        <v>44.2303899168193</v>
      </c>
    </row>
    <row r="99" customFormat="false" ht="15" hidden="false" customHeight="false" outlineLevel="0" collapsed="false">
      <c r="A99" s="0" t="n">
        <f aca="false">A98+1</f>
        <v>97</v>
      </c>
      <c r="B99" s="1" t="n">
        <f aca="false">B98-H99*1</f>
        <v>17.8808</v>
      </c>
      <c r="C99" s="1" t="n">
        <f aca="false">B99*$K$1</f>
        <v>39.9993496</v>
      </c>
      <c r="D99" s="1" t="n">
        <v>19.2202182832941</v>
      </c>
      <c r="E99" s="1" t="n">
        <f aca="false">D99*$K$1</f>
        <v>42.9956282997289</v>
      </c>
      <c r="F99" s="0" t="n">
        <v>2</v>
      </c>
      <c r="G99" s="12" t="n">
        <f aca="false">B99*F99+5</f>
        <v>40.7616</v>
      </c>
      <c r="H99" s="3" t="n">
        <v>0</v>
      </c>
      <c r="I99" s="3" t="n">
        <v>0</v>
      </c>
      <c r="J99" s="4" t="n">
        <v>42.8794773742605</v>
      </c>
    </row>
    <row r="100" customFormat="false" ht="15" hidden="false" customHeight="false" outlineLevel="0" collapsed="false">
      <c r="A100" s="0" t="n">
        <f aca="false">A99+1</f>
        <v>98</v>
      </c>
      <c r="B100" s="1" t="n">
        <f aca="false">B99-H100*1</f>
        <v>17.8808</v>
      </c>
      <c r="C100" s="1" t="n">
        <f aca="false">B100*$K$1</f>
        <v>39.9993496</v>
      </c>
      <c r="D100" s="1" t="n">
        <v>19.0151298402259</v>
      </c>
      <c r="E100" s="1" t="n">
        <f aca="false">D100*$K$1</f>
        <v>42.5368454525853</v>
      </c>
      <c r="F100" s="0" t="n">
        <v>2</v>
      </c>
      <c r="G100" s="12" t="n">
        <f aca="false">B100*F100+5</f>
        <v>40.7616</v>
      </c>
      <c r="H100" s="3" t="n">
        <v>0</v>
      </c>
      <c r="I100" s="3" t="n">
        <v>0</v>
      </c>
      <c r="J100" s="4" t="n">
        <v>41.6333228304112</v>
      </c>
    </row>
    <row r="101" customFormat="false" ht="15" hidden="false" customHeight="false" outlineLevel="0" collapsed="false">
      <c r="A101" s="0" t="n">
        <f aca="false">A100+1</f>
        <v>99</v>
      </c>
      <c r="B101" s="1" t="n">
        <f aca="false">B100-H101*1</f>
        <v>17.8808</v>
      </c>
      <c r="C101" s="1" t="n">
        <f aca="false">B101*$K$1</f>
        <v>39.9993496</v>
      </c>
      <c r="D101" s="1" t="n">
        <v>18.6951739405332</v>
      </c>
      <c r="E101" s="1" t="n">
        <f aca="false">D101*$K$1</f>
        <v>41.8211041049728</v>
      </c>
      <c r="F101" s="0" t="n">
        <v>2</v>
      </c>
      <c r="G101" s="12" t="n">
        <f aca="false">B101*F101+5</f>
        <v>40.7616</v>
      </c>
      <c r="H101" s="3" t="n">
        <v>0</v>
      </c>
      <c r="I101" s="3" t="n">
        <v>0</v>
      </c>
      <c r="J101" s="4" t="n">
        <v>40.6578718451963</v>
      </c>
    </row>
    <row r="102" customFormat="false" ht="15" hidden="false" customHeight="false" outlineLevel="0" collapsed="false">
      <c r="A102" s="0" t="n">
        <f aca="false">A101+1</f>
        <v>100</v>
      </c>
      <c r="B102" s="1" t="n">
        <f aca="false">B101-H102*1</f>
        <v>17.8808</v>
      </c>
      <c r="C102" s="1" t="n">
        <f aca="false">B102*$K$1</f>
        <v>39.9993496</v>
      </c>
      <c r="D102" s="1" t="n">
        <v>18.3497086679956</v>
      </c>
      <c r="E102" s="1" t="n">
        <f aca="false">D102*$K$1</f>
        <v>41.0482982903062</v>
      </c>
      <c r="F102" s="0" t="n">
        <v>2</v>
      </c>
      <c r="G102" s="12" t="n">
        <f aca="false">B102*F102+5</f>
        <v>40.7616</v>
      </c>
      <c r="H102" s="3" t="n">
        <v>0</v>
      </c>
      <c r="I102" s="3" t="n">
        <v>0</v>
      </c>
      <c r="J102" s="4" t="n">
        <v>40.0207916257896</v>
      </c>
    </row>
    <row r="103" customFormat="false" ht="15" hidden="false" customHeight="false" outlineLevel="0" collapsed="false">
      <c r="A103" s="0" t="n">
        <f aca="false">A102+1</f>
        <v>101</v>
      </c>
      <c r="B103" s="1" t="n">
        <f aca="false">B102-H103*1</f>
        <v>17.8808</v>
      </c>
      <c r="C103" s="1" t="n">
        <f aca="false">B103*$K$1</f>
        <v>39.9993496</v>
      </c>
      <c r="D103" s="1" t="n">
        <v>18.0427279707506</v>
      </c>
      <c r="E103" s="1" t="n">
        <f aca="false">D103*$K$1</f>
        <v>40.3615824705691</v>
      </c>
      <c r="F103" s="0" t="n">
        <v>2</v>
      </c>
      <c r="G103" s="12" t="n">
        <f aca="false">B103*F103+5</f>
        <v>40.7616</v>
      </c>
      <c r="H103" s="3" t="n">
        <v>0</v>
      </c>
      <c r="I103" s="3" t="n">
        <v>0</v>
      </c>
      <c r="J103" s="4" t="n">
        <v>39.7129941416113</v>
      </c>
    </row>
    <row r="104" customFormat="false" ht="15" hidden="false" customHeight="false" outlineLevel="0" collapsed="false">
      <c r="A104" s="0" t="n">
        <f aca="false">A103+1</f>
        <v>102</v>
      </c>
      <c r="B104" s="1" t="n">
        <f aca="false">B103-H104*1</f>
        <v>17.8808</v>
      </c>
      <c r="C104" s="1" t="n">
        <f aca="false">B104*$K$1</f>
        <v>39.9993496</v>
      </c>
      <c r="D104" s="1" t="n">
        <v>17.8109302743697</v>
      </c>
      <c r="E104" s="1" t="n">
        <f aca="false">D104*$K$1</f>
        <v>39.843051023765</v>
      </c>
      <c r="F104" s="0" t="n">
        <v>2</v>
      </c>
      <c r="G104" s="12" t="n">
        <f aca="false">B104*F104+5</f>
        <v>40.7616</v>
      </c>
      <c r="H104" s="3" t="n">
        <v>0</v>
      </c>
      <c r="I104" s="3" t="n">
        <v>0</v>
      </c>
      <c r="J104" s="4" t="n">
        <v>39.6754104592094</v>
      </c>
    </row>
    <row r="105" customFormat="false" ht="15" hidden="false" customHeight="false" outlineLevel="0" collapsed="false">
      <c r="A105" s="0" t="n">
        <f aca="false">A104+1</f>
        <v>103</v>
      </c>
      <c r="B105" s="1" t="n">
        <f aca="false">B104-H105*1</f>
        <v>17.8808</v>
      </c>
      <c r="C105" s="1" t="n">
        <f aca="false">B105*$K$1</f>
        <v>39.9993496</v>
      </c>
      <c r="D105" s="1" t="n">
        <v>17.6668155697189</v>
      </c>
      <c r="E105" s="1" t="n">
        <f aca="false">D105*$K$1</f>
        <v>39.5206664294612</v>
      </c>
      <c r="F105" s="0" t="n">
        <v>2</v>
      </c>
      <c r="G105" s="12" t="n">
        <f aca="false">B105*F105+5</f>
        <v>40.7616</v>
      </c>
      <c r="H105" s="3" t="n">
        <v>0</v>
      </c>
      <c r="I105" s="3" t="n">
        <v>0</v>
      </c>
      <c r="J105" s="4" t="n">
        <v>39.8249768684111</v>
      </c>
    </row>
    <row r="106" customFormat="false" ht="15" hidden="false" customHeight="false" outlineLevel="0" collapsed="false">
      <c r="A106" s="0" t="n">
        <f aca="false">A105+1</f>
        <v>104</v>
      </c>
      <c r="B106" s="1" t="n">
        <f aca="false">B105-H106*1</f>
        <v>17.8808</v>
      </c>
      <c r="C106" s="1" t="n">
        <f aca="false">B106*$K$1</f>
        <v>39.9993496</v>
      </c>
      <c r="D106" s="1" t="n">
        <v>17.6046544093404</v>
      </c>
      <c r="E106" s="1" t="n">
        <f aca="false">D106*$K$1</f>
        <v>39.3816119136945</v>
      </c>
      <c r="F106" s="0" t="n">
        <v>2</v>
      </c>
      <c r="G106" s="12" t="n">
        <f aca="false">B106*F106+5</f>
        <v>40.7616</v>
      </c>
      <c r="H106" s="3" t="n">
        <v>0</v>
      </c>
      <c r="I106" s="3" t="n">
        <v>0</v>
      </c>
      <c r="J106" s="4" t="n">
        <v>40.0759118545052</v>
      </c>
    </row>
    <row r="107" customFormat="false" ht="15" hidden="false" customHeight="false" outlineLevel="0" collapsed="false">
      <c r="A107" s="0" t="n">
        <f aca="false">A106+1</f>
        <v>105</v>
      </c>
      <c r="B107" s="1" t="n">
        <f aca="false">B101-H107*1</f>
        <v>16.3908</v>
      </c>
      <c r="C107" s="1" t="n">
        <f aca="false">B107*$K$1</f>
        <v>36.6662196</v>
      </c>
      <c r="D107" s="1" t="n">
        <v>17.5577547088817</v>
      </c>
      <c r="E107" s="1" t="n">
        <f aca="false">D107*$K$1</f>
        <v>39.2766972837684</v>
      </c>
      <c r="F107" s="0" t="n">
        <v>2</v>
      </c>
      <c r="G107" s="12" t="n">
        <f aca="false">B107*F107+5</f>
        <v>37.7816</v>
      </c>
      <c r="H107" s="3" t="n">
        <v>1.49</v>
      </c>
      <c r="I107" s="3" t="n">
        <v>0</v>
      </c>
      <c r="J107" s="4" t="n">
        <v>39.6094136623715</v>
      </c>
    </row>
    <row r="108" customFormat="false" ht="15" hidden="false" customHeight="false" outlineLevel="0" collapsed="false">
      <c r="A108" s="0" t="n">
        <f aca="false">A107+1</f>
        <v>106</v>
      </c>
      <c r="B108" s="1" t="n">
        <f aca="false">B107-H108*1</f>
        <v>14.9008</v>
      </c>
      <c r="C108" s="1" t="n">
        <f aca="false">B108*$K$1</f>
        <v>33.3330896</v>
      </c>
      <c r="D108" s="1" t="n">
        <v>17.3266514409231</v>
      </c>
      <c r="E108" s="1" t="n">
        <f aca="false">D108*$K$1</f>
        <v>38.759719273345</v>
      </c>
      <c r="F108" s="0" t="n">
        <v>2</v>
      </c>
      <c r="G108" s="12" t="n">
        <f aca="false">B108*F108+5</f>
        <v>34.8016</v>
      </c>
      <c r="H108" s="3" t="n">
        <v>1.49</v>
      </c>
      <c r="I108" s="3" t="n">
        <v>0</v>
      </c>
      <c r="J108" s="4" t="n">
        <v>37.7802190759198</v>
      </c>
    </row>
    <row r="109" customFormat="false" ht="15" hidden="false" customHeight="false" outlineLevel="0" collapsed="false">
      <c r="A109" s="0" t="n">
        <f aca="false">A108+1</f>
        <v>107</v>
      </c>
      <c r="B109" s="1" t="n">
        <f aca="false">B108-H109*1</f>
        <v>13.4108</v>
      </c>
      <c r="C109" s="1" t="n">
        <f aca="false">B109*$K$1</f>
        <v>29.9999596</v>
      </c>
      <c r="D109" s="1" t="n">
        <v>16.7695483521694</v>
      </c>
      <c r="E109" s="1" t="n">
        <f aca="false">D109*$K$1</f>
        <v>37.513479663803</v>
      </c>
      <c r="F109" s="0" t="n">
        <v>2</v>
      </c>
      <c r="G109" s="12" t="n">
        <f aca="false">B109*F109+5</f>
        <v>31.8216</v>
      </c>
      <c r="H109" s="3" t="n">
        <v>1.49</v>
      </c>
      <c r="I109" s="3" t="n">
        <v>0</v>
      </c>
      <c r="J109" s="4" t="n">
        <v>34.8525632795411</v>
      </c>
    </row>
    <row r="110" customFormat="false" ht="15" hidden="false" customHeight="false" outlineLevel="0" collapsed="false">
      <c r="A110" s="0" t="n">
        <f aca="false">A109+1</f>
        <v>108</v>
      </c>
      <c r="B110" s="1" t="n">
        <f aca="false">B109-H110*1</f>
        <v>11.9208</v>
      </c>
      <c r="C110" s="1" t="n">
        <f aca="false">B110*$K$1</f>
        <v>26.6668296</v>
      </c>
      <c r="D110" s="1" t="n">
        <v>15.8438601915802</v>
      </c>
      <c r="E110" s="1" t="n">
        <f aca="false">D110*$K$1</f>
        <v>35.4427152485649</v>
      </c>
      <c r="F110" s="0" t="n">
        <v>2</v>
      </c>
      <c r="G110" s="12" t="n">
        <f aca="false">B110*F110+5</f>
        <v>28.8416</v>
      </c>
      <c r="H110" s="3" t="n">
        <v>1.49</v>
      </c>
      <c r="I110" s="3" t="n">
        <v>0</v>
      </c>
      <c r="J110" s="4" t="n">
        <v>31.1802727692598</v>
      </c>
    </row>
    <row r="111" customFormat="false" ht="15" hidden="false" customHeight="false" outlineLevel="0" collapsed="false">
      <c r="A111" s="0" t="n">
        <f aca="false">A110+1</f>
        <v>109</v>
      </c>
      <c r="B111" s="1" t="n">
        <f aca="false">B110-H111*1</f>
        <v>10.4308</v>
      </c>
      <c r="C111" s="1" t="n">
        <f aca="false">B111*$K$1</f>
        <v>23.3336996</v>
      </c>
      <c r="D111" s="1" t="n">
        <v>14.5803466202377</v>
      </c>
      <c r="E111" s="1" t="n">
        <f aca="false">D111*$K$1</f>
        <v>32.6162353894717</v>
      </c>
      <c r="F111" s="0" t="n">
        <v>2</v>
      </c>
      <c r="G111" s="12" t="n">
        <f aca="false">B111*F111+5</f>
        <v>25.8616</v>
      </c>
      <c r="H111" s="3" t="n">
        <v>1.49</v>
      </c>
      <c r="I111" s="3" t="n">
        <v>0</v>
      </c>
      <c r="J111" s="4" t="n">
        <v>27.1202933772704</v>
      </c>
    </row>
    <row r="112" customFormat="false" ht="15" hidden="false" customHeight="false" outlineLevel="0" collapsed="false">
      <c r="A112" s="0" t="n">
        <f aca="false">A111+1</f>
        <v>110</v>
      </c>
      <c r="B112" s="1" t="n">
        <f aca="false">B111-H112*1</f>
        <v>8.9408</v>
      </c>
      <c r="C112" s="1" t="n">
        <f aca="false">B112*$K$1</f>
        <v>20.0005696</v>
      </c>
      <c r="D112" s="1" t="n">
        <v>13.0539758015219</v>
      </c>
      <c r="E112" s="1" t="n">
        <f aca="false">D112*$K$1</f>
        <v>29.2017438680045</v>
      </c>
      <c r="F112" s="0" t="n">
        <v>2</v>
      </c>
      <c r="G112" s="12" t="n">
        <f aca="false">B112*F112+5</f>
        <v>22.8816</v>
      </c>
      <c r="H112" s="3" t="n">
        <v>1.49</v>
      </c>
      <c r="I112" s="3" t="n">
        <v>0</v>
      </c>
      <c r="J112" s="4" t="n">
        <v>22.9742329658518</v>
      </c>
    </row>
    <row r="113" customFormat="false" ht="15" hidden="false" customHeight="false" outlineLevel="0" collapsed="false">
      <c r="A113" s="0" t="n">
        <f aca="false">A112+1</f>
        <v>111</v>
      </c>
      <c r="B113" s="1" t="n">
        <f aca="false">B112-H113*1</f>
        <v>8.9408</v>
      </c>
      <c r="C113" s="1" t="n">
        <f aca="false">B113*$K$1</f>
        <v>20.0005696</v>
      </c>
      <c r="D113" s="1" t="n">
        <v>11.4069505416222</v>
      </c>
      <c r="E113" s="1" t="n">
        <f aca="false">D113*$K$1</f>
        <v>25.5173483616089</v>
      </c>
      <c r="F113" s="0" t="n">
        <v>2</v>
      </c>
      <c r="G113" s="12" t="n">
        <f aca="false">B113*F113+5</f>
        <v>22.8816</v>
      </c>
      <c r="H113" s="3" t="n">
        <v>0</v>
      </c>
      <c r="I113" s="3" t="n">
        <v>0</v>
      </c>
      <c r="J113" s="4" t="n">
        <v>19.7030853062706</v>
      </c>
    </row>
    <row r="114" customFormat="false" ht="15" hidden="false" customHeight="false" outlineLevel="0" collapsed="false">
      <c r="A114" s="0" t="n">
        <f aca="false">A113+1</f>
        <v>112</v>
      </c>
      <c r="B114" s="1" t="n">
        <f aca="false">B113-H114*1</f>
        <v>8.9408</v>
      </c>
      <c r="C114" s="1" t="n">
        <f aca="false">B114*$K$1</f>
        <v>20.0005696</v>
      </c>
      <c r="D114" s="1" t="n">
        <v>9.90630139140174</v>
      </c>
      <c r="E114" s="1" t="n">
        <f aca="false">D114*$K$1</f>
        <v>22.1603962125657</v>
      </c>
      <c r="F114" s="0" t="n">
        <v>2</v>
      </c>
      <c r="G114" s="12" t="n">
        <f aca="false">B114*F114+5</f>
        <v>22.8816</v>
      </c>
      <c r="H114" s="3" t="n">
        <v>0</v>
      </c>
      <c r="I114" s="3" t="n">
        <v>0</v>
      </c>
      <c r="J114" s="4" t="n">
        <v>18.0220771500403</v>
      </c>
    </row>
    <row r="115" customFormat="false" ht="15" hidden="false" customHeight="false" outlineLevel="0" collapsed="false">
      <c r="A115" s="0" t="n">
        <f aca="false">A114+1</f>
        <v>113</v>
      </c>
      <c r="B115" s="1" t="n">
        <f aca="false">B114-H115*1</f>
        <v>8.9408</v>
      </c>
      <c r="C115" s="1" t="n">
        <f aca="false">B115*$K$1</f>
        <v>20.0005696</v>
      </c>
      <c r="D115" s="1" t="n">
        <v>8.74519453708184</v>
      </c>
      <c r="E115" s="1" t="n">
        <f aca="false">D115*$K$1</f>
        <v>19.5630001794521</v>
      </c>
      <c r="F115" s="0" t="n">
        <v>2</v>
      </c>
      <c r="G115" s="12" t="n">
        <f aca="false">B115*F115+5</f>
        <v>22.8816</v>
      </c>
      <c r="H115" s="3" t="n">
        <v>0</v>
      </c>
      <c r="I115" s="3" t="n">
        <v>0</v>
      </c>
      <c r="J115" s="4" t="n">
        <v>17.6772713598582</v>
      </c>
    </row>
    <row r="116" customFormat="false" ht="15" hidden="false" customHeight="false" outlineLevel="0" collapsed="false">
      <c r="A116" s="0" t="n">
        <f aca="false">A115+1</f>
        <v>114</v>
      </c>
      <c r="B116" s="1" t="n">
        <f aca="false">B115-H116*1</f>
        <v>8.9408</v>
      </c>
      <c r="C116" s="1" t="n">
        <f aca="false">B116*$K$1</f>
        <v>20.0005696</v>
      </c>
      <c r="D116" s="1" t="n">
        <v>7.9984656665316</v>
      </c>
      <c r="E116" s="1" t="n">
        <f aca="false">D116*$K$1</f>
        <v>17.8925676960312</v>
      </c>
      <c r="F116" s="0" t="n">
        <v>2</v>
      </c>
      <c r="G116" s="12" t="n">
        <f aca="false">B116*F116+5</f>
        <v>22.8816</v>
      </c>
      <c r="H116" s="3" t="n">
        <v>0</v>
      </c>
      <c r="I116" s="3" t="n">
        <v>0</v>
      </c>
      <c r="J116" s="4" t="n">
        <v>18.2834935092524</v>
      </c>
    </row>
    <row r="117" customFormat="false" ht="15" hidden="false" customHeight="false" outlineLevel="0" collapsed="false">
      <c r="A117" s="0" t="n">
        <f aca="false">A116+1</f>
        <v>115</v>
      </c>
      <c r="B117" s="1" t="n">
        <f aca="false">B116-H117*1</f>
        <v>8.9408</v>
      </c>
      <c r="C117" s="1" t="n">
        <f aca="false">B117*$K$1</f>
        <v>20.0005696</v>
      </c>
      <c r="D117" s="1" t="n">
        <v>7.64960250738754</v>
      </c>
      <c r="E117" s="1" t="n">
        <f aca="false">D117*$K$1</f>
        <v>17.1121608090259</v>
      </c>
      <c r="F117" s="0" t="n">
        <v>2</v>
      </c>
      <c r="G117" s="12" t="n">
        <f aca="false">B117*F117+5</f>
        <v>22.8816</v>
      </c>
      <c r="H117" s="3" t="n">
        <v>0</v>
      </c>
      <c r="I117" s="3" t="n">
        <v>0</v>
      </c>
      <c r="J117" s="4" t="n">
        <v>19.4295813096689</v>
      </c>
    </row>
    <row r="118" customFormat="false" ht="15" hidden="false" customHeight="false" outlineLevel="0" collapsed="false">
      <c r="A118" s="0" t="n">
        <f aca="false">A117+1</f>
        <v>116</v>
      </c>
      <c r="B118" s="1" t="n">
        <f aca="false">B117-H118*1</f>
        <v>8.9408</v>
      </c>
      <c r="C118" s="1" t="n">
        <f aca="false">B118*$K$1</f>
        <v>20.0005696</v>
      </c>
      <c r="D118" s="1" t="n">
        <v>7.62352599553711</v>
      </c>
      <c r="E118" s="1" t="n">
        <f aca="false">D118*$K$1</f>
        <v>17.0538276520165</v>
      </c>
      <c r="F118" s="0" t="n">
        <v>2</v>
      </c>
      <c r="G118" s="12" t="n">
        <f aca="false">B118*F118+5</f>
        <v>22.8816</v>
      </c>
      <c r="H118" s="3" t="n">
        <v>0</v>
      </c>
      <c r="I118" s="3" t="n">
        <v>0</v>
      </c>
      <c r="J118" s="4" t="n">
        <v>20.7531062736371</v>
      </c>
    </row>
    <row r="119" customFormat="false" ht="15" hidden="false" customHeight="false" outlineLevel="0" collapsed="false">
      <c r="A119" s="0" t="n">
        <f aca="false">A118+1</f>
        <v>117</v>
      </c>
      <c r="B119" s="1" t="n">
        <f aca="false">B118-H119*1</f>
        <v>8.9408</v>
      </c>
      <c r="C119" s="1" t="n">
        <f aca="false">B119*$K$1</f>
        <v>20.0005696</v>
      </c>
      <c r="D119" s="1" t="n">
        <v>7.8179836887572</v>
      </c>
      <c r="E119" s="1" t="n">
        <f aca="false">D119*$K$1</f>
        <v>17.4888295117499</v>
      </c>
      <c r="F119" s="0" t="n">
        <v>2</v>
      </c>
      <c r="G119" s="12" t="n">
        <f aca="false">B119*F119+5</f>
        <v>22.8816</v>
      </c>
      <c r="H119" s="3" t="n">
        <v>0</v>
      </c>
      <c r="I119" s="3" t="n">
        <v>0</v>
      </c>
      <c r="J119" s="4" t="n">
        <v>21.9826131067957</v>
      </c>
    </row>
    <row r="120" customFormat="false" ht="15" hidden="false" customHeight="false" outlineLevel="0" collapsed="false">
      <c r="A120" s="0" t="n">
        <f aca="false">A119+1</f>
        <v>118</v>
      </c>
      <c r="B120" s="1" t="n">
        <f aca="false">B119-H120*1</f>
        <v>8.9408</v>
      </c>
      <c r="C120" s="1" t="n">
        <f aca="false">B120*$K$1</f>
        <v>20.0005696</v>
      </c>
      <c r="D120" s="1" t="n">
        <v>8.12896222477754</v>
      </c>
      <c r="E120" s="1" t="n">
        <f aca="false">D120*$K$1</f>
        <v>18.1844884968274</v>
      </c>
      <c r="F120" s="0" t="n">
        <v>2</v>
      </c>
      <c r="G120" s="12" t="n">
        <f aca="false">B120*F120+5</f>
        <v>22.8816</v>
      </c>
      <c r="H120" s="3" t="n">
        <v>0</v>
      </c>
      <c r="I120" s="3" t="n">
        <v>0</v>
      </c>
      <c r="J120" s="4" t="n">
        <v>22.9512929111261</v>
      </c>
    </row>
    <row r="121" customFormat="false" ht="15" hidden="false" customHeight="false" outlineLevel="0" collapsed="false">
      <c r="A121" s="0" t="n">
        <f aca="false">A120+1</f>
        <v>119</v>
      </c>
      <c r="B121" s="1" t="n">
        <f aca="false">B120-H121*1</f>
        <v>8.9408</v>
      </c>
      <c r="C121" s="1" t="n">
        <f aca="false">B121*$K$1</f>
        <v>20.0005696</v>
      </c>
      <c r="D121" s="1" t="n">
        <v>8.46800262786608</v>
      </c>
      <c r="E121" s="1" t="n">
        <f aca="false">D121*$K$1</f>
        <v>18.9429218785364</v>
      </c>
      <c r="F121" s="0" t="n">
        <v>2</v>
      </c>
      <c r="G121" s="12" t="n">
        <f aca="false">B121*F121+5</f>
        <v>22.8816</v>
      </c>
      <c r="H121" s="3" t="n">
        <v>0</v>
      </c>
      <c r="I121" s="3" t="n">
        <v>0</v>
      </c>
      <c r="J121" s="4" t="n">
        <v>23.5893108271716</v>
      </c>
    </row>
    <row r="122" customFormat="false" ht="15" hidden="false" customHeight="false" outlineLevel="0" collapsed="false">
      <c r="A122" s="0" t="n">
        <f aca="false">A121+1</f>
        <v>120</v>
      </c>
      <c r="B122" s="1" t="n">
        <f aca="false">B121-H122*1</f>
        <v>8.9408</v>
      </c>
      <c r="C122" s="1" t="n">
        <f aca="false">B122*$K$1</f>
        <v>20.0005696</v>
      </c>
      <c r="D122" s="1" t="n">
        <v>8.77130288411941</v>
      </c>
      <c r="E122" s="1" t="n">
        <f aca="false">D122*$K$1</f>
        <v>19.6214045517751</v>
      </c>
      <c r="F122" s="0" t="n">
        <v>2</v>
      </c>
      <c r="G122" s="12" t="n">
        <f aca="false">B122*F122+5</f>
        <v>22.8816</v>
      </c>
      <c r="H122" s="3" t="n">
        <v>0</v>
      </c>
      <c r="I122" s="3" t="n">
        <v>0</v>
      </c>
      <c r="J122" s="4" t="n">
        <v>23.9030618040431</v>
      </c>
    </row>
    <row r="123" customFormat="false" ht="15" hidden="false" customHeight="false" outlineLevel="0" collapsed="false">
      <c r="A123" s="0" t="n">
        <f aca="false">A122+1</f>
        <v>121</v>
      </c>
      <c r="B123" s="1" t="n">
        <f aca="false">B122-H123*1</f>
        <v>8.9408</v>
      </c>
      <c r="C123" s="1" t="n">
        <f aca="false">B123*$K$1</f>
        <v>20.0005696</v>
      </c>
      <c r="D123" s="1" t="n">
        <v>9.00185165851</v>
      </c>
      <c r="E123" s="1" t="n">
        <f aca="false">D123*$K$1</f>
        <v>20.1371421600869</v>
      </c>
      <c r="F123" s="0" t="n">
        <v>2</v>
      </c>
      <c r="G123" s="12" t="n">
        <f aca="false">B123*F123+5</f>
        <v>22.8816</v>
      </c>
      <c r="H123" s="3" t="n">
        <v>0</v>
      </c>
      <c r="I123" s="3" t="n">
        <v>0</v>
      </c>
      <c r="J123" s="4" t="n">
        <v>23.9490028262915</v>
      </c>
    </row>
    <row r="124" customFormat="false" ht="15" hidden="false" customHeight="false" outlineLevel="0" collapsed="false">
      <c r="A124" s="0" t="n">
        <f aca="false">A123+1</f>
        <v>122</v>
      </c>
      <c r="B124" s="1" t="n">
        <f aca="false">B123-H124*1</f>
        <v>8.9408</v>
      </c>
      <c r="C124" s="1" t="n">
        <f aca="false">B124*$K$1</f>
        <v>20.0005696</v>
      </c>
      <c r="D124" s="1" t="n">
        <v>9.1465480369102</v>
      </c>
      <c r="E124" s="1" t="n">
        <f aca="false">D124*$K$1</f>
        <v>20.4608279585681</v>
      </c>
      <c r="F124" s="0" t="n">
        <v>2</v>
      </c>
      <c r="G124" s="12" t="n">
        <f aca="false">B124*F124+5</f>
        <v>22.8816</v>
      </c>
      <c r="H124" s="3" t="n">
        <v>0</v>
      </c>
      <c r="I124" s="3" t="n">
        <v>0</v>
      </c>
      <c r="J124" s="4" t="n">
        <v>23.808060265595</v>
      </c>
    </row>
    <row r="125" customFormat="false" ht="15" hidden="false" customHeight="false" outlineLevel="0" collapsed="false">
      <c r="A125" s="0" t="n">
        <f aca="false">A124+1</f>
        <v>123</v>
      </c>
      <c r="B125" s="1" t="n">
        <f aca="false">B124-H125*1</f>
        <v>8.9408</v>
      </c>
      <c r="C125" s="1" t="n">
        <f aca="false">B125*$K$1</f>
        <v>20.0005696</v>
      </c>
      <c r="D125" s="1" t="n">
        <v>9.21042419213955</v>
      </c>
      <c r="E125" s="1" t="n">
        <f aca="false">D125*$K$1</f>
        <v>20.6037189178162</v>
      </c>
      <c r="F125" s="0" t="n">
        <v>2</v>
      </c>
      <c r="G125" s="12" t="n">
        <f aca="false">B125*F125+5</f>
        <v>22.8816</v>
      </c>
      <c r="H125" s="3" t="n">
        <v>0</v>
      </c>
      <c r="I125" s="3" t="n">
        <v>0</v>
      </c>
      <c r="J125" s="4" t="n">
        <v>23.5645402666282</v>
      </c>
    </row>
    <row r="126" customFormat="false" ht="15" hidden="false" customHeight="false" outlineLevel="0" collapsed="false">
      <c r="A126" s="0" t="n">
        <f aca="false">A125+1</f>
        <v>124</v>
      </c>
      <c r="B126" s="1" t="n">
        <f aca="false">B120+H126*1</f>
        <v>10.9408</v>
      </c>
      <c r="C126" s="1" t="n">
        <f aca="false">B126*$K$1</f>
        <v>24.4745696</v>
      </c>
      <c r="D126" s="1" t="n">
        <v>9.27652254082019</v>
      </c>
      <c r="E126" s="1" t="n">
        <f aca="false">D126*$K$1</f>
        <v>20.7515809238148</v>
      </c>
      <c r="F126" s="0" t="n">
        <v>2</v>
      </c>
      <c r="G126" s="12" t="n">
        <f aca="false">B126*F126+5</f>
        <v>26.8816</v>
      </c>
      <c r="H126" s="3" t="n">
        <v>2</v>
      </c>
      <c r="I126" s="3" t="n">
        <v>0</v>
      </c>
      <c r="J126" s="4" t="n">
        <v>24.2914502510898</v>
      </c>
    </row>
    <row r="127" customFormat="false" ht="15" hidden="false" customHeight="false" outlineLevel="0" collapsed="false">
      <c r="A127" s="0" t="n">
        <f aca="false">A126+1</f>
        <v>125</v>
      </c>
      <c r="B127" s="1" t="n">
        <f aca="false">B126+H127*1</f>
        <v>12.9408</v>
      </c>
      <c r="C127" s="1" t="n">
        <f aca="false">B127*$K$1</f>
        <v>28.9485696</v>
      </c>
      <c r="D127" s="1" t="n">
        <v>9.60458687416841</v>
      </c>
      <c r="E127" s="1" t="n">
        <f aca="false">D127*$K$1</f>
        <v>21.4854608375147</v>
      </c>
      <c r="F127" s="0" t="n">
        <v>2</v>
      </c>
      <c r="G127" s="12" t="n">
        <f aca="false">B127*F127+5</f>
        <v>30.8816</v>
      </c>
      <c r="H127" s="3" t="n">
        <v>2</v>
      </c>
      <c r="I127" s="3" t="n">
        <v>0</v>
      </c>
      <c r="J127" s="4" t="n">
        <v>26.8362566802782</v>
      </c>
    </row>
    <row r="128" customFormat="false" ht="15" hidden="false" customHeight="false" outlineLevel="0" collapsed="false">
      <c r="A128" s="0" t="n">
        <f aca="false">A127+1</f>
        <v>126</v>
      </c>
      <c r="B128" s="1" t="n">
        <f aca="false">B127+H128*1</f>
        <v>14.9408</v>
      </c>
      <c r="C128" s="1" t="n">
        <f aca="false">B128*$K$1</f>
        <v>33.4225696</v>
      </c>
      <c r="D128" s="1" t="n">
        <v>10.3772225036085</v>
      </c>
      <c r="E128" s="1" t="n">
        <f aca="false">D128*$K$1</f>
        <v>23.2138467405722</v>
      </c>
      <c r="F128" s="0" t="n">
        <v>2</v>
      </c>
      <c r="G128" s="12" t="n">
        <f aca="false">B128*F128+5</f>
        <v>34.8816</v>
      </c>
      <c r="H128" s="3" t="n">
        <v>2</v>
      </c>
      <c r="I128" s="3" t="n">
        <v>0</v>
      </c>
      <c r="J128" s="4" t="n">
        <v>30.8335821811472</v>
      </c>
    </row>
    <row r="129" customFormat="false" ht="15" hidden="false" customHeight="false" outlineLevel="0" collapsed="false">
      <c r="A129" s="0" t="n">
        <f aca="false">A128+1</f>
        <v>127</v>
      </c>
      <c r="B129" s="1" t="n">
        <f aca="false">B128+H129*1</f>
        <v>16.9408</v>
      </c>
      <c r="C129" s="1" t="n">
        <f aca="false">B129*$K$1</f>
        <v>37.8965696</v>
      </c>
      <c r="D129" s="1" t="n">
        <v>11.6452889848927</v>
      </c>
      <c r="E129" s="1" t="n">
        <f aca="false">D129*$K$1</f>
        <v>26.050511459205</v>
      </c>
      <c r="F129" s="0" t="n">
        <v>2</v>
      </c>
      <c r="G129" s="12" t="n">
        <f aca="false">B129*F129+5</f>
        <v>38.8816</v>
      </c>
      <c r="H129" s="3" t="n">
        <v>2</v>
      </c>
      <c r="I129" s="3" t="n">
        <v>0</v>
      </c>
      <c r="J129" s="4" t="n">
        <v>35.8048485392519</v>
      </c>
    </row>
    <row r="130" customFormat="false" ht="15" hidden="false" customHeight="false" outlineLevel="0" collapsed="false">
      <c r="A130" s="0" t="n">
        <f aca="false">A129+1</f>
        <v>128</v>
      </c>
      <c r="B130" s="1" t="n">
        <f aca="false">B129+H130*1</f>
        <v>18.9408</v>
      </c>
      <c r="C130" s="1" t="n">
        <f aca="false">B130*$K$1</f>
        <v>42.3705696</v>
      </c>
      <c r="D130" s="1" t="n">
        <v>13.363164203224</v>
      </c>
      <c r="E130" s="1" t="n">
        <f aca="false">D130*$K$1</f>
        <v>29.8933983226121</v>
      </c>
      <c r="F130" s="0" t="n">
        <v>2</v>
      </c>
      <c r="G130" s="12" t="n">
        <f aca="false">B130*F130+5</f>
        <v>42.8816</v>
      </c>
      <c r="H130" s="3" t="n">
        <v>2</v>
      </c>
      <c r="I130" s="3" t="n">
        <v>0</v>
      </c>
      <c r="J130" s="4" t="n">
        <v>41.2726057378352</v>
      </c>
    </row>
    <row r="131" customFormat="false" ht="15" hidden="false" customHeight="false" outlineLevel="0" collapsed="false">
      <c r="A131" s="0" t="n">
        <f aca="false">A130+1</f>
        <v>129</v>
      </c>
      <c r="B131" s="1" t="n">
        <f aca="false">B130+H131*1</f>
        <v>18.9408</v>
      </c>
      <c r="C131" s="1" t="n">
        <f aca="false">B131*$K$1</f>
        <v>42.3705696</v>
      </c>
      <c r="D131" s="1" t="n">
        <v>15.2696168052269</v>
      </c>
      <c r="E131" s="1" t="n">
        <f aca="false">D131*$K$1</f>
        <v>34.1581327932926</v>
      </c>
      <c r="F131" s="0" t="n">
        <v>2</v>
      </c>
      <c r="G131" s="12" t="n">
        <f aca="false">B131*F131+5</f>
        <v>42.8816</v>
      </c>
      <c r="H131" s="3" t="n">
        <v>0</v>
      </c>
      <c r="I131" s="3" t="n">
        <v>0</v>
      </c>
      <c r="J131" s="4" t="n">
        <v>45.8968150290189</v>
      </c>
    </row>
    <row r="132" customFormat="false" ht="15" hidden="false" customHeight="false" outlineLevel="0" collapsed="false">
      <c r="A132" s="0" t="n">
        <f aca="false">A131+1</f>
        <v>130</v>
      </c>
      <c r="B132" s="1" t="n">
        <f aca="false">B131+H132*1</f>
        <v>18.9408</v>
      </c>
      <c r="C132" s="1" t="n">
        <f aca="false">B132*$K$1</f>
        <v>42.3705696</v>
      </c>
      <c r="D132" s="1" t="n">
        <v>17.1752685888657</v>
      </c>
      <c r="E132" s="1" t="n">
        <f aca="false">D132*$K$1</f>
        <v>38.4210758332926</v>
      </c>
      <c r="F132" s="0" t="n">
        <v>2</v>
      </c>
      <c r="G132" s="12" t="n">
        <f aca="false">B132*F132+5</f>
        <v>42.8816</v>
      </c>
      <c r="H132" s="3" t="n">
        <v>0</v>
      </c>
      <c r="I132" s="3" t="n">
        <v>0</v>
      </c>
      <c r="J132" s="4" t="n">
        <v>48.6151723319726</v>
      </c>
    </row>
    <row r="133" customFormat="false" ht="15" hidden="false" customHeight="false" outlineLevel="0" collapsed="false">
      <c r="A133" s="0" t="n">
        <f aca="false">A132+1</f>
        <v>131</v>
      </c>
      <c r="B133" s="1" t="n">
        <f aca="false">B132+H133*1</f>
        <v>18.9408</v>
      </c>
      <c r="C133" s="1" t="n">
        <f aca="false">B133*$K$1</f>
        <v>42.3705696</v>
      </c>
      <c r="D133" s="1" t="n">
        <v>18.7982700889703</v>
      </c>
      <c r="E133" s="1" t="n">
        <f aca="false">D133*$K$1</f>
        <v>42.0517301890266</v>
      </c>
      <c r="F133" s="0" t="n">
        <v>2</v>
      </c>
      <c r="G133" s="12" t="n">
        <f aca="false">B133*F133+5</f>
        <v>42.8816</v>
      </c>
      <c r="H133" s="3" t="n">
        <v>0</v>
      </c>
      <c r="I133" s="3" t="n">
        <v>0</v>
      </c>
      <c r="J133" s="4" t="n">
        <v>49.5189176493682</v>
      </c>
    </row>
    <row r="134" customFormat="false" ht="15" hidden="false" customHeight="false" outlineLevel="0" collapsed="false">
      <c r="A134" s="0" t="n">
        <f aca="false">A133+1</f>
        <v>132</v>
      </c>
      <c r="B134" s="1" t="n">
        <f aca="false">B133+H134*1</f>
        <v>18.9408</v>
      </c>
      <c r="C134" s="1" t="n">
        <f aca="false">B134*$K$1</f>
        <v>42.3705696</v>
      </c>
      <c r="D134" s="1" t="n">
        <v>19.9089732400594</v>
      </c>
      <c r="E134" s="1" t="n">
        <f aca="false">D134*$K$1</f>
        <v>44.5363731380129</v>
      </c>
      <c r="F134" s="0" t="n">
        <v>2</v>
      </c>
      <c r="G134" s="12" t="n">
        <f aca="false">B134*F134+5</f>
        <v>42.8816</v>
      </c>
      <c r="H134" s="3" t="n">
        <v>0</v>
      </c>
      <c r="I134" s="3" t="n">
        <v>0</v>
      </c>
      <c r="J134" s="4" t="n">
        <v>49.0567571825065</v>
      </c>
    </row>
    <row r="135" customFormat="false" ht="15" hidden="false" customHeight="false" outlineLevel="0" collapsed="false">
      <c r="A135" s="0" t="n">
        <f aca="false">A134+1</f>
        <v>133</v>
      </c>
      <c r="B135" s="1" t="n">
        <f aca="false">B134+H135*1</f>
        <v>18.9408</v>
      </c>
      <c r="C135" s="1" t="n">
        <f aca="false">B135*$K$1</f>
        <v>42.3705696</v>
      </c>
      <c r="D135" s="1" t="n">
        <v>20.4976228573664</v>
      </c>
      <c r="E135" s="1" t="n">
        <f aca="false">D135*$K$1</f>
        <v>45.8531823319286</v>
      </c>
      <c r="F135" s="0" t="n">
        <v>2</v>
      </c>
      <c r="G135" s="12" t="n">
        <f aca="false">B135*F135+5</f>
        <v>42.8816</v>
      </c>
      <c r="H135" s="3" t="n">
        <v>0</v>
      </c>
      <c r="I135" s="3" t="n">
        <v>0</v>
      </c>
      <c r="J135" s="4" t="n">
        <v>47.7534927895756</v>
      </c>
    </row>
    <row r="136" customFormat="false" ht="15" hidden="false" customHeight="false" outlineLevel="0" collapsed="false">
      <c r="A136" s="0" t="n">
        <f aca="false">A135+1</f>
        <v>134</v>
      </c>
      <c r="B136" s="1" t="n">
        <f aca="false">B135+H136*1</f>
        <v>18.9408</v>
      </c>
      <c r="C136" s="1" t="n">
        <f aca="false">B136*$K$1</f>
        <v>42.3705696</v>
      </c>
      <c r="D136" s="1" t="n">
        <v>20.6416734122697</v>
      </c>
      <c r="E136" s="1" t="n">
        <f aca="false">D136*$K$1</f>
        <v>46.1754234232473</v>
      </c>
      <c r="F136" s="0" t="n">
        <v>2</v>
      </c>
      <c r="G136" s="12" t="n">
        <f aca="false">B136*F136+5</f>
        <v>42.8816</v>
      </c>
      <c r="H136" s="3" t="n">
        <v>0</v>
      </c>
      <c r="I136" s="3" t="n">
        <v>0</v>
      </c>
      <c r="J136" s="4" t="n">
        <v>46.0961826143018</v>
      </c>
    </row>
    <row r="137" customFormat="false" ht="15" hidden="false" customHeight="false" outlineLevel="0" collapsed="false">
      <c r="A137" s="0" t="n">
        <f aca="false">A136+1</f>
        <v>135</v>
      </c>
      <c r="B137" s="1" t="n">
        <f aca="false">B136+H137*1</f>
        <v>18.9408</v>
      </c>
      <c r="C137" s="1" t="n">
        <f aca="false">B137*$K$1</f>
        <v>42.3705696</v>
      </c>
      <c r="D137" s="1" t="n">
        <v>20.4645676618486</v>
      </c>
      <c r="E137" s="1" t="n">
        <f aca="false">D137*$K$1</f>
        <v>45.7792378595553</v>
      </c>
      <c r="F137" s="0" t="n">
        <v>2</v>
      </c>
      <c r="G137" s="12" t="n">
        <f aca="false">B137*F137+5</f>
        <v>42.8816</v>
      </c>
      <c r="H137" s="3" t="n">
        <v>0</v>
      </c>
      <c r="I137" s="3" t="n">
        <v>0</v>
      </c>
      <c r="J137" s="4" t="n">
        <v>44.4682258806618</v>
      </c>
    </row>
    <row r="138" customFormat="false" ht="15" hidden="false" customHeight="false" outlineLevel="0" collapsed="false">
      <c r="A138" s="0" t="n">
        <f aca="false">A137+1</f>
        <v>136</v>
      </c>
      <c r="B138" s="1" t="n">
        <f aca="false">B137+H138*1</f>
        <v>18.9408</v>
      </c>
      <c r="C138" s="1" t="n">
        <f aca="false">B138*$K$1</f>
        <v>42.3705696</v>
      </c>
      <c r="D138" s="1" t="n">
        <v>20.1007101661934</v>
      </c>
      <c r="E138" s="1" t="n">
        <f aca="false">D138*$K$1</f>
        <v>44.9652886417746</v>
      </c>
      <c r="F138" s="0" t="n">
        <v>2</v>
      </c>
      <c r="G138" s="12" t="n">
        <f aca="false">B138*F138+5</f>
        <v>42.8816</v>
      </c>
      <c r="H138" s="3" t="n">
        <v>0</v>
      </c>
      <c r="I138" s="3" t="n">
        <v>0</v>
      </c>
      <c r="J138" s="4" t="n">
        <v>43.1218626259379</v>
      </c>
    </row>
    <row r="139" customFormat="false" ht="15" hidden="false" customHeight="false" outlineLevel="0" collapsed="false">
      <c r="A139" s="0" t="n">
        <f aca="false">A138+1</f>
        <v>137</v>
      </c>
      <c r="B139" s="1" t="n">
        <f aca="false">B138+H139*1</f>
        <v>18.9408</v>
      </c>
      <c r="C139" s="1" t="n">
        <f aca="false">B139*$K$1</f>
        <v>42.3705696</v>
      </c>
      <c r="D139" s="1" t="n">
        <v>19.6702281290334</v>
      </c>
      <c r="E139" s="1" t="n">
        <f aca="false">D139*$K$1</f>
        <v>44.0023003246477</v>
      </c>
      <c r="F139" s="0" t="n">
        <v>2</v>
      </c>
      <c r="G139" s="12" t="n">
        <f aca="false">B139*F139+5</f>
        <v>42.8816</v>
      </c>
      <c r="H139" s="3" t="n">
        <v>0</v>
      </c>
      <c r="I139" s="3" t="n">
        <v>0</v>
      </c>
      <c r="J139" s="4" t="n">
        <v>42.1808444665098</v>
      </c>
    </row>
    <row r="140" customFormat="false" ht="15" hidden="false" customHeight="false" outlineLevel="0" collapsed="false">
      <c r="A140" s="0" t="n">
        <f aca="false">A139+1</f>
        <v>138</v>
      </c>
      <c r="B140" s="1" t="n">
        <f aca="false">B139+H140*1</f>
        <v>18.9408</v>
      </c>
      <c r="C140" s="1" t="n">
        <f aca="false">B140*$K$1</f>
        <v>42.3705696</v>
      </c>
      <c r="D140" s="1" t="n">
        <v>19.2643526202568</v>
      </c>
      <c r="E140" s="1" t="n">
        <f aca="false">D140*$K$1</f>
        <v>43.0943568115145</v>
      </c>
      <c r="F140" s="0" t="n">
        <v>2</v>
      </c>
      <c r="G140" s="12" t="n">
        <f aca="false">B140*F140+5</f>
        <v>42.8816</v>
      </c>
      <c r="H140" s="3" t="n">
        <v>0</v>
      </c>
      <c r="I140" s="3" t="n">
        <v>0</v>
      </c>
      <c r="J140" s="4" t="n">
        <v>41.6628969637125</v>
      </c>
    </row>
    <row r="141" customFormat="false" ht="15" hidden="false" customHeight="false" outlineLevel="0" collapsed="false">
      <c r="A141" s="0" t="n">
        <f aca="false">A140+1</f>
        <v>139</v>
      </c>
      <c r="B141" s="1" t="n">
        <f aca="false">B140+H141*1</f>
        <v>18.9408</v>
      </c>
      <c r="C141" s="1" t="n">
        <f aca="false">B141*$K$1</f>
        <v>42.3705696</v>
      </c>
      <c r="D141" s="1" t="n">
        <v>18.9402698132488</v>
      </c>
      <c r="E141" s="1" t="n">
        <f aca="false">D141*$K$1</f>
        <v>42.3693835722376</v>
      </c>
      <c r="F141" s="0" t="n">
        <v>2</v>
      </c>
      <c r="G141" s="12" t="n">
        <f aca="false">B141*F141+5</f>
        <v>42.8816</v>
      </c>
      <c r="H141" s="3" t="n">
        <v>0</v>
      </c>
      <c r="I141" s="3" t="n">
        <v>0</v>
      </c>
      <c r="J141" s="4" t="n">
        <v>41.5118328147871</v>
      </c>
    </row>
    <row r="142" customFormat="false" ht="15" hidden="false" customHeight="false" outlineLevel="0" collapsed="false">
      <c r="A142" s="0" t="n">
        <f aca="false">A141+1</f>
        <v>140</v>
      </c>
      <c r="B142" s="1" t="n">
        <f aca="false">B141+H142*1</f>
        <v>18.9408</v>
      </c>
      <c r="C142" s="1" t="n">
        <f aca="false">B142*$K$1</f>
        <v>42.3705696</v>
      </c>
      <c r="D142" s="1" t="n">
        <v>18.7231476153091</v>
      </c>
      <c r="E142" s="1" t="n">
        <f aca="false">D142*$K$1</f>
        <v>41.8836812154465</v>
      </c>
      <c r="F142" s="0" t="n">
        <v>2</v>
      </c>
      <c r="G142" s="12" t="n">
        <f aca="false">B142*F142+5</f>
        <v>42.8816</v>
      </c>
      <c r="H142" s="3" t="n">
        <v>0</v>
      </c>
      <c r="I142" s="3" t="n">
        <v>0</v>
      </c>
      <c r="J142" s="4" t="n">
        <v>41.6309665856616</v>
      </c>
    </row>
    <row r="143" customFormat="false" ht="15" hidden="false" customHeight="false" outlineLevel="0" collapsed="false">
      <c r="A143" s="0" t="n">
        <f aca="false">A142+1</f>
        <v>141</v>
      </c>
      <c r="B143" s="1" t="n">
        <f aca="false">B142+H143*1</f>
        <v>18.9408</v>
      </c>
      <c r="C143" s="1" t="n">
        <f aca="false">B143*$K$1</f>
        <v>42.3705696</v>
      </c>
      <c r="D143" s="1" t="n">
        <v>18.6126453436492</v>
      </c>
      <c r="E143" s="1" t="n">
        <f aca="false">D143*$K$1</f>
        <v>41.6364876337433</v>
      </c>
      <c r="F143" s="0" t="n">
        <v>2</v>
      </c>
      <c r="G143" s="12" t="n">
        <f aca="false">B143*F143+5</f>
        <v>42.8816</v>
      </c>
      <c r="H143" s="3" t="n">
        <v>0</v>
      </c>
      <c r="I143" s="3" t="n">
        <v>0</v>
      </c>
      <c r="J143" s="4" t="n">
        <v>41.9120257067591</v>
      </c>
    </row>
    <row r="144" customFormat="false" ht="15" hidden="false" customHeight="false" outlineLevel="0" collapsed="false">
      <c r="A144" s="0" t="n">
        <f aca="false">A143+1</f>
        <v>142</v>
      </c>
      <c r="B144" s="1" t="n">
        <f aca="false">B138-H144*1</f>
        <v>16.9408</v>
      </c>
      <c r="C144" s="1" t="n">
        <f aca="false">B144*$K$1</f>
        <v>37.8965696</v>
      </c>
      <c r="D144" s="1" t="n">
        <v>18.524714036954</v>
      </c>
      <c r="E144" s="1" t="n">
        <f aca="false">D144*$K$1</f>
        <v>41.4397853006661</v>
      </c>
      <c r="F144" s="0" t="n">
        <v>2</v>
      </c>
      <c r="G144" s="12" t="n">
        <f aca="false">B144*F144+5</f>
        <v>38.8816</v>
      </c>
      <c r="H144" s="3" t="n">
        <v>2</v>
      </c>
      <c r="I144" s="3" t="n">
        <v>0</v>
      </c>
      <c r="J144" s="4" t="n">
        <v>41.2563915062117</v>
      </c>
    </row>
    <row r="145" customFormat="false" ht="15" hidden="false" customHeight="false" outlineLevel="0" collapsed="false">
      <c r="A145" s="0" t="n">
        <f aca="false">A144+1</f>
        <v>143</v>
      </c>
      <c r="B145" s="1" t="n">
        <f aca="false">B144-H145*1</f>
        <v>14.9408</v>
      </c>
      <c r="C145" s="1" t="n">
        <f aca="false">B145*$K$1</f>
        <v>33.4225696</v>
      </c>
      <c r="D145" s="1" t="n">
        <v>18.1949463516768</v>
      </c>
      <c r="E145" s="1" t="n">
        <f aca="false">D145*$K$1</f>
        <v>40.702094988701</v>
      </c>
      <c r="F145" s="0" t="n">
        <v>2</v>
      </c>
      <c r="G145" s="12" t="n">
        <f aca="false">B145*F145+5</f>
        <v>34.8816</v>
      </c>
      <c r="H145" s="3" t="n">
        <v>2</v>
      </c>
      <c r="I145" s="3" t="n">
        <v>0</v>
      </c>
      <c r="J145" s="4" t="n">
        <v>38.7940044396898</v>
      </c>
    </row>
    <row r="146" customFormat="false" ht="15" hidden="false" customHeight="false" outlineLevel="0" collapsed="false">
      <c r="A146" s="0" t="n">
        <f aca="false">A145+1</f>
        <v>144</v>
      </c>
      <c r="B146" s="1" t="n">
        <f aca="false">B145-H146*1</f>
        <v>12.9408</v>
      </c>
      <c r="C146" s="1" t="n">
        <f aca="false">B146*$K$1</f>
        <v>28.9485696</v>
      </c>
      <c r="D146" s="1" t="n">
        <v>17.4343727300302</v>
      </c>
      <c r="E146" s="1" t="n">
        <f aca="false">D146*$K$1</f>
        <v>39.0006917970776</v>
      </c>
      <c r="F146" s="0" t="n">
        <v>2</v>
      </c>
      <c r="G146" s="12" t="n">
        <f aca="false">B146*F146+5</f>
        <v>30.8816</v>
      </c>
      <c r="H146" s="3" t="n">
        <v>2</v>
      </c>
      <c r="I146" s="3" t="n">
        <v>0</v>
      </c>
      <c r="J146" s="4" t="n">
        <v>34.8733066159198</v>
      </c>
    </row>
    <row r="147" customFormat="false" ht="15" hidden="false" customHeight="false" outlineLevel="0" collapsed="false">
      <c r="A147" s="0" t="n">
        <f aca="false">A146+1</f>
        <v>145</v>
      </c>
      <c r="B147" s="1" t="n">
        <f aca="false">B146-H147*1</f>
        <v>10.9408</v>
      </c>
      <c r="C147" s="1" t="n">
        <f aca="false">B147*$K$1</f>
        <v>24.4745696</v>
      </c>
      <c r="D147" s="1" t="n">
        <v>16.1856534634906</v>
      </c>
      <c r="E147" s="1" t="n">
        <f aca="false">D147*$K$1</f>
        <v>36.2073067978285</v>
      </c>
      <c r="F147" s="0" t="n">
        <v>2</v>
      </c>
      <c r="G147" s="12" t="n">
        <f aca="false">B147*F147+5</f>
        <v>26.8816</v>
      </c>
      <c r="H147" s="3" t="n">
        <v>2</v>
      </c>
      <c r="I147" s="3" t="n">
        <v>0</v>
      </c>
      <c r="J147" s="4" t="n">
        <v>29.9624576767162</v>
      </c>
    </row>
    <row r="148" customFormat="false" ht="15" hidden="false" customHeight="false" outlineLevel="0" collapsed="false">
      <c r="A148" s="0" t="n">
        <f aca="false">A147+1</f>
        <v>146</v>
      </c>
      <c r="B148" s="1" t="n">
        <f aca="false">B147-H148*1</f>
        <v>8.9408</v>
      </c>
      <c r="C148" s="1" t="n">
        <f aca="false">B148*$K$1</f>
        <v>20.0005696</v>
      </c>
      <c r="D148" s="1" t="n">
        <v>14.4888954156127</v>
      </c>
      <c r="E148" s="1" t="n">
        <f aca="false">D148*$K$1</f>
        <v>32.4116590447256</v>
      </c>
      <c r="F148" s="0" t="n">
        <v>2</v>
      </c>
      <c r="G148" s="12" t="n">
        <f aca="false">B148*F148+5</f>
        <v>22.8816</v>
      </c>
      <c r="H148" s="3" t="n">
        <v>2</v>
      </c>
      <c r="I148" s="3" t="n">
        <v>0</v>
      </c>
      <c r="J148" s="4" t="n">
        <v>24.534532930365</v>
      </c>
    </row>
    <row r="149" customFormat="false" ht="15" hidden="false" customHeight="false" outlineLevel="0" collapsed="false">
      <c r="A149" s="0" t="n">
        <f aca="false">A148+1</f>
        <v>147</v>
      </c>
      <c r="B149" s="1" t="n">
        <f aca="false">B148-H149*1</f>
        <v>8.9408</v>
      </c>
      <c r="C149" s="1" t="n">
        <f aca="false">B149*$K$1</f>
        <v>20.0005696</v>
      </c>
      <c r="D149" s="1" t="n">
        <v>12.5097302259897</v>
      </c>
      <c r="E149" s="1" t="n">
        <f aca="false">D149*$K$1</f>
        <v>27.984266515539</v>
      </c>
      <c r="F149" s="0" t="n">
        <v>2</v>
      </c>
      <c r="G149" s="12" t="n">
        <f aca="false">B149*F149+5</f>
        <v>22.8816</v>
      </c>
      <c r="H149" s="3" t="n">
        <v>0</v>
      </c>
      <c r="I149" s="3" t="n">
        <v>0</v>
      </c>
      <c r="J149" s="4" t="n">
        <v>19.9897897133474</v>
      </c>
    </row>
    <row r="150" customFormat="false" ht="15" hidden="false" customHeight="false" outlineLevel="0" collapsed="false">
      <c r="A150" s="0" t="n">
        <f aca="false">A149+1</f>
        <v>148</v>
      </c>
      <c r="B150" s="1" t="n">
        <f aca="false">B149-H150*1</f>
        <v>8.9408</v>
      </c>
      <c r="C150" s="1" t="n">
        <f aca="false">B150*$K$1</f>
        <v>20.0005696</v>
      </c>
      <c r="D150" s="1" t="n">
        <v>10.6090485158743</v>
      </c>
      <c r="E150" s="1" t="n">
        <f aca="false">D150*$K$1</f>
        <v>23.7324415300108</v>
      </c>
      <c r="F150" s="0" t="n">
        <v>2</v>
      </c>
      <c r="G150" s="12" t="n">
        <f aca="false">B150*F150+5</f>
        <v>22.8816</v>
      </c>
      <c r="H150" s="3" t="n">
        <v>0</v>
      </c>
      <c r="I150" s="3" t="n">
        <v>0</v>
      </c>
      <c r="J150" s="4" t="n">
        <v>17.4090619589056</v>
      </c>
    </row>
    <row r="151" customFormat="false" ht="15" hidden="false" customHeight="false" outlineLevel="0" collapsed="false">
      <c r="A151" s="0" t="n">
        <f aca="false">A150+1</f>
        <v>149</v>
      </c>
      <c r="B151" s="1" t="n">
        <f aca="false">B150-H151*1</f>
        <v>8.9408</v>
      </c>
      <c r="C151" s="1" t="n">
        <f aca="false">B151*$K$1</f>
        <v>20.0005696</v>
      </c>
      <c r="D151" s="1" t="n">
        <v>9.06676674627412</v>
      </c>
      <c r="E151" s="1" t="n">
        <f aca="false">D151*$K$1</f>
        <v>20.2823572114152</v>
      </c>
      <c r="F151" s="0" t="n">
        <v>2</v>
      </c>
      <c r="G151" s="12" t="n">
        <f aca="false">B151*F151+5</f>
        <v>22.8816</v>
      </c>
      <c r="H151" s="3" t="n">
        <v>0</v>
      </c>
      <c r="I151" s="3" t="n">
        <v>0</v>
      </c>
      <c r="J151" s="4" t="n">
        <v>16.5598714332068</v>
      </c>
    </row>
    <row r="152" customFormat="false" ht="15" hidden="false" customHeight="false" outlineLevel="0" collapsed="false">
      <c r="A152" s="0" t="n">
        <f aca="false">A151+1</f>
        <v>150</v>
      </c>
      <c r="B152" s="1" t="n">
        <f aca="false">B151-H152*1</f>
        <v>8.9408</v>
      </c>
      <c r="C152" s="1" t="n">
        <f aca="false">B152*$K$1</f>
        <v>20.0005696</v>
      </c>
      <c r="D152" s="1" t="n">
        <v>8.01282858151485</v>
      </c>
      <c r="E152" s="1" t="n">
        <f aca="false">D152*$K$1</f>
        <v>17.9246975368487</v>
      </c>
      <c r="F152" s="0" t="n">
        <v>2</v>
      </c>
      <c r="G152" s="12" t="n">
        <f aca="false">B152*F152+5</f>
        <v>22.8816</v>
      </c>
      <c r="H152" s="3" t="n">
        <v>0</v>
      </c>
      <c r="I152" s="3" t="n">
        <v>0</v>
      </c>
      <c r="J152" s="4" t="n">
        <v>17.0078209569515</v>
      </c>
    </row>
    <row r="153" customFormat="false" ht="15" hidden="false" customHeight="false" outlineLevel="0" collapsed="false">
      <c r="A153" s="0" t="n">
        <f aca="false">A152+1</f>
        <v>151</v>
      </c>
      <c r="B153" s="1" t="n">
        <f aca="false">B152-H153*1</f>
        <v>8.9408</v>
      </c>
      <c r="C153" s="1" t="n">
        <f aca="false">B153*$K$1</f>
        <v>20.0005696</v>
      </c>
      <c r="D153" s="1" t="n">
        <v>7.45575609308581</v>
      </c>
      <c r="E153" s="1" t="n">
        <f aca="false">D153*$K$1</f>
        <v>16.678526380233</v>
      </c>
      <c r="F153" s="0" t="n">
        <v>2</v>
      </c>
      <c r="G153" s="12" t="n">
        <f aca="false">B153*F153+5</f>
        <v>22.8816</v>
      </c>
      <c r="H153" s="3" t="n">
        <v>0</v>
      </c>
      <c r="I153" s="3" t="n">
        <v>0</v>
      </c>
      <c r="J153" s="4" t="n">
        <v>18.2530724660139</v>
      </c>
    </row>
    <row r="154" customFormat="false" ht="15" hidden="false" customHeight="false" outlineLevel="0" collapsed="false">
      <c r="A154" s="0" t="n">
        <f aca="false">A153+1</f>
        <v>152</v>
      </c>
      <c r="B154" s="1" t="n">
        <f aca="false">B153-H154*1</f>
        <v>8.9408</v>
      </c>
      <c r="C154" s="1" t="n">
        <f aca="false">B154*$K$1</f>
        <v>20.0005696</v>
      </c>
      <c r="D154" s="1" t="n">
        <v>7.32132079608669</v>
      </c>
      <c r="E154" s="1" t="n">
        <f aca="false">D154*$K$1</f>
        <v>16.3777946208459</v>
      </c>
      <c r="F154" s="0" t="n">
        <v>2</v>
      </c>
      <c r="G154" s="12" t="n">
        <f aca="false">B154*F154+5</f>
        <v>22.8816</v>
      </c>
      <c r="H154" s="3" t="n">
        <v>0</v>
      </c>
      <c r="I154" s="3" t="n">
        <v>0</v>
      </c>
      <c r="J154" s="4" t="n">
        <v>19.8323463517781</v>
      </c>
    </row>
    <row r="155" customFormat="false" ht="15" hidden="false" customHeight="false" outlineLevel="0" collapsed="false">
      <c r="A155" s="0" t="n">
        <f aca="false">A154+1</f>
        <v>153</v>
      </c>
      <c r="B155" s="1" t="n">
        <f aca="false">B154-H155*1</f>
        <v>8.9408</v>
      </c>
      <c r="C155" s="1" t="n">
        <f aca="false">B155*$K$1</f>
        <v>20.0005696</v>
      </c>
      <c r="D155" s="1" t="n">
        <v>7.49177548228312</v>
      </c>
      <c r="E155" s="1" t="n">
        <f aca="false">D155*$K$1</f>
        <v>16.7591017538673</v>
      </c>
      <c r="F155" s="0" t="n">
        <v>2</v>
      </c>
      <c r="G155" s="12" t="n">
        <f aca="false">B155*F155+5</f>
        <v>22.8816</v>
      </c>
      <c r="H155" s="3" t="n">
        <v>0</v>
      </c>
      <c r="I155" s="3" t="n">
        <v>0</v>
      </c>
      <c r="J155" s="4" t="n">
        <v>21.3814018363953</v>
      </c>
    </row>
    <row r="156" customFormat="false" ht="15" hidden="false" customHeight="false" outlineLevel="0" collapsed="false">
      <c r="A156" s="0" t="n">
        <f aca="false">A155+1</f>
        <v>154</v>
      </c>
      <c r="B156" s="1" t="n">
        <f aca="false">B155-H156*1</f>
        <v>8.9408</v>
      </c>
      <c r="C156" s="1" t="n">
        <f aca="false">B156*$K$1</f>
        <v>20.0005696</v>
      </c>
      <c r="D156" s="1" t="n">
        <v>7.83914994548213</v>
      </c>
      <c r="E156" s="1" t="n">
        <f aca="false">D156*$K$1</f>
        <v>17.5361784280435</v>
      </c>
      <c r="F156" s="0" t="n">
        <v>2</v>
      </c>
      <c r="G156" s="12" t="n">
        <f aca="false">B156*F156+5</f>
        <v>22.8816</v>
      </c>
      <c r="H156" s="3" t="n">
        <v>0</v>
      </c>
      <c r="I156" s="3" t="n">
        <v>0</v>
      </c>
      <c r="J156" s="4" t="n">
        <v>22.6609784612965</v>
      </c>
    </row>
    <row r="157" customFormat="false" ht="15" hidden="false" customHeight="false" outlineLevel="0" collapsed="false">
      <c r="A157" s="0" t="n">
        <f aca="false">A156+1</f>
        <v>155</v>
      </c>
      <c r="B157" s="1" t="n">
        <f aca="false">B156-H157*1</f>
        <v>8.9408</v>
      </c>
      <c r="C157" s="1" t="n">
        <f aca="false">B157*$K$1</f>
        <v>20.0005696</v>
      </c>
      <c r="D157" s="1" t="n">
        <v>8.2492112833664</v>
      </c>
      <c r="E157" s="1" t="n">
        <f aca="false">D157*$K$1</f>
        <v>18.4534856408906</v>
      </c>
      <c r="F157" s="0" t="n">
        <v>2</v>
      </c>
      <c r="G157" s="12" t="n">
        <f aca="false">B157*F157+5</f>
        <v>22.8816</v>
      </c>
      <c r="H157" s="3" t="n">
        <v>0</v>
      </c>
      <c r="I157" s="3" t="n">
        <v>0</v>
      </c>
      <c r="J157" s="4" t="n">
        <v>23.5540747045684</v>
      </c>
    </row>
    <row r="158" customFormat="false" ht="15" hidden="false" customHeight="false" outlineLevel="0" collapsed="false">
      <c r="A158" s="0" t="n">
        <f aca="false">A157+1</f>
        <v>156</v>
      </c>
      <c r="B158" s="1" t="n">
        <f aca="false">B157-H158*1</f>
        <v>8.9408</v>
      </c>
      <c r="C158" s="1" t="n">
        <f aca="false">B158*$K$1</f>
        <v>20.0005696</v>
      </c>
      <c r="D158" s="1" t="n">
        <v>8.63531244467789</v>
      </c>
      <c r="E158" s="1" t="n">
        <f aca="false">D158*$K$1</f>
        <v>19.3171939387444</v>
      </c>
      <c r="F158" s="0" t="n">
        <v>2</v>
      </c>
      <c r="G158" s="12" t="n">
        <f aca="false">B158*F158+5</f>
        <v>22.8816</v>
      </c>
      <c r="H158" s="3" t="n">
        <v>0</v>
      </c>
      <c r="I158" s="3" t="n">
        <v>0</v>
      </c>
      <c r="J158" s="4" t="n">
        <v>24.0444539453686</v>
      </c>
    </row>
    <row r="159" customFormat="false" ht="15" hidden="false" customHeight="false" outlineLevel="0" collapsed="false">
      <c r="A159" s="0" t="n">
        <f aca="false">A158+1</f>
        <v>157</v>
      </c>
      <c r="B159" s="1" t="n">
        <f aca="false">B158-H159*1</f>
        <v>8.9408</v>
      </c>
      <c r="C159" s="1" t="n">
        <f aca="false">B159*$K$1</f>
        <v>20.0005696</v>
      </c>
      <c r="D159" s="1" t="n">
        <v>8.94323557635984</v>
      </c>
      <c r="E159" s="1" t="n">
        <f aca="false">D159*$K$1</f>
        <v>20.006017984317</v>
      </c>
      <c r="F159" s="0" t="n">
        <v>2</v>
      </c>
      <c r="G159" s="12" t="n">
        <f aca="false">B159*F159+5</f>
        <v>22.8816</v>
      </c>
      <c r="H159" s="3" t="n">
        <v>0</v>
      </c>
      <c r="I159" s="3" t="n">
        <v>0</v>
      </c>
      <c r="J159" s="4" t="n">
        <v>24.186026730659</v>
      </c>
    </row>
    <row r="160" customFormat="false" ht="15" hidden="false" customHeight="false" outlineLevel="0" collapsed="false">
      <c r="A160" s="0" t="n">
        <f aca="false">A159+1</f>
        <v>158</v>
      </c>
      <c r="B160" s="1" t="n">
        <f aca="false">B159-H160*1</f>
        <v>8.9408</v>
      </c>
      <c r="C160" s="1" t="n">
        <f aca="false">B160*$K$1</f>
        <v>20.0005696</v>
      </c>
      <c r="D160" s="1" t="n">
        <v>9.14922064477502</v>
      </c>
      <c r="E160" s="1" t="n">
        <f aca="false">D160*$K$1</f>
        <v>20.4668065823617</v>
      </c>
      <c r="F160" s="0" t="n">
        <v>2</v>
      </c>
      <c r="G160" s="12" t="n">
        <f aca="false">B160*F160+5</f>
        <v>22.8816</v>
      </c>
      <c r="H160" s="3" t="n">
        <v>0</v>
      </c>
      <c r="I160" s="3" t="n">
        <v>0</v>
      </c>
      <c r="J160" s="4" t="n">
        <v>24.0710441900899</v>
      </c>
    </row>
    <row r="161" customFormat="false" ht="15" hidden="false" customHeight="false" outlineLevel="0" collapsed="false">
      <c r="A161" s="0" t="n">
        <f aca="false">A160+1</f>
        <v>159</v>
      </c>
      <c r="B161" s="1" t="n">
        <f aca="false">B155-H161*1</f>
        <v>8.04672</v>
      </c>
      <c r="C161" s="1" t="n">
        <f aca="false">B161*$K$1</f>
        <v>18.00051264</v>
      </c>
      <c r="D161" s="1" t="n">
        <v>9.22394118244684</v>
      </c>
      <c r="E161" s="1" t="n">
        <f aca="false">D161*$K$1</f>
        <v>20.6339564251336</v>
      </c>
      <c r="F161" s="0" t="n">
        <v>2</v>
      </c>
      <c r="G161" s="12" t="n">
        <f aca="false">B161*F161+5</f>
        <v>21.09344</v>
      </c>
      <c r="H161" s="3" t="n">
        <v>0.89408</v>
      </c>
      <c r="I161" s="3" t="n">
        <v>0</v>
      </c>
      <c r="J161" s="4" t="n">
        <v>23.355571982094</v>
      </c>
    </row>
    <row r="162" customFormat="false" ht="15" hidden="false" customHeight="false" outlineLevel="0" collapsed="false">
      <c r="A162" s="0" t="n">
        <f aca="false">A161+1</f>
        <v>160</v>
      </c>
      <c r="B162" s="1" t="n">
        <f aca="false">B161-H162*1</f>
        <v>7.15264</v>
      </c>
      <c r="C162" s="1" t="n">
        <f aca="false">B162*$K$1</f>
        <v>16.00045568</v>
      </c>
      <c r="D162" s="1" t="n">
        <v>9.07746609923056</v>
      </c>
      <c r="E162" s="1" t="n">
        <f aca="false">D162*$K$1</f>
        <v>20.3062916639788</v>
      </c>
      <c r="F162" s="0" t="n">
        <v>2</v>
      </c>
      <c r="G162" s="12" t="n">
        <f aca="false">B162*F162+5</f>
        <v>19.30528</v>
      </c>
      <c r="H162" s="3" t="n">
        <v>0.89408</v>
      </c>
      <c r="I162" s="3" t="n">
        <v>0</v>
      </c>
      <c r="J162" s="4" t="n">
        <v>21.7785517389048</v>
      </c>
    </row>
    <row r="163" customFormat="false" ht="15" hidden="false" customHeight="false" outlineLevel="0" collapsed="false">
      <c r="A163" s="0" t="n">
        <f aca="false">A162+1</f>
        <v>161</v>
      </c>
      <c r="B163" s="1" t="n">
        <f aca="false">B162-H163*1</f>
        <v>6.25856</v>
      </c>
      <c r="C163" s="1" t="n">
        <f aca="false">B163*$K$1</f>
        <v>14.00039872</v>
      </c>
      <c r="D163" s="1" t="n">
        <v>8.66245947104762</v>
      </c>
      <c r="E163" s="1" t="n">
        <f aca="false">D163*$K$1</f>
        <v>19.3779218367335</v>
      </c>
      <c r="F163" s="0" t="n">
        <v>2</v>
      </c>
      <c r="G163" s="12" t="n">
        <f aca="false">B163*F163+5</f>
        <v>17.51712</v>
      </c>
      <c r="H163" s="3" t="n">
        <v>0.89408</v>
      </c>
      <c r="I163" s="3" t="n">
        <v>0</v>
      </c>
      <c r="J163" s="4" t="n">
        <v>19.5901328161435</v>
      </c>
    </row>
    <row r="164" customFormat="false" ht="15" hidden="false" customHeight="false" outlineLevel="0" collapsed="false">
      <c r="A164" s="0" t="n">
        <f aca="false">A163+1</f>
        <v>162</v>
      </c>
      <c r="B164" s="1" t="n">
        <f aca="false">B163-H164*1</f>
        <v>5.36448</v>
      </c>
      <c r="C164" s="1" t="n">
        <f aca="false">B164*$K$1</f>
        <v>12.00034176</v>
      </c>
      <c r="D164" s="1" t="n">
        <v>7.99039945157249</v>
      </c>
      <c r="E164" s="1" t="n">
        <f aca="false">D164*$K$1</f>
        <v>17.8745235731677</v>
      </c>
      <c r="F164" s="0" t="n">
        <v>2</v>
      </c>
      <c r="G164" s="12" t="n">
        <f aca="false">B164*F164+5</f>
        <v>15.72896</v>
      </c>
      <c r="H164" s="3" t="n">
        <v>0.89408</v>
      </c>
      <c r="I164" s="3" t="n">
        <v>0</v>
      </c>
      <c r="J164" s="4" t="n">
        <v>17.0563381250465</v>
      </c>
    </row>
    <row r="165" customFormat="false" ht="15" hidden="false" customHeight="false" outlineLevel="0" collapsed="false">
      <c r="A165" s="0" t="n">
        <f aca="false">A164+1</f>
        <v>163</v>
      </c>
      <c r="B165" s="1" t="n">
        <f aca="false">B164-H165*1</f>
        <v>4.4704</v>
      </c>
      <c r="C165" s="1" t="n">
        <f aca="false">B165*$K$1</f>
        <v>10.0002848</v>
      </c>
      <c r="D165" s="1" t="n">
        <v>7.11033598897791</v>
      </c>
      <c r="E165" s="1" t="n">
        <f aca="false">D165*$K$1</f>
        <v>15.9058216073436</v>
      </c>
      <c r="F165" s="0" t="n">
        <v>2</v>
      </c>
      <c r="G165" s="12" t="n">
        <f aca="false">B165*F165+5</f>
        <v>13.9408</v>
      </c>
      <c r="H165" s="3" t="n">
        <v>0.89408</v>
      </c>
      <c r="I165" s="3" t="n">
        <v>0</v>
      </c>
      <c r="J165" s="4" t="n">
        <v>14.4110292559617</v>
      </c>
    </row>
    <row r="166" customFormat="false" ht="15" hidden="false" customHeight="false" outlineLevel="0" collapsed="false">
      <c r="A166" s="0" t="n">
        <f aca="false">A165+1</f>
        <v>164</v>
      </c>
      <c r="B166" s="1" t="n">
        <f aca="false">B165-H166*1</f>
        <v>3.57632</v>
      </c>
      <c r="C166" s="1" t="n">
        <f aca="false">B166*$K$1</f>
        <v>8.00022783999999</v>
      </c>
      <c r="D166" s="1" t="n">
        <v>6.08860889137676</v>
      </c>
      <c r="E166" s="1" t="n">
        <f aca="false">D166*$K$1</f>
        <v>13.6202180900098</v>
      </c>
      <c r="F166" s="0" t="n">
        <v>2</v>
      </c>
      <c r="G166" s="12" t="n">
        <f aca="false">B166*F166+5</f>
        <v>12.15264</v>
      </c>
      <c r="H166" s="3" t="n">
        <v>0.89408</v>
      </c>
      <c r="I166" s="3" t="n">
        <v>0</v>
      </c>
      <c r="J166" s="4" t="n">
        <v>11.8288868358559</v>
      </c>
    </row>
    <row r="167" customFormat="false" ht="15" hidden="false" customHeight="false" outlineLevel="0" collapsed="false">
      <c r="A167" s="0" t="n">
        <f aca="false">A166+1</f>
        <v>165</v>
      </c>
      <c r="B167" s="1" t="n">
        <f aca="false">B166-H167*1</f>
        <v>2.68224</v>
      </c>
      <c r="C167" s="1" t="n">
        <f aca="false">B167*$K$1</f>
        <v>6.00017087999999</v>
      </c>
      <c r="D167" s="1" t="n">
        <v>4.99247267721636</v>
      </c>
      <c r="E167" s="1" t="n">
        <f aca="false">D167*$K$1</f>
        <v>11.168161378933</v>
      </c>
      <c r="F167" s="0" t="n">
        <v>2</v>
      </c>
      <c r="G167" s="12" t="n">
        <f aca="false">B167*F167+5</f>
        <v>10.36448</v>
      </c>
      <c r="H167" s="3" t="n">
        <v>0.89408</v>
      </c>
      <c r="I167" s="3" t="n">
        <v>0</v>
      </c>
      <c r="J167" s="4" t="n">
        <v>9.41682292292285</v>
      </c>
    </row>
    <row r="168" customFormat="false" ht="15" hidden="false" customHeight="false" outlineLevel="0" collapsed="false">
      <c r="A168" s="0" t="n">
        <f aca="false">A167+1</f>
        <v>166</v>
      </c>
      <c r="B168" s="1" t="n">
        <f aca="false">B167-H168*1</f>
        <v>1.78816</v>
      </c>
      <c r="C168" s="1" t="n">
        <f aca="false">B168*$K$1</f>
        <v>4.00011391999999</v>
      </c>
      <c r="D168" s="1" t="n">
        <v>3.87897441939139</v>
      </c>
      <c r="E168" s="1" t="n">
        <f aca="false">D168*$K$1</f>
        <v>8.67726577617854</v>
      </c>
      <c r="F168" s="0" t="n">
        <v>2</v>
      </c>
      <c r="G168" s="12" t="n">
        <f aca="false">B168*F168+5</f>
        <v>8.57631999999999</v>
      </c>
      <c r="H168" s="3" t="n">
        <v>0.89408</v>
      </c>
      <c r="I168" s="3" t="n">
        <v>0</v>
      </c>
      <c r="J168" s="4" t="n">
        <v>7.21912861234455</v>
      </c>
    </row>
    <row r="169" customFormat="false" ht="15" hidden="false" customHeight="false" outlineLevel="0" collapsed="false">
      <c r="A169" s="0" t="n">
        <f aca="false">A168+1</f>
        <v>167</v>
      </c>
      <c r="B169" s="1" t="n">
        <f aca="false">B168-H169*1</f>
        <v>0.894079999999997</v>
      </c>
      <c r="C169" s="1" t="n">
        <f aca="false">B169*$K$1</f>
        <v>2.00005695999999</v>
      </c>
      <c r="D169" s="1" t="n">
        <v>2.7891416937826</v>
      </c>
      <c r="E169" s="1" t="n">
        <f aca="false">D169*$K$1</f>
        <v>6.23930996899168</v>
      </c>
      <c r="F169" s="0" t="n">
        <v>2</v>
      </c>
      <c r="G169" s="12" t="n">
        <f aca="false">B169*F169+5</f>
        <v>6.78815999999999</v>
      </c>
      <c r="H169" s="3" t="n">
        <v>0.89408</v>
      </c>
      <c r="I169" s="3" t="n">
        <v>0</v>
      </c>
      <c r="J169" s="4" t="n">
        <v>5.23099909322423</v>
      </c>
    </row>
    <row r="170" customFormat="false" ht="15" hidden="false" customHeight="false" outlineLevel="0" collapsed="false">
      <c r="A170" s="0" t="n">
        <f aca="false">A169+1</f>
        <v>168</v>
      </c>
      <c r="B170" s="1" t="n">
        <f aca="false">B169-H170*1</f>
        <v>-3.33066907387547E-015</v>
      </c>
      <c r="C170" s="1" t="n">
        <f aca="false">B170*$K$1</f>
        <v>-7.45070671825942E-015</v>
      </c>
      <c r="D170" s="1" t="n">
        <v>1.746664572286</v>
      </c>
      <c r="E170" s="1" t="n">
        <f aca="false">D170*$K$1</f>
        <v>3.90728864820378</v>
      </c>
      <c r="F170" s="0" t="n">
        <v>2</v>
      </c>
      <c r="G170" s="12" t="n">
        <f aca="false">B170*F170+5</f>
        <v>4.99999999999999</v>
      </c>
      <c r="H170" s="3" t="n">
        <v>0.89408</v>
      </c>
      <c r="I170" s="3" t="n">
        <v>0</v>
      </c>
      <c r="J170" s="4" t="n">
        <v>3.41549742807729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.85"/>
    <col collapsed="false" customWidth="true" hidden="false" outlineLevel="0" max="6" min="6" style="3" width="9.14"/>
  </cols>
  <sheetData>
    <row r="1" customFormat="false" ht="15" hidden="false" customHeight="false" outlineLevel="0" collapsed="false">
      <c r="A1" s="11" t="s">
        <v>18</v>
      </c>
      <c r="B1" s="11"/>
      <c r="C1" s="11"/>
      <c r="D1" s="14" t="s">
        <v>19</v>
      </c>
      <c r="E1" s="14" t="s">
        <v>20</v>
      </c>
      <c r="F1" s="14" t="s">
        <v>21</v>
      </c>
      <c r="G1" s="14" t="s">
        <v>22</v>
      </c>
      <c r="J1" s="0" t="n">
        <f aca="false">PI()/2*D2</f>
        <v>0.411233516712057</v>
      </c>
    </row>
    <row r="2" customFormat="false" ht="15" hidden="false" customHeight="false" outlineLevel="0" collapsed="false">
      <c r="A2" s="0" t="s">
        <v>23</v>
      </c>
      <c r="D2" s="0" t="n">
        <f aca="false">2.5*PI()/$F$2</f>
        <v>0.261799387799149</v>
      </c>
      <c r="E2" s="3" t="n">
        <v>400</v>
      </c>
      <c r="F2" s="3" t="n">
        <v>30</v>
      </c>
      <c r="G2" s="0" t="n">
        <f aca="false">0.5*(-$D$2*(PI()/2-$F$2*$D$2)+SQRT($D$2^2*(PI()/2-$F$2*$D$2)^2-4*$D$2^2*(PI()/2-1)))</f>
        <v>1.62079670066927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2025-03-04T19:12:17Z</dcterms:created>
  <dc:creator>Di Russo, Miriam</dc:creator>
  <dc:description/>
  <dc:language>en-US</dc:language>
  <cp:lastModifiedBy/>
  <dcterms:modified xsi:type="dcterms:W3CDTF">2025-03-12T12:12:16Z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